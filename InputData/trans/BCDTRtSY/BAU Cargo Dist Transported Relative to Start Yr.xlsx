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MeganMahajan\Documents\eps-us\InputData\trans\BCDTRtSY\"/>
    </mc:Choice>
  </mc:AlternateContent>
  <xr:revisionPtr revIDLastSave="0" documentId="13_ncr:1_{A30C95EB-68FE-43D2-83E6-96281806D54A}" xr6:coauthVersionLast="47" xr6:coauthVersionMax="47" xr10:uidLastSave="{00000000-0000-0000-0000-000000000000}"/>
  <bookViews>
    <workbookView xWindow="38280" yWindow="-120" windowWidth="29040" windowHeight="17520" xr2:uid="{34F76914-A27C-4DFF-A2A0-A3955C2D173B}"/>
  </bookViews>
  <sheets>
    <sheet name="About" sheetId="1" r:id="rId1"/>
    <sheet name="source data&gt;" sheetId="66" r:id="rId2"/>
    <sheet name="EPA_Table 3-13" sheetId="57" r:id="rId3"/>
    <sheet name="AEO 2023 Table 7" sheetId="37" r:id="rId4"/>
    <sheet name="AEO 2023 Table 35 Raw" sheetId="42" r:id="rId5"/>
    <sheet name="AEO 2023 Table 35" sheetId="38" r:id="rId6"/>
    <sheet name="AEO 2023 Table 46 Raw" sheetId="43" r:id="rId7"/>
    <sheet name="AEO 2023 Table 46" sheetId="39" r:id="rId8"/>
    <sheet name="AEO 2023 Table 47 Raw" sheetId="44" r:id="rId9"/>
    <sheet name="AEO 2023 Table 47" sheetId="40" r:id="rId10"/>
    <sheet name="AEO 2023 Table 49 Raw" sheetId="45" r:id="rId11"/>
    <sheet name="AEO 2023 Table 49" sheetId="41" r:id="rId12"/>
    <sheet name="AEO 2025 Table 7" sheetId="64" r:id="rId13"/>
    <sheet name="AEO 2025 Table 35" sheetId="63" r:id="rId14"/>
    <sheet name="AEO 2025 Table 46" sheetId="60" r:id="rId15"/>
    <sheet name="AEO 2025 Table 47" sheetId="61" r:id="rId16"/>
    <sheet name="AEO 2025 Table 49" sheetId="62" r:id="rId17"/>
    <sheet name="calcs&gt;" sheetId="65" r:id="rId18"/>
    <sheet name="calibration multiplier" sheetId="56" r:id="rId19"/>
    <sheet name="GHG Inventory" sheetId="58" r:id="rId20"/>
    <sheet name="AEO 2022 Table 36" sheetId="59" r:id="rId21"/>
    <sheet name="calcs" sheetId="67" r:id="rId22"/>
    <sheet name="BCDTRtSY-psgr" sheetId="23" r:id="rId23"/>
    <sheet name="BCDTRtSY-frgt" sheetId="24" r:id="rId24"/>
  </sheets>
  <externalReferences>
    <externalReference r:id="rId25"/>
    <externalReference r:id="rId26"/>
    <externalReference r:id="rId27"/>
  </externalReferences>
  <definedNames>
    <definedName name="Eno_TM" localSheetId="23">'[1]1997  Table 1a Modified'!#REF!</definedName>
    <definedName name="Eno_TM" localSheetId="2">'[2]1997  Table 1a Modified'!#REF!</definedName>
    <definedName name="Eno_TM">'[1]1997  Table 1a Modified'!#REF!</definedName>
    <definedName name="Eno_Tons" localSheetId="23">'[1]1997  Table 1a Modified'!#REF!</definedName>
    <definedName name="Eno_Tons" localSheetId="2">'[2]1997  Table 1a Modified'!#REF!</definedName>
    <definedName name="Eno_Tons">'[1]1997  Table 1a Modified'!#REF!</definedName>
    <definedName name="NTS_YR">[3]About!$B$136</definedName>
    <definedName name="Sum_T2" localSheetId="23">'[1]1997  Table 1a Modified'!#REF!</definedName>
    <definedName name="Sum_T2" localSheetId="2">'[2]1997  Table 1a Modified'!#REF!</definedName>
    <definedName name="Sum_T2">'[1]1997  Table 1a Modified'!#REF!</definedName>
    <definedName name="Sum_TTM" localSheetId="23">'[1]1997  Table 1a Modified'!#REF!</definedName>
    <definedName name="Sum_TTM" localSheetId="2">'[2]1997  Table 1a Modified'!#REF!</definedName>
    <definedName name="Sum_TTM">'[1]1997  Table 1a Modified'!#REF!</definedName>
    <definedName name="ti_tbl_50" localSheetId="23">#REF!</definedName>
    <definedName name="ti_tbl_50" localSheetId="2">#REF!</definedName>
    <definedName name="ti_tbl_50">#REF!</definedName>
    <definedName name="ti_tbl_69" localSheetId="23">#REF!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3" i="67" l="1"/>
  <c r="F3" i="67"/>
  <c r="G3" i="67"/>
  <c r="H3" i="67"/>
  <c r="I3" i="67"/>
  <c r="J3" i="67"/>
  <c r="K3" i="67"/>
  <c r="L3" i="67"/>
  <c r="M3" i="67"/>
  <c r="N3" i="67"/>
  <c r="O3" i="67"/>
  <c r="P3" i="67"/>
  <c r="Q3" i="67"/>
  <c r="R3" i="67"/>
  <c r="S3" i="67"/>
  <c r="T3" i="67"/>
  <c r="U3" i="67"/>
  <c r="V3" i="67"/>
  <c r="W3" i="67"/>
  <c r="X3" i="67"/>
  <c r="Y3" i="67"/>
  <c r="Z3" i="67"/>
  <c r="AA3" i="67"/>
  <c r="AB3" i="67"/>
  <c r="AC3" i="67"/>
  <c r="AD3" i="67"/>
  <c r="E4" i="67"/>
  <c r="F4" i="67"/>
  <c r="G4" i="67"/>
  <c r="H4" i="67"/>
  <c r="I4" i="67"/>
  <c r="J4" i="67"/>
  <c r="K4" i="67"/>
  <c r="L4" i="67"/>
  <c r="M4" i="67"/>
  <c r="N4" i="67"/>
  <c r="O4" i="67"/>
  <c r="P4" i="67"/>
  <c r="Q4" i="67"/>
  <c r="R4" i="67"/>
  <c r="S4" i="67"/>
  <c r="T4" i="67"/>
  <c r="U4" i="67"/>
  <c r="V4" i="67"/>
  <c r="W4" i="67"/>
  <c r="X4" i="67"/>
  <c r="Y4" i="67"/>
  <c r="Z4" i="67"/>
  <c r="AA4" i="67"/>
  <c r="AB4" i="67"/>
  <c r="AC4" i="67"/>
  <c r="AD4" i="67"/>
  <c r="E5" i="67"/>
  <c r="F5" i="67"/>
  <c r="G5" i="67"/>
  <c r="H5" i="67"/>
  <c r="I5" i="67"/>
  <c r="J5" i="67"/>
  <c r="J14" i="67" s="1"/>
  <c r="K5" i="67"/>
  <c r="K14" i="67" s="1"/>
  <c r="L5" i="67"/>
  <c r="L14" i="67" s="1"/>
  <c r="M5" i="67"/>
  <c r="M14" i="67" s="1"/>
  <c r="N5" i="67"/>
  <c r="O5" i="67"/>
  <c r="P5" i="67"/>
  <c r="Q5" i="67"/>
  <c r="R5" i="67"/>
  <c r="R14" i="67" s="1"/>
  <c r="S5" i="67"/>
  <c r="S14" i="67" s="1"/>
  <c r="T5" i="67"/>
  <c r="T14" i="67" s="1"/>
  <c r="U5" i="67"/>
  <c r="U14" i="67" s="1"/>
  <c r="V5" i="67"/>
  <c r="V14" i="67" s="1"/>
  <c r="W5" i="67"/>
  <c r="X5" i="67"/>
  <c r="Y5" i="67"/>
  <c r="Z5" i="67"/>
  <c r="AA5" i="67"/>
  <c r="AB5" i="67"/>
  <c r="AC5" i="67"/>
  <c r="AD5" i="67"/>
  <c r="AD14" i="67" s="1"/>
  <c r="E6" i="67"/>
  <c r="F6" i="67"/>
  <c r="G6" i="67"/>
  <c r="H6" i="67"/>
  <c r="I6" i="67"/>
  <c r="J6" i="67"/>
  <c r="K6" i="67"/>
  <c r="L6" i="67"/>
  <c r="M6" i="67"/>
  <c r="N6" i="67"/>
  <c r="O6" i="67"/>
  <c r="P6" i="67"/>
  <c r="Q6" i="67"/>
  <c r="R6" i="67"/>
  <c r="S6" i="67"/>
  <c r="T6" i="67"/>
  <c r="U6" i="67"/>
  <c r="V6" i="67"/>
  <c r="W6" i="67"/>
  <c r="X6" i="67"/>
  <c r="Y6" i="67"/>
  <c r="Z6" i="67"/>
  <c r="AA6" i="67"/>
  <c r="AB6" i="67"/>
  <c r="AC6" i="67"/>
  <c r="AD6" i="67"/>
  <c r="E7" i="67"/>
  <c r="F7" i="67"/>
  <c r="G7" i="67"/>
  <c r="H7" i="67"/>
  <c r="I7" i="67"/>
  <c r="J7" i="67"/>
  <c r="K7" i="67"/>
  <c r="L7" i="67"/>
  <c r="M7" i="67"/>
  <c r="N7" i="67"/>
  <c r="O7" i="67"/>
  <c r="P7" i="67"/>
  <c r="Q7" i="67"/>
  <c r="R7" i="67"/>
  <c r="S7" i="67"/>
  <c r="T7" i="67"/>
  <c r="U7" i="67"/>
  <c r="V7" i="67"/>
  <c r="W7" i="67"/>
  <c r="X7" i="67"/>
  <c r="Y7" i="67"/>
  <c r="Z7" i="67"/>
  <c r="AA7" i="67"/>
  <c r="AB7" i="67"/>
  <c r="AC7" i="67"/>
  <c r="AD7" i="67"/>
  <c r="E8" i="67"/>
  <c r="F8" i="67"/>
  <c r="G8" i="67"/>
  <c r="H8" i="67"/>
  <c r="I8" i="67"/>
  <c r="J8" i="67"/>
  <c r="K8" i="67"/>
  <c r="L8" i="67"/>
  <c r="M8" i="67"/>
  <c r="N8" i="67"/>
  <c r="O8" i="67"/>
  <c r="P8" i="67"/>
  <c r="Q8" i="67"/>
  <c r="R8" i="67"/>
  <c r="S8" i="67"/>
  <c r="T8" i="67"/>
  <c r="U8" i="67"/>
  <c r="V8" i="67"/>
  <c r="W8" i="67"/>
  <c r="X8" i="67"/>
  <c r="Y8" i="67"/>
  <c r="Z8" i="67"/>
  <c r="AA8" i="67"/>
  <c r="AB8" i="67"/>
  <c r="AC8" i="67"/>
  <c r="AD8" i="67"/>
  <c r="D4" i="67"/>
  <c r="E16" i="67"/>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D16" i="67"/>
  <c r="D5" i="67"/>
  <c r="D14" i="67" s="1"/>
  <c r="E14" i="67"/>
  <c r="F14" i="67"/>
  <c r="G14" i="67"/>
  <c r="H14" i="67"/>
  <c r="I14" i="67"/>
  <c r="N14" i="67"/>
  <c r="O14" i="67"/>
  <c r="P14" i="67"/>
  <c r="Q14" i="67"/>
  <c r="W14" i="67"/>
  <c r="X14" i="67"/>
  <c r="Y14" i="67"/>
  <c r="Z14" i="67"/>
  <c r="AA14" i="67"/>
  <c r="AB14" i="67"/>
  <c r="AC14" i="67"/>
  <c r="D3" i="67"/>
  <c r="C2" i="24" l="1"/>
  <c r="D2" i="24"/>
  <c r="E2" i="24"/>
  <c r="F2" i="24"/>
  <c r="G2" i="24"/>
  <c r="H2" i="24"/>
  <c r="I2" i="24"/>
  <c r="J2" i="24"/>
  <c r="K2" i="24"/>
  <c r="L2" i="24"/>
  <c r="M2" i="24"/>
  <c r="N2" i="24"/>
  <c r="O2" i="24"/>
  <c r="P2" i="24"/>
  <c r="Q2" i="24"/>
  <c r="R2" i="24"/>
  <c r="S2" i="24"/>
  <c r="T2" i="24"/>
  <c r="U2" i="24"/>
  <c r="V2" i="24"/>
  <c r="W2" i="24"/>
  <c r="X2" i="24"/>
  <c r="Y2" i="24"/>
  <c r="Z2" i="24"/>
  <c r="AA2" i="24"/>
  <c r="AB2" i="24"/>
  <c r="AC2" i="24"/>
  <c r="C3" i="24"/>
  <c r="D3" i="24"/>
  <c r="E3" i="24"/>
  <c r="F3" i="24"/>
  <c r="G3" i="24"/>
  <c r="H3" i="24"/>
  <c r="I3" i="24"/>
  <c r="J3" i="24"/>
  <c r="K3" i="24"/>
  <c r="L3" i="24"/>
  <c r="M3" i="24"/>
  <c r="N3" i="24"/>
  <c r="O3" i="24"/>
  <c r="P3" i="24"/>
  <c r="Q3" i="24"/>
  <c r="R3" i="24"/>
  <c r="S3" i="24"/>
  <c r="T3" i="24"/>
  <c r="U3" i="24"/>
  <c r="V3" i="24"/>
  <c r="W3" i="24"/>
  <c r="X3" i="24"/>
  <c r="Y3" i="24"/>
  <c r="Z3" i="24"/>
  <c r="AA3" i="24"/>
  <c r="AB3" i="24"/>
  <c r="AC3"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C5" i="24"/>
  <c r="D5" i="24"/>
  <c r="E5" i="24"/>
  <c r="F5" i="24"/>
  <c r="G5" i="24"/>
  <c r="H5" i="24"/>
  <c r="I5" i="24"/>
  <c r="J5" i="24"/>
  <c r="K5" i="24"/>
  <c r="L5" i="24"/>
  <c r="M5" i="24"/>
  <c r="N5" i="24"/>
  <c r="O5" i="24"/>
  <c r="P5" i="24"/>
  <c r="Q5" i="24"/>
  <c r="R5" i="24"/>
  <c r="S5" i="24"/>
  <c r="T5" i="24"/>
  <c r="U5" i="24"/>
  <c r="V5" i="24"/>
  <c r="W5" i="24"/>
  <c r="X5" i="24"/>
  <c r="Y5" i="24"/>
  <c r="Z5" i="24"/>
  <c r="AA5" i="24"/>
  <c r="AB5" i="24"/>
  <c r="AC5" i="24"/>
  <c r="C6" i="24"/>
  <c r="D6" i="24"/>
  <c r="E6" i="24"/>
  <c r="F6" i="24"/>
  <c r="G6" i="24"/>
  <c r="H6" i="24"/>
  <c r="I6" i="24"/>
  <c r="J6" i="24"/>
  <c r="K6" i="24"/>
  <c r="L6" i="24"/>
  <c r="M6" i="24"/>
  <c r="N6" i="24"/>
  <c r="O6" i="24"/>
  <c r="P6" i="24"/>
  <c r="Q6" i="24"/>
  <c r="R6" i="24"/>
  <c r="S6" i="24"/>
  <c r="T6" i="24"/>
  <c r="U6" i="24"/>
  <c r="V6" i="24"/>
  <c r="W6" i="24"/>
  <c r="X6" i="24"/>
  <c r="Y6" i="24"/>
  <c r="Z6" i="24"/>
  <c r="AA6" i="24"/>
  <c r="AB6" i="24"/>
  <c r="AC6" i="24"/>
  <c r="C7" i="24"/>
  <c r="D7" i="24"/>
  <c r="E7" i="24"/>
  <c r="F7" i="24"/>
  <c r="G7" i="24"/>
  <c r="H7" i="24"/>
  <c r="I7" i="24"/>
  <c r="J7" i="24"/>
  <c r="K7" i="24"/>
  <c r="L7" i="24"/>
  <c r="M7" i="24"/>
  <c r="N7" i="24"/>
  <c r="O7" i="24"/>
  <c r="P7" i="24"/>
  <c r="Q7" i="24"/>
  <c r="R7" i="24"/>
  <c r="S7" i="24"/>
  <c r="T7" i="24"/>
  <c r="U7" i="24"/>
  <c r="V7" i="24"/>
  <c r="W7" i="24"/>
  <c r="X7" i="24"/>
  <c r="Y7" i="24"/>
  <c r="Z7" i="24"/>
  <c r="AA7" i="24"/>
  <c r="AB7" i="24"/>
  <c r="AC7" i="24"/>
  <c r="B3" i="24"/>
  <c r="B4" i="24"/>
  <c r="B5" i="24"/>
  <c r="B6" i="24"/>
  <c r="B2" i="24"/>
  <c r="C2" i="23"/>
  <c r="D2" i="23"/>
  <c r="E2" i="23"/>
  <c r="F2" i="23"/>
  <c r="G2" i="23"/>
  <c r="H2" i="23"/>
  <c r="I2" i="23"/>
  <c r="J2" i="23"/>
  <c r="K2" i="23"/>
  <c r="L2" i="23"/>
  <c r="M2" i="23"/>
  <c r="N2" i="23"/>
  <c r="O2" i="23"/>
  <c r="P2" i="23"/>
  <c r="Q2" i="23"/>
  <c r="R2" i="23"/>
  <c r="S2" i="23"/>
  <c r="T2" i="23"/>
  <c r="U2" i="23"/>
  <c r="V2" i="23"/>
  <c r="W2" i="23"/>
  <c r="X2" i="23"/>
  <c r="Y2" i="23"/>
  <c r="Z2" i="23"/>
  <c r="AA2" i="23"/>
  <c r="AB2" i="23"/>
  <c r="AC2" i="23"/>
  <c r="C3" i="23"/>
  <c r="D3" i="23"/>
  <c r="G3" i="23"/>
  <c r="H3" i="23"/>
  <c r="I3" i="23"/>
  <c r="J3" i="23"/>
  <c r="R3" i="23"/>
  <c r="T3" i="23"/>
  <c r="U3" i="23"/>
  <c r="V3" i="23"/>
  <c r="X3" i="23"/>
  <c r="AB3" i="23"/>
  <c r="AC3" i="23"/>
  <c r="C4" i="23"/>
  <c r="D4" i="23"/>
  <c r="E4" i="23"/>
  <c r="F4" i="23"/>
  <c r="G4" i="23"/>
  <c r="H4" i="23"/>
  <c r="I4" i="23"/>
  <c r="J4" i="23"/>
  <c r="K4" i="23"/>
  <c r="L4" i="23"/>
  <c r="M4" i="23"/>
  <c r="N4" i="23"/>
  <c r="O4" i="23"/>
  <c r="P4" i="23"/>
  <c r="Q4" i="23"/>
  <c r="R4" i="23"/>
  <c r="S4" i="23"/>
  <c r="T4" i="23"/>
  <c r="U4" i="23"/>
  <c r="V4" i="23"/>
  <c r="W4" i="23"/>
  <c r="X4" i="23"/>
  <c r="Y4" i="23"/>
  <c r="Z4" i="23"/>
  <c r="AA4" i="23"/>
  <c r="AB4" i="23"/>
  <c r="AC4" i="23"/>
  <c r="C5" i="23"/>
  <c r="D5" i="23"/>
  <c r="E5" i="23"/>
  <c r="F5" i="23"/>
  <c r="G5" i="23"/>
  <c r="H5" i="23"/>
  <c r="I5" i="23"/>
  <c r="J5" i="23"/>
  <c r="K5" i="23"/>
  <c r="L5" i="23"/>
  <c r="M5" i="23"/>
  <c r="N5" i="23"/>
  <c r="O5" i="23"/>
  <c r="P5" i="23"/>
  <c r="Q5" i="23"/>
  <c r="R5" i="23"/>
  <c r="S5" i="23"/>
  <c r="T5" i="23"/>
  <c r="U5" i="23"/>
  <c r="V5" i="23"/>
  <c r="W5" i="23"/>
  <c r="X5" i="23"/>
  <c r="Y5" i="23"/>
  <c r="Z5" i="23"/>
  <c r="AA5" i="23"/>
  <c r="AB5" i="23"/>
  <c r="AC5" i="23"/>
  <c r="C6" i="23"/>
  <c r="D6" i="23"/>
  <c r="E6" i="23"/>
  <c r="F6" i="23"/>
  <c r="G6" i="23"/>
  <c r="H6" i="23"/>
  <c r="I6" i="23"/>
  <c r="J6" i="23"/>
  <c r="K6" i="23"/>
  <c r="L6" i="23"/>
  <c r="M6" i="23"/>
  <c r="N6" i="23"/>
  <c r="O6" i="23"/>
  <c r="P6" i="23"/>
  <c r="Q6" i="23"/>
  <c r="R6" i="23"/>
  <c r="S6" i="23"/>
  <c r="T6" i="23"/>
  <c r="U6" i="23"/>
  <c r="V6" i="23"/>
  <c r="W6" i="23"/>
  <c r="X6" i="23"/>
  <c r="Y6" i="23"/>
  <c r="Z6" i="23"/>
  <c r="AA6" i="23"/>
  <c r="AB6" i="23"/>
  <c r="AC6" i="23"/>
  <c r="C7" i="23"/>
  <c r="D7" i="23"/>
  <c r="E7" i="23"/>
  <c r="F7" i="23"/>
  <c r="G7" i="23"/>
  <c r="H7" i="23"/>
  <c r="I7" i="23"/>
  <c r="J7" i="23"/>
  <c r="K7" i="23"/>
  <c r="L7" i="23"/>
  <c r="M7" i="23"/>
  <c r="N7" i="23"/>
  <c r="O7" i="23"/>
  <c r="P7" i="23"/>
  <c r="Q7" i="23"/>
  <c r="R7" i="23"/>
  <c r="S7" i="23"/>
  <c r="T7" i="23"/>
  <c r="U7" i="23"/>
  <c r="V7" i="23"/>
  <c r="W7" i="23"/>
  <c r="X7" i="23"/>
  <c r="Y7" i="23"/>
  <c r="Z7" i="23"/>
  <c r="AA7" i="23"/>
  <c r="AB7" i="23"/>
  <c r="AC7" i="23"/>
  <c r="B3" i="23"/>
  <c r="B4" i="23"/>
  <c r="B5" i="23"/>
  <c r="B6" i="23"/>
  <c r="B7" i="23"/>
  <c r="B2" i="23"/>
  <c r="D12" i="67"/>
  <c r="E12"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D13" i="67"/>
  <c r="E13"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D15" i="67"/>
  <c r="E15"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E3" i="23"/>
  <c r="F3" i="23"/>
  <c r="K3" i="23"/>
  <c r="L3" i="23"/>
  <c r="M3" i="23"/>
  <c r="N3" i="23"/>
  <c r="O3" i="23"/>
  <c r="P3" i="23"/>
  <c r="Q3" i="23"/>
  <c r="S3" i="23"/>
  <c r="W3" i="23"/>
  <c r="Y3" i="23"/>
  <c r="Z3" i="23"/>
  <c r="AA3" i="23"/>
  <c r="D6" i="67"/>
  <c r="D7" i="67"/>
  <c r="D8" i="67"/>
  <c r="B11" i="56"/>
  <c r="B10" i="56"/>
  <c r="AL3" i="58"/>
  <c r="AK3" i="58"/>
  <c r="AL2" i="58"/>
  <c r="AK2" i="58"/>
  <c r="E54" i="37" l="1"/>
  <c r="F54" i="37"/>
  <c r="G54" i="37"/>
  <c r="H54" i="37"/>
  <c r="I54" i="37"/>
  <c r="J54" i="37"/>
  <c r="K54" i="37"/>
  <c r="L54" i="37"/>
  <c r="M54" i="37"/>
  <c r="N54" i="37"/>
  <c r="O54" i="37"/>
  <c r="P54" i="37"/>
  <c r="Q54" i="37"/>
  <c r="R54" i="37"/>
  <c r="S54" i="37"/>
  <c r="T54" i="37"/>
  <c r="U54" i="37"/>
  <c r="V54" i="37"/>
  <c r="W54" i="37"/>
  <c r="X54" i="37"/>
  <c r="Y54" i="37"/>
  <c r="Z54" i="37"/>
  <c r="AA54" i="37"/>
  <c r="AB54" i="37"/>
  <c r="AC54" i="37"/>
  <c r="AD54" i="37"/>
  <c r="AE54" i="37"/>
  <c r="D54" i="37"/>
  <c r="D66" i="37" l="1"/>
  <c r="G4" i="57"/>
  <c r="S66" i="37" l="1"/>
  <c r="K66" i="37"/>
  <c r="AA66" i="37"/>
  <c r="C66" i="37"/>
  <c r="X66" i="37"/>
  <c r="P66" i="37"/>
  <c r="H66" i="37"/>
  <c r="AE66" i="37"/>
  <c r="W66" i="37"/>
  <c r="O66" i="37"/>
  <c r="G66" i="37"/>
  <c r="AD66" i="37"/>
  <c r="V66" i="37"/>
  <c r="N66" i="37"/>
  <c r="F66" i="37"/>
  <c r="AC66" i="37"/>
  <c r="U66" i="37"/>
  <c r="M66" i="37"/>
  <c r="E66" i="37"/>
  <c r="Z66" i="37"/>
  <c r="R66" i="37"/>
  <c r="J66" i="37"/>
  <c r="Y66" i="37"/>
  <c r="Q66" i="37"/>
  <c r="I66" i="37"/>
  <c r="AB66" i="37"/>
  <c r="T66" i="37"/>
  <c r="L66" i="37"/>
  <c r="D19" i="4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C273" i="41"/>
  <c r="C272" i="41"/>
  <c r="C271" i="41"/>
  <c r="C270" i="41"/>
  <c r="C269" i="41"/>
  <c r="C268" i="41"/>
  <c r="C267" i="41"/>
  <c r="C266" i="41"/>
  <c r="C263" i="41"/>
  <c r="C262" i="41"/>
  <c r="C261" i="41"/>
  <c r="C260" i="41"/>
  <c r="C259" i="41"/>
  <c r="C258" i="41"/>
  <c r="C257" i="41"/>
  <c r="C256" i="41"/>
  <c r="C254" i="41"/>
  <c r="C253" i="41"/>
  <c r="C252" i="41"/>
  <c r="C251" i="41"/>
  <c r="C250" i="41"/>
  <c r="C249" i="41"/>
  <c r="C248" i="41"/>
  <c r="C243" i="41"/>
  <c r="C242" i="41"/>
  <c r="C241" i="41"/>
  <c r="C240" i="41"/>
  <c r="C239" i="41"/>
  <c r="C238" i="41"/>
  <c r="C237" i="41"/>
  <c r="C236" i="41"/>
  <c r="C235" i="41"/>
  <c r="C234" i="41"/>
  <c r="C233" i="41"/>
  <c r="C232" i="41"/>
  <c r="C231" i="41"/>
  <c r="C230" i="41"/>
  <c r="C229" i="41"/>
  <c r="C228" i="41"/>
  <c r="C227" i="41"/>
  <c r="C226" i="41"/>
  <c r="C225" i="41"/>
  <c r="C224" i="41"/>
  <c r="C223" i="41"/>
  <c r="C222" i="41"/>
  <c r="C221" i="41"/>
  <c r="C220" i="41"/>
  <c r="C219" i="41"/>
  <c r="C218" i="41"/>
  <c r="C217" i="41"/>
  <c r="C216" i="41"/>
  <c r="C215" i="41"/>
  <c r="C214" i="41"/>
  <c r="C213" i="41"/>
  <c r="C212" i="41"/>
  <c r="C211" i="41"/>
  <c r="C207" i="41"/>
  <c r="C206" i="41"/>
  <c r="C205" i="41"/>
  <c r="C204" i="41"/>
  <c r="C203" i="41"/>
  <c r="C202" i="41"/>
  <c r="C201" i="41"/>
  <c r="C200" i="41"/>
  <c r="C199" i="41"/>
  <c r="C198" i="41"/>
  <c r="C197" i="41"/>
  <c r="C195" i="41"/>
  <c r="C194" i="41"/>
  <c r="C193" i="41"/>
  <c r="C192" i="41"/>
  <c r="C191" i="41"/>
  <c r="C190" i="41"/>
  <c r="C189" i="41"/>
  <c r="C188" i="41"/>
  <c r="C187" i="41"/>
  <c r="C186" i="41"/>
  <c r="C184" i="41"/>
  <c r="C183" i="41"/>
  <c r="C182" i="41"/>
  <c r="C181" i="41"/>
  <c r="C180" i="41"/>
  <c r="C179" i="41"/>
  <c r="C178" i="41"/>
  <c r="C177" i="41"/>
  <c r="C176" i="41"/>
  <c r="C175" i="41"/>
  <c r="C169" i="41"/>
  <c r="C168" i="41"/>
  <c r="C167" i="41"/>
  <c r="C166" i="41"/>
  <c r="C165" i="41"/>
  <c r="C164" i="41"/>
  <c r="C163" i="41"/>
  <c r="C162" i="41"/>
  <c r="C161" i="41"/>
  <c r="C160" i="41"/>
  <c r="C159" i="41"/>
  <c r="C157" i="41"/>
  <c r="C156" i="41"/>
  <c r="C155" i="41"/>
  <c r="C154" i="41"/>
  <c r="C153" i="41"/>
  <c r="C152" i="41"/>
  <c r="C151" i="41"/>
  <c r="C150" i="41"/>
  <c r="C149" i="41"/>
  <c r="C148" i="41"/>
  <c r="C146" i="41"/>
  <c r="C145" i="41"/>
  <c r="C144" i="41"/>
  <c r="C143" i="41"/>
  <c r="C142" i="41"/>
  <c r="C141" i="41"/>
  <c r="C140" i="41"/>
  <c r="C139" i="41"/>
  <c r="C138" i="41"/>
  <c r="C137" i="41"/>
  <c r="C133" i="41"/>
  <c r="C132" i="41"/>
  <c r="C131" i="41"/>
  <c r="C130" i="41"/>
  <c r="C129" i="41"/>
  <c r="C128" i="41"/>
  <c r="C127" i="41"/>
  <c r="C126" i="41"/>
  <c r="C125" i="41"/>
  <c r="C124" i="41"/>
  <c r="C123" i="41"/>
  <c r="C121" i="41"/>
  <c r="C120" i="41"/>
  <c r="C119" i="41"/>
  <c r="C118" i="41"/>
  <c r="C117" i="41"/>
  <c r="C116" i="41"/>
  <c r="C115" i="41"/>
  <c r="C114" i="41"/>
  <c r="C113" i="41"/>
  <c r="C112" i="41"/>
  <c r="C110" i="41"/>
  <c r="C109" i="41"/>
  <c r="C108" i="41"/>
  <c r="C107" i="41"/>
  <c r="C106" i="41"/>
  <c r="C105" i="41"/>
  <c r="C104" i="41"/>
  <c r="C103" i="41"/>
  <c r="C102" i="41"/>
  <c r="C101" i="41"/>
  <c r="C97" i="41"/>
  <c r="C96" i="41"/>
  <c r="C95" i="41"/>
  <c r="C94" i="41"/>
  <c r="C93" i="41"/>
  <c r="C92" i="41"/>
  <c r="C91" i="41"/>
  <c r="C90" i="41"/>
  <c r="C89" i="41"/>
  <c r="C88" i="41"/>
  <c r="C86" i="41"/>
  <c r="C85" i="41"/>
  <c r="C84" i="41"/>
  <c r="C83" i="41"/>
  <c r="C82" i="41"/>
  <c r="C81" i="41"/>
  <c r="C80" i="41"/>
  <c r="C79" i="41"/>
  <c r="C78" i="41"/>
  <c r="C77" i="41"/>
  <c r="C75" i="41"/>
  <c r="C74" i="41"/>
  <c r="C73" i="41"/>
  <c r="C72" i="41"/>
  <c r="C71" i="41"/>
  <c r="C70" i="41"/>
  <c r="C69" i="41"/>
  <c r="C68" i="41"/>
  <c r="C67" i="41"/>
  <c r="C66" i="41"/>
  <c r="C64" i="41"/>
  <c r="C63" i="41"/>
  <c r="C62" i="41"/>
  <c r="C61" i="41"/>
  <c r="C60" i="41"/>
  <c r="C59" i="41"/>
  <c r="C58" i="41"/>
  <c r="C57" i="41"/>
  <c r="C56" i="41"/>
  <c r="C55" i="41"/>
  <c r="C51" i="41"/>
  <c r="C50" i="41"/>
  <c r="C49" i="41"/>
  <c r="C48" i="41"/>
  <c r="C47" i="41"/>
  <c r="C46" i="41"/>
  <c r="C45" i="41"/>
  <c r="C44" i="41"/>
  <c r="C43" i="41"/>
  <c r="C42" i="41"/>
  <c r="C41" i="41"/>
  <c r="C39" i="41"/>
  <c r="C38" i="41"/>
  <c r="C37" i="41"/>
  <c r="C36" i="41"/>
  <c r="C35" i="41"/>
  <c r="C34" i="41"/>
  <c r="C33" i="41"/>
  <c r="C32" i="41"/>
  <c r="C31" i="41"/>
  <c r="C30" i="41"/>
  <c r="C28" i="41"/>
  <c r="C27" i="41"/>
  <c r="C26" i="41"/>
  <c r="C25" i="41"/>
  <c r="C24" i="41"/>
  <c r="C23" i="41"/>
  <c r="C22" i="41"/>
  <c r="C21" i="41"/>
  <c r="C20"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C192" i="40"/>
  <c r="C191" i="40"/>
  <c r="C190" i="40"/>
  <c r="C189" i="40"/>
  <c r="C188" i="40"/>
  <c r="C187" i="40"/>
  <c r="C186" i="40"/>
  <c r="C185" i="40"/>
  <c r="C184" i="40"/>
  <c r="C183" i="40"/>
  <c r="C182" i="40"/>
  <c r="C181" i="40"/>
  <c r="C180" i="40"/>
  <c r="C179" i="40"/>
  <c r="C178" i="40"/>
  <c r="C177" i="40"/>
  <c r="C173" i="40"/>
  <c r="C172" i="40"/>
  <c r="C171" i="40"/>
  <c r="C170" i="40"/>
  <c r="C168" i="40"/>
  <c r="C167" i="40"/>
  <c r="C166" i="40"/>
  <c r="C165" i="40"/>
  <c r="C161" i="40"/>
  <c r="C160" i="40"/>
  <c r="C159" i="40"/>
  <c r="C158" i="40"/>
  <c r="C157" i="40"/>
  <c r="C156" i="40"/>
  <c r="C155" i="40"/>
  <c r="C154" i="40"/>
  <c r="C153" i="40"/>
  <c r="C152" i="40"/>
  <c r="C151" i="40"/>
  <c r="C150" i="40"/>
  <c r="C149" i="40"/>
  <c r="C148" i="40"/>
  <c r="C147" i="40"/>
  <c r="C146" i="40"/>
  <c r="C145" i="40"/>
  <c r="C144" i="40"/>
  <c r="C143" i="40"/>
  <c r="C142" i="40"/>
  <c r="C141" i="40"/>
  <c r="C140" i="40"/>
  <c r="C139" i="40"/>
  <c r="C138" i="40"/>
  <c r="C137" i="40"/>
  <c r="C136" i="40"/>
  <c r="C135" i="40"/>
  <c r="C134" i="40"/>
  <c r="C133" i="40"/>
  <c r="C132" i="40"/>
  <c r="C131" i="40"/>
  <c r="C130" i="40"/>
  <c r="C129" i="40"/>
  <c r="C128" i="40"/>
  <c r="C127" i="40"/>
  <c r="C126" i="40"/>
  <c r="C125" i="40"/>
  <c r="C124" i="40"/>
  <c r="C123" i="40"/>
  <c r="C122" i="40"/>
  <c r="C121" i="40"/>
  <c r="C120" i="40"/>
  <c r="C119" i="40"/>
  <c r="C118" i="40"/>
  <c r="C117" i="40"/>
  <c r="C116" i="40"/>
  <c r="C115" i="40"/>
  <c r="C114" i="40"/>
  <c r="C113" i="40"/>
  <c r="C112" i="40"/>
  <c r="C111" i="40"/>
  <c r="C110" i="40"/>
  <c r="C109" i="40"/>
  <c r="C106" i="40"/>
  <c r="C105" i="40"/>
  <c r="C104" i="40"/>
  <c r="C103" i="40"/>
  <c r="C102" i="40"/>
  <c r="C101" i="40"/>
  <c r="C100" i="40"/>
  <c r="C99" i="40"/>
  <c r="C98" i="40"/>
  <c r="C97" i="40"/>
  <c r="C96" i="40"/>
  <c r="C95" i="40"/>
  <c r="C94" i="40"/>
  <c r="C93" i="40"/>
  <c r="C92" i="40"/>
  <c r="C91" i="40"/>
  <c r="C90" i="40"/>
  <c r="C87" i="40"/>
  <c r="C86" i="40"/>
  <c r="C85" i="40"/>
  <c r="C84" i="40"/>
  <c r="C83" i="40"/>
  <c r="C82" i="40"/>
  <c r="C81" i="40"/>
  <c r="C80" i="40"/>
  <c r="C79" i="40"/>
  <c r="C78" i="40"/>
  <c r="C77" i="40"/>
  <c r="C76" i="40"/>
  <c r="C75" i="40"/>
  <c r="C74" i="40"/>
  <c r="C71" i="40"/>
  <c r="C70" i="40"/>
  <c r="C69" i="40"/>
  <c r="C68" i="40"/>
  <c r="C67" i="40"/>
  <c r="C66" i="40"/>
  <c r="C65" i="40"/>
  <c r="C64" i="40"/>
  <c r="C63" i="40"/>
  <c r="C62" i="40"/>
  <c r="C61" i="40"/>
  <c r="C60" i="40"/>
  <c r="C59" i="40"/>
  <c r="C57" i="40"/>
  <c r="C56" i="40"/>
  <c r="C55" i="40"/>
  <c r="C54" i="40"/>
  <c r="C53" i="40"/>
  <c r="C52" i="40"/>
  <c r="C51" i="40"/>
  <c r="C50" i="40"/>
  <c r="C49" i="40"/>
  <c r="C48" i="40"/>
  <c r="C47" i="40"/>
  <c r="C46" i="40"/>
  <c r="C45" i="40"/>
  <c r="C40" i="40"/>
  <c r="C39" i="40"/>
  <c r="C38" i="40"/>
  <c r="C37" i="40"/>
  <c r="C36" i="40"/>
  <c r="C35" i="40"/>
  <c r="C34" i="40"/>
  <c r="C33" i="40"/>
  <c r="C32" i="40"/>
  <c r="C31" i="40"/>
  <c r="C30" i="40"/>
  <c r="C29" i="40"/>
  <c r="C28" i="40"/>
  <c r="C24" i="40"/>
  <c r="C23" i="40"/>
  <c r="C20" i="40"/>
  <c r="C19" i="40"/>
  <c r="C18" i="40"/>
  <c r="C17"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C77" i="39"/>
  <c r="C76" i="39"/>
  <c r="C75" i="39"/>
  <c r="C74" i="39"/>
  <c r="C73" i="39"/>
  <c r="C72" i="39"/>
  <c r="C71" i="39"/>
  <c r="C70" i="39"/>
  <c r="C69" i="39"/>
  <c r="C68" i="39"/>
  <c r="C65" i="39"/>
  <c r="C63" i="39"/>
  <c r="C61" i="39"/>
  <c r="C60" i="39"/>
  <c r="C59" i="39"/>
  <c r="C58" i="39"/>
  <c r="C57" i="39"/>
  <c r="C56" i="39"/>
  <c r="C55" i="39"/>
  <c r="C54" i="39"/>
  <c r="C53" i="39"/>
  <c r="C52" i="39"/>
  <c r="C51" i="39"/>
  <c r="C50" i="39"/>
  <c r="C49" i="39"/>
  <c r="C48" i="39"/>
  <c r="C47" i="39"/>
  <c r="C44" i="39"/>
  <c r="C43" i="39"/>
  <c r="C42" i="39"/>
  <c r="C38" i="39"/>
  <c r="C36" i="39"/>
  <c r="C35" i="39"/>
  <c r="C34" i="39"/>
  <c r="C33" i="39"/>
  <c r="C32" i="39"/>
  <c r="C31" i="39"/>
  <c r="C30" i="39"/>
  <c r="C29" i="39"/>
  <c r="C28" i="39"/>
  <c r="C27" i="39"/>
  <c r="C26" i="39"/>
  <c r="C25" i="39"/>
  <c r="C24" i="39"/>
  <c r="C23" i="39"/>
  <c r="C22" i="39"/>
  <c r="C19" i="39"/>
  <c r="C18"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C74" i="38"/>
  <c r="C72" i="38"/>
  <c r="C71" i="38"/>
  <c r="C70" i="38"/>
  <c r="C69" i="38"/>
  <c r="C68" i="38"/>
  <c r="C67" i="38"/>
  <c r="C66" i="38"/>
  <c r="C65" i="38"/>
  <c r="C64" i="38"/>
  <c r="C63" i="38"/>
  <c r="C62" i="38"/>
  <c r="C61" i="38"/>
  <c r="C60" i="38"/>
  <c r="C59" i="38"/>
  <c r="C56" i="38"/>
  <c r="C54" i="38"/>
  <c r="C53" i="38"/>
  <c r="C52" i="38"/>
  <c r="C51" i="38"/>
  <c r="C49" i="38"/>
  <c r="C48" i="38"/>
  <c r="C47" i="38"/>
  <c r="C46" i="38"/>
  <c r="C45" i="38"/>
  <c r="C44" i="38"/>
  <c r="C43" i="38"/>
  <c r="C42" i="38"/>
  <c r="C41" i="38"/>
  <c r="C40" i="38"/>
  <c r="C39" i="38"/>
  <c r="C38" i="38"/>
  <c r="C37" i="38"/>
  <c r="C36" i="38"/>
  <c r="C35" i="38"/>
  <c r="C34" i="38"/>
  <c r="C33" i="38"/>
  <c r="C32" i="38"/>
  <c r="C29" i="38"/>
  <c r="C28" i="38"/>
  <c r="C27" i="38"/>
  <c r="C26" i="38"/>
  <c r="C25" i="38"/>
  <c r="C24" i="38"/>
  <c r="C23" i="38"/>
  <c r="C22" i="38"/>
  <c r="C21" i="38"/>
  <c r="C20" i="38"/>
  <c r="C19" i="38"/>
  <c r="C18" i="38"/>
  <c r="C17" i="38"/>
</calcChain>
</file>

<file path=xl/sharedStrings.xml><?xml version="1.0" encoding="utf-8"?>
<sst xmlns="http://schemas.openxmlformats.org/spreadsheetml/2006/main" count="7264" uniqueCount="3776">
  <si>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</si>
  <si>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</si>
  <si>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</si>
  <si>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</si>
  <si>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</si>
  <si>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</si>
  <si>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</si>
  <si>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</si>
  <si>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</si>
  <si>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</si>
  <si>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</si>
  <si>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</si>
  <si>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</si>
  <si>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</si>
  <si>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</si>
  <si>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</si>
  <si>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</si>
  <si>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</si>
  <si>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</si>
  <si>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</si>
  <si>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</si>
  <si>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</si>
  <si>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</si>
  <si>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</si>
  <si>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</si>
  <si>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</si>
  <si>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</si>
  <si>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</si>
  <si>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</si>
  <si>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</si>
  <si>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</si>
  <si>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</si>
  <si>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</si>
  <si>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</si>
  <si>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</si>
  <si>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</si>
  <si>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</si>
  <si>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</si>
  <si>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</si>
  <si>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</si>
  <si>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</si>
  <si>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</si>
  <si>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</si>
  <si>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</si>
  <si>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</si>
  <si>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</si>
  <si>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</si>
  <si>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</si>
  <si>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</si>
  <si>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</si>
  <si>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</si>
  <si>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</si>
  <si>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</si>
  <si>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</si>
  <si>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</si>
  <si>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</si>
  <si>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</si>
  <si>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</si>
  <si>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</si>
  <si>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</si>
  <si>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</si>
  <si>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</si>
  <si>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</si>
  <si>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</si>
  <si>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</si>
  <si>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</si>
  <si>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</si>
  <si>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</si>
  <si>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</si>
  <si>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</si>
  <si>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</si>
  <si>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</si>
  <si>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</si>
  <si>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</si>
  <si>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</si>
  <si>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</si>
  <si>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</si>
  <si>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</si>
  <si>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</si>
  <si>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</si>
  <si>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</si>
  <si>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</si>
  <si>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</si>
  <si>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</si>
  <si>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</si>
  <si>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</si>
  <si>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</si>
  <si>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</si>
  <si>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</si>
  <si>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</si>
  <si>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</si>
  <si>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</si>
  <si>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</si>
  <si>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</si>
  <si>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</si>
  <si>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</si>
  <si>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</si>
  <si>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</si>
  <si>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</si>
  <si>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</si>
  <si>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</si>
  <si>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</si>
  <si>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</si>
  <si>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</si>
  <si>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</si>
  <si>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</si>
  <si>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</si>
  <si>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</si>
  <si>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</si>
  <si>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</si>
  <si>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</si>
  <si>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</si>
  <si>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</si>
  <si>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</si>
  <si>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</si>
  <si>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</si>
  <si>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</si>
  <si>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</si>
  <si>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</si>
  <si>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</si>
  <si>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</si>
  <si>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</si>
  <si>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</si>
  <si>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</si>
  <si>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</si>
  <si>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</si>
  <si>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</si>
  <si>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</si>
  <si>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</si>
  <si>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</si>
  <si>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</si>
  <si>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</si>
  <si>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</si>
  <si>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</si>
  <si>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</si>
  <si>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</si>
  <si>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</si>
  <si>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</si>
  <si>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</si>
  <si>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</si>
  <si>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</si>
  <si>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</si>
  <si>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</si>
  <si>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</si>
  <si>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</si>
  <si>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</si>
  <si>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</si>
  <si>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</si>
  <si>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</si>
  <si>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</si>
  <si>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</si>
  <si>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</si>
  <si>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</si>
  <si>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</si>
  <si>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</si>
  <si>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</si>
  <si>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</si>
  <si>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</si>
  <si>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</si>
  <si>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</si>
  <si>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</si>
  <si>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</si>
  <si>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</si>
  <si>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</si>
  <si>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</si>
  <si>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</si>
  <si>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</si>
  <si>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</si>
  <si>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</si>
  <si>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</si>
  <si>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</si>
  <si>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</si>
  <si>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</si>
  <si>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</si>
  <si>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</si>
  <si>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</si>
  <si>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</si>
  <si>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</si>
  <si>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</si>
  <si>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</si>
  <si>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</si>
  <si>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</si>
  <si>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</si>
  <si>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</si>
  <si>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</si>
  <si>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</si>
  <si>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</si>
  <si>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</si>
  <si>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</si>
  <si>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</si>
  <si>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</si>
  <si>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</si>
  <si>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</si>
  <si>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</si>
  <si>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</si>
  <si>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</si>
  <si>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</si>
  <si>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</si>
  <si>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</si>
  <si>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</si>
  <si>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</si>
  <si>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</si>
  <si>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</si>
  <si>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</si>
  <si>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</si>
  <si>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</si>
  <si>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</si>
  <si>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</si>
  <si>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</si>
  <si>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</si>
  <si>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</si>
  <si>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</si>
  <si>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</si>
  <si>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</si>
  <si>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</si>
  <si>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</si>
  <si>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</si>
  <si>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</si>
  <si>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</si>
  <si>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</si>
  <si>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</si>
  <si>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</si>
  <si>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</si>
  <si>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</si>
  <si>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</si>
  <si>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</si>
  <si>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 xml:space="preserve"> U.S.</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</si>
  <si>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</si>
  <si>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</si>
  <si>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</si>
  <si>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</si>
  <si>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</si>
  <si>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</si>
  <si>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</si>
  <si>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</si>
  <si>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</si>
  <si>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</si>
  <si>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</si>
  <si>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</si>
  <si>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</si>
  <si>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</si>
  <si>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</si>
  <si>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</si>
  <si>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</si>
  <si>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</si>
  <si>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</si>
  <si>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</si>
  <si>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</si>
  <si>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</si>
  <si>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</si>
  <si>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</si>
  <si>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</si>
  <si>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</si>
  <si>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</si>
  <si>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</si>
  <si>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</si>
  <si>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</si>
  <si>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</si>
  <si>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</si>
  <si>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</si>
  <si>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</si>
  <si>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</si>
  <si>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</si>
  <si>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</si>
  <si>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</si>
  <si>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</si>
  <si>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</si>
  <si>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</si>
  <si>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</si>
  <si>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</si>
  <si>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</si>
  <si>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</si>
  <si>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ton miles/thousand B</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</si>
  <si>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</si>
  <si>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</si>
  <si>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</si>
  <si>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</si>
  <si>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</si>
  <si>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</si>
  <si>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</si>
  <si>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</si>
  <si>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</si>
  <si>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</si>
  <si>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</si>
  <si>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</si>
  <si>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</si>
  <si>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</si>
  <si>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</si>
  <si>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</si>
  <si>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</si>
  <si>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</si>
  <si>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</si>
  <si>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</si>
  <si>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</si>
  <si>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</si>
  <si>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</si>
  <si>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</si>
  <si>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</si>
  <si>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</si>
  <si>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</si>
  <si>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</si>
  <si>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</si>
  <si>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</si>
  <si>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</si>
  <si>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</si>
  <si>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</si>
  <si>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</si>
  <si>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</si>
  <si>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</si>
  <si>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</si>
  <si>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</si>
  <si>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</si>
  <si>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</si>
  <si>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</si>
  <si>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</si>
  <si>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</si>
  <si>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</si>
  <si>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</si>
  <si>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</si>
  <si>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</si>
  <si>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</si>
  <si>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</si>
  <si>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</si>
  <si>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</si>
  <si>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</si>
  <si>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</si>
  <si>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</si>
  <si>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</si>
  <si>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</si>
  <si>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</si>
  <si>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</si>
  <si>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</si>
  <si>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</si>
  <si>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</si>
  <si>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</si>
  <si>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</si>
  <si>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</si>
  <si>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</si>
  <si>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</si>
  <si>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</si>
  <si>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</si>
  <si>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</si>
  <si>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</si>
  <si>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</si>
  <si>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</si>
  <si>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</si>
  <si>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</si>
  <si>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</si>
  <si>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</si>
  <si>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</si>
  <si>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</si>
  <si>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</si>
  <si>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</si>
  <si>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</si>
  <si>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</si>
  <si>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</si>
  <si>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</si>
  <si>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</si>
  <si>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</si>
  <si>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</si>
  <si>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</si>
  <si>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</si>
  <si>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</si>
  <si>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</si>
  <si>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</si>
  <si>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</si>
  <si>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</si>
  <si>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</si>
  <si>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</si>
  <si>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</si>
  <si>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</si>
  <si>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</si>
  <si>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</si>
  <si>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</si>
  <si>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</si>
  <si>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</si>
  <si>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</si>
  <si>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</si>
  <si>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</si>
  <si>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</si>
  <si>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</si>
  <si>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</si>
  <si>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</si>
  <si>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</si>
  <si>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</si>
  <si>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</si>
  <si>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</si>
  <si>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</si>
  <si>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</si>
  <si>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</si>
  <si>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</si>
  <si>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</si>
  <si>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</si>
  <si>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</si>
  <si>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</si>
  <si>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</si>
  <si>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</si>
  <si>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</si>
  <si>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</si>
  <si>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</si>
  <si>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</si>
  <si>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</si>
  <si>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</si>
  <si>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</si>
  <si>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</si>
  <si>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</si>
  <si>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</si>
  <si>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</si>
  <si>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</si>
  <si>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</si>
  <si>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</si>
  <si>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</si>
  <si>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</si>
  <si>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</si>
  <si>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</si>
  <si>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</si>
  <si>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</si>
  <si>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</si>
  <si>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</si>
  <si>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</si>
  <si>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</si>
  <si>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</si>
  <si>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</si>
  <si>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</si>
  <si>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</si>
  <si>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</si>
  <si>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</si>
  <si>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</si>
  <si>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</si>
  <si>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</si>
  <si>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</si>
  <si>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</si>
  <si>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</si>
  <si>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</si>
  <si>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</si>
  <si>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</si>
  <si>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</si>
  <si>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</si>
  <si>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</si>
  <si>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</si>
  <si>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</si>
  <si>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</si>
  <si>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</si>
  <si>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</si>
  <si>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</si>
  <si>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</si>
  <si>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</si>
  <si>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</si>
  <si>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</si>
  <si>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</si>
  <si>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</si>
  <si>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</si>
  <si>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</si>
  <si>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</si>
  <si>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</si>
  <si>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</si>
  <si>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</si>
  <si>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</si>
  <si>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</si>
  <si>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</si>
  <si>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</si>
  <si>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</si>
  <si>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</si>
  <si>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</si>
  <si>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</si>
  <si>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</si>
  <si>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</si>
  <si>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</si>
  <si>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</si>
  <si>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</si>
  <si>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</si>
  <si>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</si>
  <si>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</si>
  <si>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</si>
  <si>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</si>
  <si>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</si>
  <si>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</si>
  <si>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</si>
  <si>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</si>
  <si>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</si>
  <si>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</si>
  <si>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</si>
  <si>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</si>
  <si>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</si>
  <si>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</si>
  <si>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</si>
  <si>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</si>
  <si>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</si>
  <si>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</si>
  <si>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</si>
  <si>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</si>
  <si>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</si>
  <si>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</si>
  <si>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</si>
  <si>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</si>
  <si>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</si>
  <si>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</si>
  <si>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</si>
  <si>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</si>
  <si>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</si>
  <si>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</si>
  <si>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</si>
  <si>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</si>
  <si>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</si>
  <si>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</si>
  <si>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</si>
  <si>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</si>
  <si>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</si>
  <si>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</si>
  <si>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</si>
  <si>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</si>
  <si>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</si>
  <si>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</si>
  <si>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</si>
  <si>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</si>
  <si>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</si>
  <si>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</si>
  <si>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</si>
  <si>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</si>
  <si>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</si>
  <si>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</si>
  <si>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</si>
  <si>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</si>
  <si>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</si>
  <si>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</si>
  <si>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</si>
  <si>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</si>
  <si>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</si>
  <si>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</si>
  <si>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</si>
  <si>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</si>
  <si>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</si>
  <si>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</si>
  <si>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</si>
  <si>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</si>
  <si>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</si>
  <si>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</si>
  <si>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</si>
  <si>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</si>
  <si>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</si>
  <si>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</si>
  <si>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</si>
  <si>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</si>
  <si>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</si>
  <si>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</si>
  <si>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</si>
  <si>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</si>
  <si>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</si>
  <si>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</si>
  <si>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</si>
  <si>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</si>
  <si>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</si>
  <si>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</si>
  <si>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</si>
  <si>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</si>
  <si>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</si>
  <si>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</si>
  <si>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</si>
  <si>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</si>
  <si>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</si>
  <si>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</si>
  <si>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</si>
  <si>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</si>
  <si>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</si>
  <si>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</si>
  <si>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</si>
  <si>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</si>
  <si>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</si>
  <si>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</si>
  <si>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</si>
  <si>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</si>
  <si>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</si>
  <si>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</si>
  <si>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</si>
  <si>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</si>
  <si>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</si>
  <si>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</si>
  <si>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</si>
  <si>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</si>
  <si>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</si>
  <si>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</si>
  <si>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</si>
  <si>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</si>
  <si>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</si>
  <si>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</si>
  <si>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</si>
  <si>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</si>
  <si>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</si>
  <si>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</si>
  <si>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</si>
  <si>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</si>
  <si>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</si>
  <si>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</si>
  <si>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</si>
  <si>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</si>
  <si>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</si>
  <si>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</si>
  <si>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</si>
  <si>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</si>
  <si>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</si>
  <si>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</si>
  <si>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</si>
  <si>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</si>
  <si>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</si>
  <si>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</si>
  <si>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</si>
  <si>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</si>
  <si>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</si>
  <si>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</si>
  <si>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</si>
  <si>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</si>
  <si>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</si>
  <si>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</si>
  <si>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</si>
  <si>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</si>
  <si>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</si>
  <si>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</si>
  <si>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</si>
  <si>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</si>
  <si>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</si>
  <si>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</si>
  <si>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</si>
  <si>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</si>
  <si>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</si>
  <si>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</si>
  <si>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</si>
  <si>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</si>
  <si>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</si>
  <si>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</si>
  <si>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</si>
  <si>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</si>
  <si>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</si>
  <si>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</si>
  <si>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</si>
  <si>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</si>
  <si>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</si>
  <si>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</si>
  <si>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</si>
  <si>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</si>
  <si>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</si>
  <si>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</si>
  <si>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</si>
  <si>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</si>
  <si>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</si>
  <si>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</si>
  <si>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</si>
  <si>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</si>
  <si>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</si>
  <si>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</si>
  <si>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</si>
  <si>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</si>
  <si>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</si>
  <si>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</si>
  <si>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</si>
  <si>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</si>
  <si>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</si>
  <si>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</si>
  <si>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</si>
  <si>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</si>
  <si>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</si>
  <si>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</si>
  <si>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</si>
  <si>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</si>
  <si>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</si>
  <si>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</si>
  <si>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</si>
  <si>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</si>
  <si>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</si>
  <si>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</si>
  <si>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</si>
  <si>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</si>
  <si>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</si>
  <si>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</si>
  <si>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</si>
  <si>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</si>
  <si>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</si>
  <si>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</si>
  <si>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</si>
  <si>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</si>
  <si>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</si>
  <si>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</si>
  <si>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</si>
  <si>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</si>
  <si>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</si>
  <si>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</si>
  <si>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</si>
  <si>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</si>
  <si>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</si>
  <si>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</si>
  <si>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</si>
  <si>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</si>
  <si>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</si>
  <si>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</si>
  <si>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</si>
  <si>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</si>
  <si>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</si>
  <si>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</si>
  <si>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</si>
  <si>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</si>
  <si>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</si>
  <si>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</si>
  <si>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</si>
  <si>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</si>
  <si>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</si>
  <si>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</si>
  <si>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</si>
  <si>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</si>
  <si>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</si>
  <si>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</si>
  <si>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</si>
  <si>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</si>
  <si>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</si>
  <si>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</si>
  <si>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</si>
  <si>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</si>
  <si>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</si>
  <si>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</si>
  <si>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</si>
  <si>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</si>
  <si>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</si>
  <si>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</si>
  <si>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</si>
  <si>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</si>
  <si>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</si>
  <si>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</si>
  <si>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</si>
  <si>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</si>
  <si>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</si>
  <si>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</si>
  <si>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</si>
  <si>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</si>
  <si>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</si>
  <si>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</si>
  <si>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</si>
  <si>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</si>
  <si>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</si>
  <si>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</si>
  <si>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</si>
  <si>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</si>
  <si>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</si>
  <si>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</si>
  <si>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</si>
  <si>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</si>
  <si>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</si>
  <si>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</si>
  <si>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</si>
  <si>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</si>
  <si>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</si>
  <si>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</si>
  <si>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</si>
  <si>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</si>
  <si>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</si>
  <si>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</si>
  <si>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</si>
  <si>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</si>
  <si>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</si>
  <si>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</si>
  <si>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</si>
  <si>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</si>
  <si>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</si>
  <si>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</si>
  <si>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</si>
  <si>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</si>
  <si>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</si>
  <si>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</si>
  <si>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</si>
  <si>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</si>
  <si>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</si>
  <si>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</si>
  <si>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</si>
  <si>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</si>
  <si>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</si>
  <si>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</si>
  <si>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</si>
  <si>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</si>
  <si>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</si>
  <si>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</si>
  <si>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</si>
  <si>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</si>
  <si>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</si>
  <si>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</si>
  <si>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</si>
  <si>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</si>
  <si>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</si>
  <si>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</si>
  <si>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</si>
  <si>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</si>
  <si>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</si>
  <si>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</si>
  <si>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</si>
  <si>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</si>
  <si>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</si>
  <si>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</si>
  <si>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</si>
  <si>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</si>
  <si>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</si>
  <si>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</si>
  <si>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</si>
  <si>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</si>
  <si>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</si>
  <si>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</si>
  <si>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</si>
  <si>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</si>
  <si>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</si>
  <si>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</si>
  <si>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</si>
  <si>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</si>
  <si>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</si>
  <si>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</si>
  <si>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</si>
  <si>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</si>
  <si>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</si>
  <si>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</si>
  <si>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</si>
  <si>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</si>
  <si>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</si>
  <si>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</si>
  <si>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</si>
  <si>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</si>
  <si>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</si>
  <si>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</si>
  <si>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</si>
  <si>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</si>
  <si>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</si>
  <si>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</si>
  <si>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</si>
  <si>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</si>
  <si>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</si>
  <si>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</si>
  <si>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</si>
  <si>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</si>
  <si>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</si>
  <si>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</si>
  <si>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</si>
  <si>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</si>
  <si>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</si>
  <si>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</si>
  <si>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</si>
  <si>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</si>
  <si>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</si>
  <si>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</si>
  <si>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</si>
  <si>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</si>
  <si>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</si>
  <si>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</si>
  <si>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</si>
  <si>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</si>
  <si>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</si>
  <si>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</si>
  <si>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</si>
  <si>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</si>
  <si>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</si>
  <si>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</si>
  <si>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</si>
  <si>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</si>
  <si>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</si>
  <si>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</si>
  <si>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</si>
  <si>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</si>
  <si>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</si>
  <si>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</si>
  <si>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</si>
  <si>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</si>
  <si>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</si>
  <si>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</si>
  <si>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</si>
  <si>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</si>
  <si>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</si>
  <si>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</si>
  <si>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</si>
  <si>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</si>
  <si>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</si>
  <si>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</si>
  <si>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</si>
  <si>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</si>
  <si>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</si>
  <si>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</si>
  <si>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</si>
  <si>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</si>
  <si>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</si>
  <si>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</si>
  <si>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</si>
  <si>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</si>
  <si>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</si>
  <si>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</si>
  <si>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</si>
  <si>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</si>
  <si>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</si>
  <si>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</si>
  <si>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</si>
  <si>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</si>
  <si>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</si>
  <si>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</si>
  <si>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</si>
  <si>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</si>
  <si>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</si>
  <si>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</si>
  <si>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</si>
  <si>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</si>
  <si>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</si>
  <si>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</si>
  <si>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</si>
  <si>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</si>
  <si>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</si>
  <si>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</si>
  <si>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</si>
  <si>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</si>
  <si>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</si>
  <si>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</si>
  <si>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</si>
  <si>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</si>
  <si>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</si>
  <si>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</si>
  <si>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</si>
  <si>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</si>
  <si>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</si>
  <si>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</si>
  <si>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</si>
  <si>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</si>
  <si>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</si>
  <si>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</si>
  <si>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</si>
  <si>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</si>
  <si>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</si>
  <si>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</si>
  <si>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</si>
  <si>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</si>
  <si>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</si>
  <si>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</si>
  <si>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</si>
  <si>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</si>
  <si>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</si>
  <si>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</si>
  <si>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</si>
  <si>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</si>
  <si>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</si>
  <si>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</si>
  <si>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</si>
  <si>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</si>
  <si>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</si>
  <si>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</si>
  <si>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</si>
  <si>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</si>
  <si>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</si>
  <si>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</si>
  <si>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</si>
  <si>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</si>
  <si>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</si>
  <si>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</si>
  <si>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</si>
  <si>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</si>
  <si>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</si>
  <si>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</si>
  <si>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</si>
  <si>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</si>
  <si>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</si>
  <si>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</si>
  <si>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</si>
  <si>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</si>
  <si>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</si>
  <si>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</si>
  <si>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</si>
  <si>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</si>
  <si>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</si>
  <si>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</si>
  <si>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</si>
  <si>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</si>
  <si>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</si>
  <si>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</si>
  <si>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</si>
  <si>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</si>
  <si>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</si>
  <si>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</si>
  <si>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</si>
  <si>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</si>
  <si>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</si>
  <si>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</si>
  <si>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</si>
  <si>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</si>
  <si>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</si>
  <si>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</si>
  <si>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</si>
  <si>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</si>
  <si>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</si>
  <si>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</si>
  <si>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</si>
  <si>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</si>
  <si>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</si>
  <si>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</si>
  <si>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</si>
  <si>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</si>
  <si>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</si>
  <si>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</si>
  <si>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</si>
  <si>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</si>
  <si>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</si>
  <si>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</si>
  <si>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</si>
  <si>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</si>
  <si>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</si>
  <si>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</si>
  <si>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</si>
  <si>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</si>
  <si>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</si>
  <si>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</si>
  <si>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</si>
  <si>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</si>
  <si>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</si>
  <si>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</si>
  <si>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</si>
  <si>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</si>
  <si>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</si>
  <si>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</si>
  <si>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</si>
  <si>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</si>
  <si>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</si>
  <si>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</si>
  <si>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</si>
  <si>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</si>
  <si>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</si>
  <si>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</si>
  <si>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</si>
  <si>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</si>
  <si>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</si>
  <si>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</si>
  <si>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</si>
  <si>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ref2023.d020623a</t>
  </si>
  <si>
    <t>Annual Energy Outlook 2023</t>
  </si>
  <si>
    <t>ref2023</t>
  </si>
  <si>
    <t>d020623a</t>
  </si>
  <si>
    <t xml:space="preserve"> March 2023</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</si>
  <si>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</si>
  <si>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</si>
  <si>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</si>
  <si>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</si>
  <si>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</si>
  <si>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</si>
  <si>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</si>
  <si>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</si>
  <si>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</si>
  <si>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https://www.eia.gov/outlooks/aeo/data/browser/#/?id=45-AEO2023&amp;region=0-0&amp;cases=lowmacro&amp;start=2021&amp;end=2050&amp;f=A&amp;sourcekey=0</t>
  </si>
  <si>
    <t>Tue Apr 11 2023 11:16:50 GMT-0400 (Eastern Daylight Time)</t>
  </si>
  <si>
    <t>Growth (2022-2050)</t>
  </si>
  <si>
    <t>Transportation Energy Use: Highway: Light-Duty Vehicles: Low Economic Growth</t>
  </si>
  <si>
    <t>AEO.2023.LOWMACRO.CNSM_NA_TRN_HWY_LDV_NA_NA_TRLBTU.A</t>
  </si>
  <si>
    <t>Transportation Energy Use: Highway: Light-Duty Vehicles: Automobiles: Low Economic Growth</t>
  </si>
  <si>
    <t>AEO.2023.LOWMACRO.CNSM_NA_TRN_HWY_LDV_AUTO_NA_TRLBTU.A</t>
  </si>
  <si>
    <t>Transportation Energy Use: Highway: Light-Duty Vehicles: Light Trucks: Low Economic Growth</t>
  </si>
  <si>
    <t>AEO.2023.LOWMACRO.CNSM_NA_TRN_HWY_LDV_LTRT_NA_TRLBTU.A</t>
  </si>
  <si>
    <t>Transportation Energy Use: Highway: Light-Duty Vehicles: Motorcycles: Low Economic Growth</t>
  </si>
  <si>
    <t>AEO.2023.LOWMACRO.CNSM_NA_TRN_HWY_LDV_MCYCL_NA_TRLBTU.A</t>
  </si>
  <si>
    <t>Transportation Energy Use: Highway: Commercial Light Trucks: Low Economic Growth</t>
  </si>
  <si>
    <t>AEO.2023.LOWMACRO.CNSM_NA_TRN_HWY_CML_NA_NA_TRLBTU.A</t>
  </si>
  <si>
    <t>Transportation Energy Use: Highway: Buses: Low Economic Growth</t>
  </si>
  <si>
    <t>AEO.2023.LOWMACRO.CNSM_NA_TRN_HWY_BUS_NA_NA_TRLBTU.A</t>
  </si>
  <si>
    <t>Transportation Energy Use: Highway: Buses: Transit: Low Economic Growth</t>
  </si>
  <si>
    <t>AEO.2023.LOWMACRO.CNSM_NA_TRN_HWY_BUS_TNST_NA_TRLBTU.A</t>
  </si>
  <si>
    <t>Transportation Energy Use: Highway: Buses: Intercity: Low Economic Growth</t>
  </si>
  <si>
    <t>AEO.2023.LOWMACRO.CNSM_NA_TRN_HWY_BUS_ICYT_NA_TRLBTU.A</t>
  </si>
  <si>
    <t>Transportation Energy Use: Highway: Buses: School: Low Economic Growth</t>
  </si>
  <si>
    <t>AEO.2023.LOWMACRO.CNSM_NA_TRN_HWY_BUS_SCBU_NA_TRLBTU.A</t>
  </si>
  <si>
    <t>Transportation Energy Use: Highway: Freight Trucks: Low Economic Growth</t>
  </si>
  <si>
    <t>AEO.2023.LOWMACRO.CNSM_NA_TRN_HWY_FGHT_NA_NA_TRLBTU.A</t>
  </si>
  <si>
    <t>Transportation Energy Use: Highway: Freight Trucks: Light Medium: Low Economic Growth</t>
  </si>
  <si>
    <t>AEO.2023.LOWMACRO.CNSM_NA_TRN_HWY_FGHT_LITEMED_NA_TRLBTU.A</t>
  </si>
  <si>
    <t>Transportation Energy Use: Highway: Freight Trucks: Medium: Low Economic Growth</t>
  </si>
  <si>
    <t>AEO.2023.LOWMACRO.CNSM_NA_TRN_HWY_FGHT_MD10T26KLB_NA_TRLBTU.A</t>
  </si>
  <si>
    <t>Large  (more than 26000 pounds)</t>
  </si>
  <si>
    <t>Transportation Energy Use: Highway: Freight Trucks: Large: Low Economic Growth</t>
  </si>
  <si>
    <t>AEO.2023.LOWMACRO.#N/A.A</t>
  </si>
  <si>
    <t>Transportation Energy Use: Non-Highway: Air: Low Economic Growth</t>
  </si>
  <si>
    <t>AEO.2023.LOWMACRO.CNSM_NA_TRN_AIR_NA_NA_NA_TRLBTU.A</t>
  </si>
  <si>
    <t>Transportation Energy Use: Non-Highway: Air: General Aviation: Low Economic Growth</t>
  </si>
  <si>
    <t>AEO.2023.LOWMACRO.CNSM_NA_TRN_AIR_GAV_NA_NA_TRLBTU.A</t>
  </si>
  <si>
    <t>Transportation Energy Use: Non-Highway: Air: Domestic Passenger: Low Economic Growth</t>
  </si>
  <si>
    <t>AEO.2023.LOWMACRO.CNSM_NA_TRN_AIR_DAC_NA_NA_TRLBTU.A</t>
  </si>
  <si>
    <t>Transportation Energy Use: Non-Highway: Air: International Passenger: Low Economic Growth</t>
  </si>
  <si>
    <t>AEO.2023.LOWMACRO.CNSM_NA_TRN_AIR_IAC_NA_NA_TRLBTU.A</t>
  </si>
  <si>
    <t>Transportation Energy Use: Non-Highway: Air: Dedicated Freight: Low Economic Growth</t>
  </si>
  <si>
    <t>AEO.2023.LOWMACRO.CNSM_NA_TRN_AIR_DFT_NA_NA_TRLBTU.A</t>
  </si>
  <si>
    <t>Transportation Energy Use: Non-Highway: Water: Low Economic Growth</t>
  </si>
  <si>
    <t>AEO.2023.LOWMACRO.CNSM_NA_TRN_WTR_NA_NA_NA_TRLBTU.A</t>
  </si>
  <si>
    <t>Transportation Energy Use: Non-Highway: Water: Freight: Low Economic Growth</t>
  </si>
  <si>
    <t>AEO.2023.LOWMACRO.CNSM_NA_TRN_WTR_FGT_NA_NA_TRLBTU.A</t>
  </si>
  <si>
    <t>Transportation Energy Use: Non-Highway: Water: Freight: Domestic Shipping: Low Economic Growth</t>
  </si>
  <si>
    <t>AEO.2023.LOWMACRO.CNSM_NA_TRN_WTR_DMT_NA_NA_TRLBTU.A</t>
  </si>
  <si>
    <t>Transportation Energy Use: Non-Highway: Water: Freight: International Shipping: Low Economic Growth</t>
  </si>
  <si>
    <t>AEO.2023.LOWMACRO.CNSM_NA_TRN_WTR_INTS_NA_NA_TRLBTU.A</t>
  </si>
  <si>
    <t>Transportation Energy Use: Non-Highway: Water: Recreational Boats: Low Economic Growth</t>
  </si>
  <si>
    <t>AEO.2023.LOWMACRO.CNSM_NA_TRN_WTR_RBT_NA_NA_TRLBTU.A</t>
  </si>
  <si>
    <t>Transportation Energy Use: Non-Highway: Rail: Low Economic Growth</t>
  </si>
  <si>
    <t>AEO.2023.LOWMACRO.CNSM_NA_TRN_RAIL_RAIL_NA_NA_TRLBTU.A</t>
  </si>
  <si>
    <t>Transportation Energy Use: Non-Highway: Rail: Freight: Low Economic Growth</t>
  </si>
  <si>
    <t>AEO.2023.LOWMACRO.CNSM_NA_TRN_RAIL_FGT_NA_NA_TRLBTU.A</t>
  </si>
  <si>
    <t>Transportation Energy Use: Non-Highway: Rail: Passenger: Low Economic Growth</t>
  </si>
  <si>
    <t>AEO.2023.LOWMACRO.CNSM_NA_TRN_RAIL_PSG_PSG_NA_TRLBTU.A</t>
  </si>
  <si>
    <t>Transportation Energy Use: Non-Highway: Rail: Passenger: Intercity: Low Economic Growth</t>
  </si>
  <si>
    <t>AEO.2023.LOWMACRO.CNSM_NA_TRN_RAIL_PSG_ICYT_NA_TRLBTU.A</t>
  </si>
  <si>
    <t>Transportation Energy Use: Non-Highway: Rail: Passenger: Transit: Low Economic Growth</t>
  </si>
  <si>
    <t>AEO.2023.LOWMACRO.CNSM_NA_TRN_RAIL_PSG_TNST_NA_TRLBTU.A</t>
  </si>
  <si>
    <t>Transportation Energy Use: Non-Highway: Rail: Passenger: Commuter: Low Economic Growth</t>
  </si>
  <si>
    <t>AEO.2023.LOWMACRO.CNSM_NA_TRN_RAIL_PSG_CMTR_NA_TRLBTU.A</t>
  </si>
  <si>
    <t>Transportation Energy Use: Non-Highway: Lubricants: Low Economic Growth</t>
  </si>
  <si>
    <t>AEO.2023.LOWMACRO.CNSM_NA_TRN_NA_LBC_NA_NA_TRLBTU.A</t>
  </si>
  <si>
    <t>Transportation Energy Use: Non-Highway: Pipeline Fuel Natural Gas: Low Economic Growth</t>
  </si>
  <si>
    <t>AEO.2023.LOWMACRO.CNSM_NA_TRN_PIPL_NG_NA_NA_TRLBTU.A</t>
  </si>
  <si>
    <t>Natural Gas Liquefaction for Export</t>
  </si>
  <si>
    <t>Transportation Energy Use: Non-Highway: Natural Gas for Liquefaction: Low Economic Growth</t>
  </si>
  <si>
    <t>AEO.2023.LOWMACRO.CNSM_NA_NMFG_LQFCT_DELE_NA_NA_TRLBTU.A</t>
  </si>
  <si>
    <t>Transportation Energy Use: Military Use: Low Economic Growth</t>
  </si>
  <si>
    <t>AEO.2023.LOWMACRO.CNSM_NA_TRN_MLU_MILU_NA_NA_TRLBTU.A</t>
  </si>
  <si>
    <t>Transportation Energy Use: Military Use: Aviation: Low Economic Growth</t>
  </si>
  <si>
    <t>AEO.2023.LOWMACRO.CNSM_NA_TRN_MLU_AVI_NA_NA_TRLBTU.A</t>
  </si>
  <si>
    <t>Transportation Energy Use: Military Use: Residual Fuel Oil: Low Economic Growth</t>
  </si>
  <si>
    <t>AEO.2023.LOWMACRO.CNSM_NA_TRN_MLU_RFO_NA_NA_TRLBTU.A</t>
  </si>
  <si>
    <t>Transportation Energy Use: Military Use: Distillate Fuel Oil: Low Economic Growth</t>
  </si>
  <si>
    <t>AEO.2023.LOWMACRO.CNSM_NA_TRN_MLU_DFO_NA_NA_TRLBTU.A</t>
  </si>
  <si>
    <t>Transportation Energy Use: Total: Low Economic Growth</t>
  </si>
  <si>
    <t>AEO.2023.LOWMACRO.CNSM_NA_TRN_NA_TOT_NA_NA_TRLBTU.A</t>
  </si>
  <si>
    <t>Transportation Energy Use: Petroleum: Motor Gasoline: Low Economic Growth</t>
  </si>
  <si>
    <t>AEO.2023.LOWMACRO.CNSM_NA_TRN_NA_PET_MGS_NA_TRLBTU.A</t>
  </si>
  <si>
    <t>Transportation Energy Use: E85: Low Economic Growth</t>
  </si>
  <si>
    <t>AEO.2023.LOWMACRO.CNSM_NA_TRN_NA_E85_NA_NA_TRLBTU.A</t>
  </si>
  <si>
    <t>Transportation Energy Use: Petroleum: Diesel: Low Economic Growth</t>
  </si>
  <si>
    <t>AEO.2023.LOWMACRO.CNSM_NA_TRN_NA_PET_DSL_NA_TRLBTU.A</t>
  </si>
  <si>
    <t>Transportation Energy Use: Petroleum: Jet Fuel: Low Economic Growth</t>
  </si>
  <si>
    <t>AEO.2023.LOWMACRO.UNC_NA_TRN_NA_PET_JFL_NA_TRLBTU.A</t>
  </si>
  <si>
    <t>Transportation Energy Use: Petroleum: Residual Fuel Oil: Low Economic Growth</t>
  </si>
  <si>
    <t>AEO.2023.LOWMACRO.CNSM_NA_TRN_NA_PET_RFO_NA_TRLBTU.A</t>
  </si>
  <si>
    <t>Transportation Energy Use: Petroleum: Aviation Gasoline: Low Economic Growth</t>
  </si>
  <si>
    <t>AEO.2023.LOWMACRO.CNSM_NA_TRN_NA_PET_AVGA_NA_TRLBTU.A</t>
  </si>
  <si>
    <t>Transportation Energy Use: Petroleum: Propane: Low Economic Growth</t>
  </si>
  <si>
    <t>AEO.2023.LOWMACRO.CNSM_NA_TRN_NA_PET_PROP_NA_TRLBTU.A</t>
  </si>
  <si>
    <t>Transportation Energy Use: Petroleum: Lubricants: Low Economic Growth</t>
  </si>
  <si>
    <t>AEO.2023.LOWMACRO.CNSM_NA_TRN_NA_PET_LBC_NA_TRLBTU.A</t>
  </si>
  <si>
    <t>Transportation Energy Use: Petroleum Subtotal: Low Economic Growth</t>
  </si>
  <si>
    <t>AEO.2023.LOWMACRO.CNSM_NA_TRN_NA_PET_NA_NA_TRLBTU.A</t>
  </si>
  <si>
    <t>Transportation Energy Use: Electricity: Low Economic Growth</t>
  </si>
  <si>
    <t>AEO.2023.LOWMACRO.CNSM_NA_TRN_NA_ELC_NA_NA_TRLBTU.A</t>
  </si>
  <si>
    <t>Transportation Energy Use: Natural Gas: Low Economic Growth</t>
  </si>
  <si>
    <t>AEO.2023.LOWMACRO.CNSM_NA_TRN_NA_NG_NA_NA_TRLBTU.A</t>
  </si>
  <si>
    <t>Transportation Energy Use: Hydrogen: Low Economic Growth</t>
  </si>
  <si>
    <t>AEO.2023.LOWMACRO.CNSM_NA_TRN_NA_HDG_NA_NA_TRLBTU.A</t>
  </si>
  <si>
    <t>Transportation Energy Use: Pipeline Fuel Natural Gas: Low Economic Growth</t>
  </si>
  <si>
    <t>Transportation Energy Use: Natural Gas for Liquefaction: Low Economic Growth</t>
  </si>
  <si>
    <t>Transportation: Total Energy Use: Low Economic Growth</t>
  </si>
  <si>
    <t>AEO.2023.LOWMACRO.CNSM_NA_TRN_NA_NA_NA_NA_TRLBTU.A</t>
  </si>
  <si>
    <t>https://www.eia.gov/outlooks/aeo/data/browser/#/?id=56-AEO2023&amp;cases=lowmacro&amp;sourcekey=0</t>
  </si>
  <si>
    <t>Tue Apr 11 2023 11:19:27 GMT-0400 (Eastern Daylight Time)</t>
  </si>
  <si>
    <t>Fleet Vehicle Miles Traveled: Conventional Cars: Gasoline: Low Economic Growth</t>
  </si>
  <si>
    <t>AEO.2023.LOWMACRO.ECI_VMT_CNV_FLC_GSL_NA_NA_BLNMLS.A</t>
  </si>
  <si>
    <t>Fleet Vehicle Miles Traveled: Conventional Cars: TDI Diesel: Low Economic Growth</t>
  </si>
  <si>
    <t>AEO.2023.LOWMACRO.ECI_VMT_CNV_FLC_TDS_NA_NA_BLNMLS.A</t>
  </si>
  <si>
    <t>Fleet Vehicle Miles Traveled: Conventional Cars: Total: Low Economic Growth</t>
  </si>
  <si>
    <t>AEO.2023.LOWMACRO.ECI_VMT_CNV_FLC_NA_NA_NA_BLNMLS.A</t>
  </si>
  <si>
    <t>Fleet Vehicle Miles Traveled: Alternative-Fuel Cars: Ethanol-Flex Fuel ICE: Low Economic Growth</t>
  </si>
  <si>
    <t>AEO.2023.LOWMACRO.ECI_VMT_ALF1_FLC_EFFI_NA_NA_BLNMLS.A</t>
  </si>
  <si>
    <t>100-Mile Electric Vehicle</t>
  </si>
  <si>
    <t>Fleet Vehicle Miles Traveled: Alternative-Fuel Cars: 100-Mile Electric Vehicle: Low Economic Growth</t>
  </si>
  <si>
    <t>200-Mile Electric Vehicle</t>
  </si>
  <si>
    <t>Fleet Vehicle Miles Traveled: Alternative-Fuel Cars: 200-Mile Electric Vehicle: Low Economic Growth</t>
  </si>
  <si>
    <t>300-Mile Electric Vehicle</t>
  </si>
  <si>
    <t>Fleet Vehicle Miles Traveled: Alternative-Fuel Cars: 300-Mile Electric Vehicle: Low Economic Growth</t>
  </si>
  <si>
    <t>Fleet Vehicle Miles Traveled: Alternative-Fuel Cars: Plug-in 20 Gasoline Hybrid: Low Economic Growth</t>
  </si>
  <si>
    <t>AEO.2023.LOWMACRO.ECI_VMT_ALF1_FLC_PI20GH_NA_NA_BLNMLS.A</t>
  </si>
  <si>
    <t>Fleet Vehicle Miles Traveled: Alternative-Fuel Cars: Plug-in 50 Gasoline Hybrid: Low Economic Growth</t>
  </si>
  <si>
    <t>AEO.2023.LOWMACRO.ECI_VMT_ALF1_FLC_PI50GH_NA_NA_BLNMLS.A</t>
  </si>
  <si>
    <t>Fleet Vehicle Miles Traveled: Alternative-Fuel Cars: Electric-Diesel Hybrid: Low Economic Growth</t>
  </si>
  <si>
    <t>AEO.2023.LOWMACRO.ECI_VMT_ALF1_FLC_EDH_NA_NA_BLNMLS.A</t>
  </si>
  <si>
    <t>Fleet Vehicle Miles Traveled: Alternative-Fuel Cars: Electric-Gasoline Hybrid: Low Economic Growth</t>
  </si>
  <si>
    <t>AEO.2023.LOWMACRO.ECI_VMT_ALF1_FLC_EGH_NA_NA_BLNMLS.A</t>
  </si>
  <si>
    <t>Fleet Vehicle Miles Traveled: Alternative-Fuel Cars: Natural Gas ICE: Low Economic Growth</t>
  </si>
  <si>
    <t>AEO.2023.LOWMACRO.ECI_VMT_ALF1_FLC_NGI_NA_NA_BLNMLS.A</t>
  </si>
  <si>
    <t>Fleet Vehicle Miles Traveled: Alternative-Fuel Cars: Natural Gas Bi-fuel: Low Economic Growth</t>
  </si>
  <si>
    <t>AEO.2023.LOWMACRO.ECI_VMT_ALF1_FLC_NBF_NA_NA_BLNMLS.A</t>
  </si>
  <si>
    <t>Fleet Vehicle Miles Traveled: Alternative-Fuel Cars: Propane ICE: Low Economic Growth</t>
  </si>
  <si>
    <t>AEO.2023.LOWMACRO.ECI_VMT_ALF1_FLC_PROP_NA_NA_BLNMLS.A</t>
  </si>
  <si>
    <t>Fleet Vehicle Miles Traveled: Alternative-Fuel Cars: Propane Bi-fuel: Low Economic Growth</t>
  </si>
  <si>
    <t>AEO.2023.LOWMACRO.ECI_VMT_ALF1_FLC_PBF_NA_NA_BLNMLS.A</t>
  </si>
  <si>
    <t>Fleet Vehicle Miles Traveled: Alternative-Fuel Cars: Fuel Cell Methanol: Low Economic Growth</t>
  </si>
  <si>
    <t>AEO.2023.LOWMACRO.ECI_VMT_ALF1_FLC_FCLMTH_NA_NA_BLNMLS.A</t>
  </si>
  <si>
    <t>Fleet Vehicle Miles Traveled: Alternative-Fuel Cars: Fuel Cell Hydrogen: Low Economic Growth</t>
  </si>
  <si>
    <t>AEO.2023.LOWMACRO.ECI_VMT_ALF1_FLC_FCH_NA_NA_BLNMLS.A</t>
  </si>
  <si>
    <t>Fleet Vehicle Miles Traveled: Alternative-Fuel Cars: Total: Low Economic Growth</t>
  </si>
  <si>
    <t>AEO.2023.LOWMACRO.ECI_VMT_ALF1_FLC_NA_NA_NA_BLNMLS.A</t>
  </si>
  <si>
    <t>Fleet Vehicle Miles Traveled: Cars: Total: Low Economic Growth</t>
  </si>
  <si>
    <t>AEO.2023.LOWMACRO.ECI_VMT_NA_FLC_NA_NA_NA_BLNMLS.A</t>
  </si>
  <si>
    <t>Fleet Vehicle Miles Traveled: Conventional Light Trucks: Gasoline: Low Economic Growth</t>
  </si>
  <si>
    <t>AEO.2023.LOWMACRO.ECI_VMT_CNV_FLTR_GSL_NA_NA_BLNMLS.A</t>
  </si>
  <si>
    <t>Fleet Vehicle Miles Traveled: Conventional Light Trucks: TDI Diesel: Low Economic Growth</t>
  </si>
  <si>
    <t>AEO.2023.LOWMACRO.ECI_VMT_CNV_FLTR_TDS_NA_NA_BLNMLS.A</t>
  </si>
  <si>
    <t>Fleet Vehicle Miles Traveled: Conventional Light Trucks: Total: Low Economic Growth</t>
  </si>
  <si>
    <t>AEO.2023.LOWMACRO.ECI_VMT_CNV_FLTR_NA_NA_NA_BLNMLS.A</t>
  </si>
  <si>
    <t>Fleet Vehicle Miles Traveled: Alternative-Fuel Light Trucks: Ethanol-Flex Fuel ICE: Low Economic Growth</t>
  </si>
  <si>
    <t>AEO.2023.LOWMACRO.ECI_VMT_ALF1_FLTR_EFFI_NA_NA_BLNMLS.A</t>
  </si>
  <si>
    <t>Fleet Vehicle Miles Traveled: Alternative-Fuel Light Trucks: 100-Mile Electric Vehicle: Low Economic Growth</t>
  </si>
  <si>
    <t>Fleet Vehicle Miles Traveled: Alternative-Fuel Light Trucks: 200-Mile Electric Vehicle: Low Economic Growth</t>
  </si>
  <si>
    <t>Fleet Vehicle Miles Traveled: Alternative-Fuel Light Trucks: 300-Mile Electric Vehicle: Low Economic Growth</t>
  </si>
  <si>
    <t>Fleet Vehicle Miles Traveled: Alternative-Fuel Light Trucks: Plug-in 20 Gasoline Hybrid: Low Economic Growth</t>
  </si>
  <si>
    <t>AEO.2023.LOWMACRO.ECI_VMT_ALF1_FLTR_PI20GH_NA_NA_BLNMLS.A</t>
  </si>
  <si>
    <t>Fleet Vehicle Miles Traveled: Alternative-Fuel Light Trucks: Plug-in 50 Gasoline Hybrid: Low Economic Growth</t>
  </si>
  <si>
    <t>AEO.2023.LOWMACRO.ECI_VMT_ALF1_FLTR_PI50GH_NA_NA_BLNMLS.A</t>
  </si>
  <si>
    <t>Fleet Vehicle Miles Traveled: Alternative-Fuel Light Trucks: Electric-Diesel Hybrid: Low Economic Growth</t>
  </si>
  <si>
    <t>AEO.2023.LOWMACRO.ECI_VMT_ALF1_FLTR_EDH_NA_NA_BLNMLS.A</t>
  </si>
  <si>
    <t>Fleet Vehicle Miles Traveled: Alternative-Fuel Light Trucks: Electric-Gasoline Hybrid: Low Economic Growth</t>
  </si>
  <si>
    <t>AEO.2023.LOWMACRO.ECI_VMT_ALF1_FLTR_EGH_NA_NA_BLNMLS.A</t>
  </si>
  <si>
    <t>Fleet Vehicle Miles Traveled: Alternative-Fuel Light Trucks: Natural Gas ICE: Low Economic Growth</t>
  </si>
  <si>
    <t>AEO.2023.LOWMACRO.ECI_VMT_ALF1_FLTR_NGI_NA_NA_BLNMLS.A</t>
  </si>
  <si>
    <t>Fleet Vehicle Miles Traveled: Alternative-Fuel Light Trucks: Natural Gas Bi-fuel: Low Economic Growth</t>
  </si>
  <si>
    <t>AEO.2023.LOWMACRO.ECI_VMT_ALF1_FLTR_NBF_NA_NA_BLNMLS.A</t>
  </si>
  <si>
    <t>Fleet Vehicle Miles Traveled: Alternative-Fuel Light Trucks: Propane ICE: Low Economic Growth</t>
  </si>
  <si>
    <t>AEO.2023.LOWMACRO.ECI_VMT_ALF1_FLTR_PROP_NA_NA_BLNMLS.A</t>
  </si>
  <si>
    <t>Fleet Vehicle Miles Traveled: Alternative-Fuel Light Trucks: Propane Bi-fuel: Low Economic Growth</t>
  </si>
  <si>
    <t>AEO.2023.LOWMACRO.ECI_VMT_ALF1_FLTR_PBF_NA_NA_BLNMLS.A</t>
  </si>
  <si>
    <t>Fleet Vehicle Miles Traveled: Alternative-Fuel Light Trucks: Fuel Cell Methanol: Low Economic Growth</t>
  </si>
  <si>
    <t>AEO.2023.LOWMACRO.ECI_VMT_ALF1_FLTR_FCLMTH_NA_NA_BLNMLS.A</t>
  </si>
  <si>
    <t>Fleet Vehicle Miles Traveled: Alternative-Fuel Light Trucks: Fuel Cell Hydrogen: Low Economic Growth</t>
  </si>
  <si>
    <t>AEO.2023.LOWMACRO.ECI_VMT_ALF1_FLTR_FCH_NA_NA_BLNMLS.A</t>
  </si>
  <si>
    <t>Fleet Vehicle Miles Traveled: Alternative-Fuel Light Trucks: Total: Low Economic Growth</t>
  </si>
  <si>
    <t>AEO.2023.LOWMACRO.ECI_VMT_ALF1_FLTR_NA_NA_NA_BLNMLS.A</t>
  </si>
  <si>
    <t>Fleet Vehicle Miles Traveled: Light Trucks: Total: Low Economic Growth</t>
  </si>
  <si>
    <t>AEO.2023.LOWMACRO.ECI_VMT_NA_FLTR_NA_NA_NA_BLNMLS.A</t>
  </si>
  <si>
    <t>Fleet Vehicle Miles Traveled: Total Fleet Vehicles: Low Economic Growth</t>
  </si>
  <si>
    <t>AEO.2023.LOWMACRO.ECI_VMT_NA_NA_NA_NA_NA_BLNMLS.A</t>
  </si>
  <si>
    <t>Fleet Vehicle Miles Traveled: Commercial Light Trucks: Gasoline: Low Economic Growth</t>
  </si>
  <si>
    <t>AEO.2023.LOWMACRO.ECI_VMT_NA_CLTR_GSL_NA_NA_BLNMLS.A</t>
  </si>
  <si>
    <t>Fleet Vehicle Miles Traveled: Commercial Light Trucks: TDI Diesel: Low Economic Growth</t>
  </si>
  <si>
    <t>AEO.2023.LOWMACRO.ECI_VMT_NA_CLTR_TDS_NA_NA_BLNMLS.A</t>
  </si>
  <si>
    <t>Fleet Vehicle Miles Traveled: Commercial Light Trucks: Propane: Low Economic Growth</t>
  </si>
  <si>
    <t>AEO.2023.LOWMACRO.ECI_VMT_NA_CLTR_PROP_NA_NA_BLNMLS.A</t>
  </si>
  <si>
    <t>Fleet Vehicle Miles Traveled: Commercial Light Trucks: CNG/LNG: Low Economic Growth</t>
  </si>
  <si>
    <t>AEO.2023.LOWMACRO.ECI_VMT_NA_CLTR_NG_NA_NA_BLNMLS.A</t>
  </si>
  <si>
    <t>Fleet Vehicle Miles Traveled: Commercial Light Trucks: Ethanol Flex: Low Economic Growth</t>
  </si>
  <si>
    <t>AEO.2023.LOWMACRO.ECI_VMT_NA_CLTR_EFFI_NA_NA_BLNMLS.A</t>
  </si>
  <si>
    <t>Fleet Vehicle Miles Traveled: Commercial Light Trucks: Electric: Low Economic Growth</t>
  </si>
  <si>
    <t>AEO.2023.LOWMACRO.ECI_VMT_NA_CLTR_ELE_NA_NA_BLNMLS.A</t>
  </si>
  <si>
    <t>Fleet Vehicle Miles Traveled: Commercial Light Trucks: Plug-in Gas: Low Economic Growth</t>
  </si>
  <si>
    <t>AEO.2023.LOWMACRO.ECI_VMT_NA_CLTR_EGH_NA_NA_BLNMLS.A</t>
  </si>
  <si>
    <t>Fleet Vehicle Miles Traveled: Commercial Light Trucks: Plug-in Diesel: Low Economic Growth</t>
  </si>
  <si>
    <t>AEO.2023.LOWMACRO.ECI_VMT_NA_CLTR_EDH_NA_NA_BLNMLS.A</t>
  </si>
  <si>
    <t>Fleet Vehicle Miles Traveled: Commercial Light Trucks: Fuel Cell: Low Economic Growth</t>
  </si>
  <si>
    <t>AEO.2023.LOWMACRO.ECI_VMT_NA_CLTR_FUC_NA_NA_BLNMLS.A</t>
  </si>
  <si>
    <t>Fleet Vehicle Miles Traveled: Commercial Light Trucks: Total: Low Economic Growth</t>
  </si>
  <si>
    <t>AEO.2023.LOWMACRO.ECI_VMT_NA_CLTR_NA_NA_NA_BLNMLS.A</t>
  </si>
  <si>
    <t>https://www.eia.gov/outlooks/aeo/data/browser/#/?id=57-AEO2023&amp;cases=lowmacro&amp;sourcekey=0</t>
  </si>
  <si>
    <t>Tue Apr 11 2023 11:21:03 GMT-0400 (Eastern Daylight Time)</t>
  </si>
  <si>
    <t>Air Travel: Fuel Cost: Low Economic Growth</t>
  </si>
  <si>
    <t>AEO.2023.LOWMACRO.PRCE_FUL_AIRT_NA_NA_NA_NA_87DLRPMBTU.A</t>
  </si>
  <si>
    <t>Air Travel: Load Factor: U.S. Domestic: Low Economic Growth</t>
  </si>
  <si>
    <t>AEO.2023.LOWMACRO.CAP_LDFAC_AIRT_DMS_NA_NA_NA_FRAC.A</t>
  </si>
  <si>
    <t>Air Travel: Load Factor: U.S. International: Low Economic Growth</t>
  </si>
  <si>
    <t>AEO.2023.LOWMACRO.CAP_LDFAC_AIRT_INTA_NA_NA_NA_FRAC.A</t>
  </si>
  <si>
    <t>Air Travel: Drivers: Population: U.S.: Low Economic Growth</t>
  </si>
  <si>
    <t>AEO.2023.LOWMACRO.ECI_POP_NA_NA_NA_NA_USA_MILL.A</t>
  </si>
  <si>
    <t>Air Travel: Drivers: Population: Canada: Low Economic Growth</t>
  </si>
  <si>
    <t>AEO.2023.LOWMACRO.ECI_POP_NA_NA_NA_NA_CAN_MILL.A</t>
  </si>
  <si>
    <t>Mexico and other OECD Americas</t>
  </si>
  <si>
    <t>Air Travel: Drivers: Population: Mexico and other OECD Americas: Low Economic Growth</t>
  </si>
  <si>
    <t>AEO.2023.LOWMACRO.ECI_POP_NA_NA_NA_NA_MEXOTH_MILL.A</t>
  </si>
  <si>
    <t>OECD Europe</t>
  </si>
  <si>
    <t>Air Travel: Drivers: Population: OECD Europe: Low Economic Growth</t>
  </si>
  <si>
    <t>AEO.2023.LOWMACRO.ECI_POP_NA_NA_NA_NA_OCDEU_MILL.A</t>
  </si>
  <si>
    <t>Japan</t>
  </si>
  <si>
    <t>Air Travel: Drivers: Population: Japan: Low Economic Growth</t>
  </si>
  <si>
    <t>AEO.2023.LOWMACRO.ECI_POP_NA_NA_NA_NA_JPN_MILL.A</t>
  </si>
  <si>
    <t>Australia and New Zealand</t>
  </si>
  <si>
    <t>Air Travel: Drivers: Population: Australia and New Zealand: Low Economic Growth</t>
  </si>
  <si>
    <t>AEO.2023.LOWMACRO.ECI_POP_NA_NA_NA_NA_AUNZ_MILL.A</t>
  </si>
  <si>
    <t>South Korea</t>
  </si>
  <si>
    <t>Air Travel: Drivers: Population: South Korea: Low Economic Growth</t>
  </si>
  <si>
    <t>AEO.2023.LOWMACRO.ECI_POP_NA_NA_NA_NA_SOK_MILL.A</t>
  </si>
  <si>
    <t>Russia</t>
  </si>
  <si>
    <t>Air Travel: Drivers: Population: Russia: Low Economic Growth</t>
  </si>
  <si>
    <t>AEO.2023.LOWMACRO.ECI_POP_NA_NA_NA_NA_RUS_MILL.A</t>
  </si>
  <si>
    <t>Other Europe and Eurasia</t>
  </si>
  <si>
    <t>Air Travel: Drivers: Population: Other Europe and Eurasia: Low Economic Growth</t>
  </si>
  <si>
    <t>AEO.2023.LOWMACRO.ECI_POP_NA_NA_NA_NA_OEUAS_MILL.A</t>
  </si>
  <si>
    <t>Air Travel: Drivers: Population: China: Low Economic Growth</t>
  </si>
  <si>
    <t>AEO.2023.LOWMACRO.ECI_POP_NA_NA_NA_NA_CHN_MILL.A</t>
  </si>
  <si>
    <t>India</t>
  </si>
  <si>
    <t>Air Travel: Drivers: Population: India: Low Economic Growth</t>
  </si>
  <si>
    <t>AEO.2023.LOWMACRO.ECI_POP_NA_NA_NA_NA_IND_MILL.A</t>
  </si>
  <si>
    <t>Other Non-OECD Asia</t>
  </si>
  <si>
    <t>Air Travel: Drivers: Population: Other Non-OECD Asia: Low Economic Growth</t>
  </si>
  <si>
    <t>AEO.2023.LOWMACRO.ECI_POP_NA_NA_NA_NA_ONCDAS_MILL.A</t>
  </si>
  <si>
    <t>Middle East</t>
  </si>
  <si>
    <t>Air Travel: Drivers: Population: Middle East: Low Economic Growth</t>
  </si>
  <si>
    <t>AEO.2023.LOWMACRO.ECI_POP_NA_NA_NA_NA_MDE_MILL.A</t>
  </si>
  <si>
    <t>Air Travel: Drivers: Population: Africa: Low Economic Growth</t>
  </si>
  <si>
    <t>AEO.2023.LOWMACRO.ECI_POP_NA_NA_NA_NA_AFR_MILL.A</t>
  </si>
  <si>
    <t>Brazil</t>
  </si>
  <si>
    <t>Air Travel: Drivers: Population: Brazil: Low Economic Growth</t>
  </si>
  <si>
    <t>AEO.2023.LOWMACRO.ECI_POP_NA_NA_NA_NA_BRZ_MILL.A</t>
  </si>
  <si>
    <t>Other Non-OECD Americas</t>
  </si>
  <si>
    <t>Air Travel: Drivers: Population: Other Non-OECD Americas: Low Economic Growth</t>
  </si>
  <si>
    <t>AEO.2023.LOWMACRO.ECI_POP_NA_NA_NA_NA_OTHAMER_MILL.A</t>
  </si>
  <si>
    <t>Air Travel: Travel Demand: Revenue Passenger Miles: Domestic: U.S.: Low Economic Growth</t>
  </si>
  <si>
    <t>AEO.2023.LOWMACRO.ECI_RPM_AIRT_DMS_NA_NA_USA_BLNMLS.A</t>
  </si>
  <si>
    <t>Air Travel: Travel Demand: Revenue Passenger Miles: Domestic: Canada: Low Economic Growth</t>
  </si>
  <si>
    <t>AEO.2023.LOWMACRO.ECI_RPM_AIRT_DMS_NA_NA_CAN_BLNMLS.A</t>
  </si>
  <si>
    <t>Air Travel: Travel Demand: Revenue Passenger Miles: Domestic: Mexico and other OECD Americas: Low Economic Growth</t>
  </si>
  <si>
    <t>AEO.2023.LOWMACRO.ECI_RPM_AIRT_DMS_NA_NA_MEXOTH_BLNMLS.A</t>
  </si>
  <si>
    <t>Air Travel: Travel Demand: Revenue Passenger Miles: Domestic: OECD Europe: Low Economic Growth</t>
  </si>
  <si>
    <t>AEO.2023.LOWMACRO.ECI_RPM_AIRT_DMS_NA_NA_OCDEU_BLNMLS.A</t>
  </si>
  <si>
    <t>Air Travel: Travel Demand: Revenue Passenger Miles: Domestic: Japan: Low Economic Growth</t>
  </si>
  <si>
    <t>AEO.2023.LOWMACRO.ECI_RPM_AIRT_DMS_NA_NA_JPN_BLNMLS.A</t>
  </si>
  <si>
    <t>Air Travel: Travel Demand: Revenue Passenger Miles: Domestic: Australia and New Zealand: Low Economic Growth</t>
  </si>
  <si>
    <t>AEO.2023.LOWMACRO.ECI_RPM_AIRT_DMS_NA_NA_AUNZ_BLNMLS.A</t>
  </si>
  <si>
    <t>Air Travel: Travel Demand: Revenue Passenger Miles: Domestic: South Korea: Low Economic Growth</t>
  </si>
  <si>
    <t>AEO.2023.LOWMACRO.ECI_RPM_AIRT_DMS_NA_NA_SOK_BLNMLS.A</t>
  </si>
  <si>
    <t>Air Travel: Travel Demand: Revenue Passenger Miles: Domestic: Russia: Low Economic Growth</t>
  </si>
  <si>
    <t>AEO.2023.LOWMACRO.ECI_RPM_AIRT_DMS_NA_NA_RUS_BLNMLS.A</t>
  </si>
  <si>
    <t>Air Travel: Travel Demand: Revenue Passenger Miles: Domestic: Other Europe and Eurasia: Low Economic Growth</t>
  </si>
  <si>
    <t>AEO.2023.LOWMACRO.ECI_RPM_AIRT_DMS_NA_NA_OEUAS_BLNMLS.A</t>
  </si>
  <si>
    <t>Air Travel: Travel Demand: Revenue Passenger Miles: Domestic: China: Low Economic Growth</t>
  </si>
  <si>
    <t>AEO.2023.LOWMACRO.ECI_RPM_AIRT_DMS_NA_NA_CHN_BLNMLS.A</t>
  </si>
  <si>
    <t>Air Travel: Travel Demand: Revenue Passenger Miles: Domestic: India: Low Economic Growth</t>
  </si>
  <si>
    <t>AEO.2023.LOWMACRO.ECI_RPM_AIRT_DMS_NA_NA_IND_BLNMLS.A</t>
  </si>
  <si>
    <t>Air Travel: Travel Demand: Revenue Passenger Miles: Domestic: Other Non-OECD Asia: Low Economic Growth</t>
  </si>
  <si>
    <t>AEO.2023.LOWMACRO.ECI_RPM_AIRT_DMS_NA_NA_ONCDAS_BLNMLS.A</t>
  </si>
  <si>
    <t>Air Travel: Travel Demand: Revenue Passenger Miles: Domestic: Middle East: Low Economic Growth</t>
  </si>
  <si>
    <t>AEO.2023.LOWMACRO.ECI_RPM_AIRT_DMS_NA_NA_MDE_BLNMLS.A</t>
  </si>
  <si>
    <t>Air Travel: Travel Demand: Revenue Passenger Miles: Domestic: Africa: Low Economic Growth</t>
  </si>
  <si>
    <t>AEO.2023.LOWMACRO.ECI_RPM_AIRT_DMS_NA_NA_AFR_BLNMLS.A</t>
  </si>
  <si>
    <t>Air Travel: Travel Demand: Revenue Passenger Miles: Domestic: Brazil: Low Economic Growth</t>
  </si>
  <si>
    <t>AEO.2023.LOWMACRO.ECI_RPM_AIRT_DMS_NA_NA_BRZ_BLNMLS.A</t>
  </si>
  <si>
    <t>Air Travel: Travel Demand: Revenue Passenger Miles: Domestic: Other Non-OECD Americas: Low Economic Growth</t>
  </si>
  <si>
    <t>AEO.2023.LOWMACRO.ECI_RPM_AIRT_DMS_NA_NA_OTHAMER_BLNMLS.A</t>
  </si>
  <si>
    <t>Total World Domestic</t>
  </si>
  <si>
    <t>Air Travel: Travel Demand: Revenue Passenger Miles: Domestic: World: Low Economic Growth</t>
  </si>
  <si>
    <t>AEO.2023.LOWMACRO.ECI_RPM_AIRT_DMS_NA_NA_WRLD_BLNMLS.A</t>
  </si>
  <si>
    <t>Air Travel: Travel Demand: Revenue Passenger Miles: International U.S.: Low Economic Growth</t>
  </si>
  <si>
    <t>AEO.2023.LOWMACRO.ECI_RPM_AIRT_INTA_NA_NA_USA_BLNMLS.A</t>
  </si>
  <si>
    <t>Air Travel: Travel Demand: Revenue Passenger Miles: International Canada: Low Economic Growth</t>
  </si>
  <si>
    <t>AEO.2023.LOWMACRO.ECI_RPM_AIRT_INTA_NA_NA_CAN_BLNMLS.A</t>
  </si>
  <si>
    <t>Air Travel: Travel Demand: Revenue Passenger Miles: International Mexico and other OECD Americas: Low Economic Growth</t>
  </si>
  <si>
    <t>AEO.2023.LOWMACRO.ECI_RPM_AIRT_INTA_NA_NA_MEXOTH_BLNMLS.A</t>
  </si>
  <si>
    <t>Air Travel: Travel Demand: Revenue Passenger Miles: International OECD Europe: Low Economic Growth</t>
  </si>
  <si>
    <t>AEO.2023.LOWMACRO.ECI_RPM_AIRT_INTA_NA_NA_OCDEU_BLNMLS.A</t>
  </si>
  <si>
    <t>Air Travel: Travel Demand: Revenue Passenger Miles: International Japan: Low Economic Growth</t>
  </si>
  <si>
    <t>AEO.2023.LOWMACRO.ECI_RPM_AIRT_INTA_NA_NA_JPN_BLNMLS.A</t>
  </si>
  <si>
    <t>Air Travel: Travel Demand: Revenue Passenger Miles: International Australia and New Zealand: Low Economic Growth</t>
  </si>
  <si>
    <t>AEO.2023.LOWMACRO.ECI_RPM_AIRT_INTA_NA_NA_AUNZ_BLNMLS.A</t>
  </si>
  <si>
    <t>Air Travel: Travel Demand: Revenue Passenger Miles: International South Korea: Low Economic Growth</t>
  </si>
  <si>
    <t>AEO.2023.LOWMACRO.ECI_RPM_AIRT_INTA_NA_NA_SOK_BLNMLS.A</t>
  </si>
  <si>
    <t>Air Travel: Travel Demand: Revenue Passenger Miles: International Russia: Low Economic Growth</t>
  </si>
  <si>
    <t>AEO.2023.LOWMACRO.ECI_RPM_AIRT_INTA_NA_NA_RUS_BLNMLS.A</t>
  </si>
  <si>
    <t>Air Travel: Travel Demand: Revenue Passenger Miles: International Other Europe and Eurasia: Low Economic Growth</t>
  </si>
  <si>
    <t>AEO.2023.LOWMACRO.ECI_RPM_AIRT_INTA_NA_NA_OEUAS_BLNMLS.A</t>
  </si>
  <si>
    <t>Air Travel: Travel Demand: Revenue Passenger Miles: International China: Low Economic Growth</t>
  </si>
  <si>
    <t>AEO.2023.LOWMACRO.ECI_RPM_AIRT_INTA_NA_NA_CHN_BLNMLS.A</t>
  </si>
  <si>
    <t>Air Travel: Travel Demand: Revenue Passenger Miles: International India: Low Economic Growth</t>
  </si>
  <si>
    <t>AEO.2023.LOWMACRO.ECI_RPM_AIRT_INTA_NA_NA_IND_BLNMLS.A</t>
  </si>
  <si>
    <t>Air Travel: Travel Demand: Revenue Passenger Miles: International Other Non-OECD Asia: Low Economic Growth</t>
  </si>
  <si>
    <t>AEO.2023.LOWMACRO.ECI_RPM_AIRT_INTA_NA_NA_ONCDAS_BLNMLS.A</t>
  </si>
  <si>
    <t>Air Travel: Travel Demand: Revenue Passenger Miles: International Middle East: Low Economic Growth</t>
  </si>
  <si>
    <t>AEO.2023.LOWMACRO.ECI_RPM_AIRT_INTA_NA_NA_MDE_BLNMLS.A</t>
  </si>
  <si>
    <t>Air Travel: Travel Demand: Revenue Passenger Miles: International Africa: Low Economic Growth</t>
  </si>
  <si>
    <t>AEO.2023.LOWMACRO.ECI_RPM_AIRT_INTA_NA_NA_AFR_BLNMLS.A</t>
  </si>
  <si>
    <t>Air Travel: Travel Demand: Revenue Passenger Miles: International Brazil: Low Economic Growth</t>
  </si>
  <si>
    <t>AEO.2023.LOWMACRO.ECI_RPM_AIRT_INTA_NA_NA_BRZ_BLNMLS.A</t>
  </si>
  <si>
    <t>Air Travel: Travel Demand: Revenue Passenger Miles: International Other Non-OECD Americas: Low Economic Growth</t>
  </si>
  <si>
    <t>AEO.2023.LOWMACRO.ECI_RPM_AIRT_INTA_NA_NA_OTHAMER_BLNMLS.A</t>
  </si>
  <si>
    <t>Total World International</t>
  </si>
  <si>
    <t>Air Travel: Travel Demand: Revenue Passenger Miles: International World: Low Economic Growth</t>
  </si>
  <si>
    <t>AEO.2023.LOWMACRO.ECI_RPM_AIRT_INTA_NA_NA_WRLD_BLNMLS.A</t>
  </si>
  <si>
    <t>Air Travel: Travel Demand: Revenue Passenger Miles: World: Low Economic Growth</t>
  </si>
  <si>
    <t>Air Travel: Travel Demand: Revenue Ton Miles: Freight: U.S.: Low Economic Growth</t>
  </si>
  <si>
    <t>AEO.2023.LOWMACRO.ECI_RTM_AIRT_NA_NA_NA_USA_BLNMLS.A</t>
  </si>
  <si>
    <t>Air Travel: Travel Demand: Revenue Ton Miles: Freight: Canada: Low Economic Growth</t>
  </si>
  <si>
    <t>AEO.2023.LOWMACRO.ECI_RTM_AIRT_NA_NA_NA_CAN_BLNMLS.A</t>
  </si>
  <si>
    <t>Air Travel: Travel Demand: Revenue Ton Miles: Freight: Mexico and other OECD Americas: Low Economic Growth</t>
  </si>
  <si>
    <t>AEO.2023.LOWMACRO.ECI_RTM_AIRT_NA_NA_NA_MEXOTH_BLNMLS.A</t>
  </si>
  <si>
    <t>Air Travel: Travel Demand: Revenue Ton Miles: Freight: OECD Europe: Low Economic Growth</t>
  </si>
  <si>
    <t>AEO.2023.LOWMACRO.ECI_RTM_AIRT_NA_NA_NA_OCDEU_BLNMLS.A</t>
  </si>
  <si>
    <t>Air Travel: Travel Demand: Revenue Ton Miles: Freight: Japan: Low Economic Growth</t>
  </si>
  <si>
    <t>AEO.2023.LOWMACRO.ECI_RTM_AIRT_NA_NA_NA_JPN_BLNMLS.A</t>
  </si>
  <si>
    <t>Air Travel: Travel Demand: Revenue Ton Miles: Freight: Australia and New Zealand: Low Economic Growth</t>
  </si>
  <si>
    <t>AEO.2023.LOWMACRO.ECI_RTM_AIRT_NA_NA_NA_AUNZ_BLNMLS.A</t>
  </si>
  <si>
    <t>Air Travel: Travel Demand: Revenue Ton Miles: Freight: South Korea: Low Economic Growth</t>
  </si>
  <si>
    <t>AEO.2023.LOWMACRO.ECI_RTM_AIRT_NA_NA_NA_SOK_BLNMLS.A</t>
  </si>
  <si>
    <t>Air Travel: Travel Demand: Revenue Ton Miles: Freight: Russia: Low Economic Growth</t>
  </si>
  <si>
    <t>AEO.2023.LOWMACRO.ECI_RTM_AIRT_NA_NA_NA_RUS_BLNMLS.A</t>
  </si>
  <si>
    <t>Air Travel: Travel Demand: Revenue Ton Miles: Freight: Other Europe and Eurasia: Low Economic Growth</t>
  </si>
  <si>
    <t>AEO.2023.LOWMACRO.ECI_RTM_AIRT_NA_NA_NA_OEUAS_BLNMLS.A</t>
  </si>
  <si>
    <t>Air Travel: Travel Demand: Revenue Ton Miles: Freight: China: Low Economic Growth</t>
  </si>
  <si>
    <t>AEO.2023.LOWMACRO.ECI_RTM_AIRT_NA_NA_NA_CHN_BLNMLS.A</t>
  </si>
  <si>
    <t>Air Travel: Travel Demand: Revenue Ton Miles: Freight: India: Low Economic Growth</t>
  </si>
  <si>
    <t>AEO.2023.LOWMACRO.ECI_RTM_AIRT_NA_NA_NA_IND_BLNMLS.A</t>
  </si>
  <si>
    <t>Air Travel: Travel Demand: Revenue Ton Miles: Freight: Other Non-OECD Asia: Low Economic Growth</t>
  </si>
  <si>
    <t>AEO.2023.LOWMACRO.ECI_RTM_AIRT_NA_NA_NA_ONCDAS_BLNMLS.A</t>
  </si>
  <si>
    <t>Air Travel: Travel Demand: Revenue Ton Miles: Freight: Middle East: Low Economic Growth</t>
  </si>
  <si>
    <t>AEO.2023.LOWMACRO.ECI_RTM_AIRT_NA_NA_NA_MDE_BLNMLS.A</t>
  </si>
  <si>
    <t>Air Travel: Travel Demand: Revenue Ton Miles: Freight: Africa: Low Economic Growth</t>
  </si>
  <si>
    <t>AEO.2023.LOWMACRO.ECI_RTM_AIRT_NA_NA_NA_AFR_BLNMLS.A</t>
  </si>
  <si>
    <t>Air Travel: Travel Demand: Revenue Ton Miles: Freight: Brazil: Low Economic Growth</t>
  </si>
  <si>
    <t>AEO.2023.LOWMACRO.ECI_RTM_AIRT_NA_NA_NA_BRZ_BLNMLS.A</t>
  </si>
  <si>
    <t>Air Travel: Travel Demand: Revenue Ton Miles: Freight: Other Non-OECD Americas: Low Economic Growth</t>
  </si>
  <si>
    <t>AEO.2023.LOWMACRO.ECI_RTM_AIRT_NA_NA_NA_OTHAMER_BLNMLS.A</t>
  </si>
  <si>
    <t>Air Travel: Travel Demand: Revenue Ton Miles: Freight: Domestic World: Low Economic Growth</t>
  </si>
  <si>
    <t>AEO.2023.LOWMACRO.ECI_RTM_AIRT_NA_NA_NA_WRLD_BLNMLS.A</t>
  </si>
  <si>
    <t>Air Travel: Travel Demand: Revenue Ton Miles: Freight: International World: Low Economic Growth</t>
  </si>
  <si>
    <t>Air Travel: Travel Demand: Revenue Ton Miles: Freight: World: Low Economic Growth</t>
  </si>
  <si>
    <t>Air Travel: Seat Miles Demanded: U.S.: Low Economic Growth</t>
  </si>
  <si>
    <t>AEO.2023.LOWMACRO.ECI_SMD_AIRT_NA_NA_NA_USA_BLNMLS.A</t>
  </si>
  <si>
    <t>Air Travel: Seat Miles Demanded: U.S.: Narrow Body Aircraft: Low Economic Growth</t>
  </si>
  <si>
    <t>AEO.2023.LOWMACRO.ECI_SMD_AIRT_NBTR_NA_NA_USA_BLNMLS.A</t>
  </si>
  <si>
    <t>Air Travel: Seat Miles Demanded: U.S.: Wide Body Aircraft: Low Economic Growth</t>
  </si>
  <si>
    <t>AEO.2023.LOWMACRO.ECI_SMD_AIRT_WBE_NA_NA_USA_BLNMLS.A</t>
  </si>
  <si>
    <t>Air Travel: Seat Miles Demanded: U.S.: Regional Jets: Low Economic Growth</t>
  </si>
  <si>
    <t>AEO.2023.LOWMACRO.ECI_SMD_AIRT_REGJ_NA_NA_USA_BLNMLS.A</t>
  </si>
  <si>
    <t>Air Travel: Seat Miles Demanded: Canada: Low Economic Growth</t>
  </si>
  <si>
    <t>AEO.2023.LOWMACRO.ECI_SMD_AIRT_NA_NA_NA_CAN_BLNMLS.A</t>
  </si>
  <si>
    <t>Air Travel: Seat Miles Demanded: Canada: Narrow Body Aircraft: Low Economic Growth</t>
  </si>
  <si>
    <t>AEO.2023.LOWMACRO.ECI_SMD_AIRT_NBTR_NA_NA_CAN_BLNMLS.A</t>
  </si>
  <si>
    <t>Air Travel: Seat Miles Demanded: Canada: Wide Body Aircraft: Low Economic Growth</t>
  </si>
  <si>
    <t>AEO.2023.LOWMACRO.ECI_SMD_AIRT_WBE_NA_NA_CAN_BLNMLS.A</t>
  </si>
  <si>
    <t>Air Travel: Seat Miles Demanded: Canada: Regional Jets: Low Economic Growth</t>
  </si>
  <si>
    <t>AEO.2023.LOWMACRO.ECI_SMD_AIRT_REGJ_NA_NA_CAN_BLNMLS.A</t>
  </si>
  <si>
    <t>Air Travel: Seat Miles Demanded: Mexico and other OECD Americas: Low Economic Growth</t>
  </si>
  <si>
    <t>AEO.2023.LOWMACRO.ECI_SMD_AIRT_NA_NA_NA_MEXOTH_BLNMLS.A</t>
  </si>
  <si>
    <t>Air Travel: Seat Miles Demanded: Mexico and other OECD Americas: Narrow Body Aircraft: Low Economic Growth</t>
  </si>
  <si>
    <t>AEO.2023.LOWMACRO.ECI_SMD_AIRT_NBTR_NA_NA_MEXOTH_BLNMLS.A</t>
  </si>
  <si>
    <t>Air Travel: Seat Miles Demanded: Mexico and other OECD Americas: Wide Body Aircraft: Low Economic Growth</t>
  </si>
  <si>
    <t>AEO.2023.LOWMACRO.ECI_SMD_AIRT_WBE_NA_NA_MEXOTH_BLNMLS.A</t>
  </si>
  <si>
    <t>Air Travel: Seat Miles Demanded: Mexico and other OECD Americas: Regional Jets: Low Economic Growth</t>
  </si>
  <si>
    <t>AEO.2023.LOWMACRO.ECI_SMD_AIRT_REGJ_NA_NA_MEXOTH_BLNMLS.A</t>
  </si>
  <si>
    <t>Air Travel: Seat Miles Demanded: OECD Europe: Low Economic Growth</t>
  </si>
  <si>
    <t>AEO.2023.LOWMACRO.ECI_SMD_AIRT_NA_NA_NA_OCDEU_BLNMLS.A</t>
  </si>
  <si>
    <t>Air Travel: Seat Miles Demanded: OECD Europe: Narrow Body Aircraft: Low Economic Growth</t>
  </si>
  <si>
    <t>AEO.2023.LOWMACRO.ECI_SMD_AIRT_NBTR_NA_NA_OCDEU_BLNMLS.A</t>
  </si>
  <si>
    <t>Air Travel: Seat Miles Demanded: OECD Europe: Wide Body Aircraft: Low Economic Growth</t>
  </si>
  <si>
    <t>AEO.2023.LOWMACRO.ECI_SMD_AIRT_WBE_NA_NA_OCDEU_BLNMLS.A</t>
  </si>
  <si>
    <t>Air Travel: Seat Miles Demanded: OECD Europe: Regional Jets: Low Economic Growth</t>
  </si>
  <si>
    <t>AEO.2023.LOWMACRO.ECI_SMD_AIRT_REGJ_NA_NA_OCDEU_BLNMLS.A</t>
  </si>
  <si>
    <t>Air Travel: Seat Miles Demanded: Japan: Low Economic Growth</t>
  </si>
  <si>
    <t>AEO.2023.LOWMACRO.ECI_SMD_AIRT_NA_NA_NA_JPN_BLNMLS.A</t>
  </si>
  <si>
    <t>Air Travel: Seat Miles Demanded: Japan: Narrow Body Aircraft: Low Economic Growth</t>
  </si>
  <si>
    <t>AEO.2023.LOWMACRO.ECI_SMD_AIRT_NBTR_NA_NA_JPN_BLNMLS.A</t>
  </si>
  <si>
    <t>Air Travel: Seat Miles Demanded: Japan: Wide Body Aircraft: Low Economic Growth</t>
  </si>
  <si>
    <t>AEO.2023.LOWMACRO.ECI_SMD_AIRT_WBE_NA_NA_JPN_BLNMLS.A</t>
  </si>
  <si>
    <t>Air Travel: Seat Miles Demanded: Japan: Regional Jets: Low Economic Growth</t>
  </si>
  <si>
    <t>AEO.2023.LOWMACRO.ECI_SMD_AIRT_REGJ_NA_NA_JPN_BLNMLS.A</t>
  </si>
  <si>
    <t>Air Travel: Seat Miles Demanded: Australia and New Zealand: Low Economic Growth</t>
  </si>
  <si>
    <t>AEO.2023.LOWMACRO.ECI_SMD_AIRT_NA_NA_NA_AUNZ_BLNMLS.A</t>
  </si>
  <si>
    <t>Air Travel: Seat Miles Demanded: Australia and New Zealand: Narrow Body Aircraft: Low Economic Growth</t>
  </si>
  <si>
    <t>AEO.2023.LOWMACRO.ECI_SMD_AIRT_NBTR_NA_NA_AUNZ_BLNMLS.A</t>
  </si>
  <si>
    <t>Air Travel: Seat Miles Demanded: Australia and New Zealand: Wide Body Aircraft: Low Economic Growth</t>
  </si>
  <si>
    <t>AEO.2023.LOWMACRO.ECI_SMD_AIRT_WBE_NA_NA_AUNZ_BLNMLS.A</t>
  </si>
  <si>
    <t>Air Travel: Seat Miles Demanded: Australia and New Zealand: Regional Jets: Low Economic Growth</t>
  </si>
  <si>
    <t>AEO.2023.LOWMACRO.ECI_SMD_AIRT_REGJ_NA_NA_AUNZ_BLNMLS.A</t>
  </si>
  <si>
    <t>Air Travel: Seat Miles Demanded: South Korea: Low Economic Growth</t>
  </si>
  <si>
    <t>AEO.2023.LOWMACRO.ECI_SMD_AIRT_NA_NA_NA_SOK_BLNMLS.A</t>
  </si>
  <si>
    <t>Air Travel: Seat Miles Demanded: South Korea: Narrow Body Aircraft: Low Economic Growth</t>
  </si>
  <si>
    <t>AEO.2023.LOWMACRO.ECI_SMD_AIRT_NBTR_NA_NA_SOK_BLNMLS.A</t>
  </si>
  <si>
    <t>Air Travel: Seat Miles Demanded: South Korea: Wide Body Aircraft: Low Economic Growth</t>
  </si>
  <si>
    <t>AEO.2023.LOWMACRO.ECI_SMD_AIRT_WBE_NA_NA_SOK_BLNMLS.A</t>
  </si>
  <si>
    <t>Air Travel: Seat Miles Demanded: South Korea: Regional Jets: Low Economic Growth</t>
  </si>
  <si>
    <t>AEO.2023.LOWMACRO.ECI_SMD_AIRT_REGJ_NA_NA_SOK_BLNMLS.A</t>
  </si>
  <si>
    <t>Air Travel: Seat Miles Demanded: Russia: Low Economic Growth</t>
  </si>
  <si>
    <t>AEO.2023.LOWMACRO.ECI_SMD_AIRT_NA_NA_NA_RUS_BLNMLS.A</t>
  </si>
  <si>
    <t>Air Travel: Seat Miles Demanded: Russia: Narrow Body Aircraft: Low Economic Growth</t>
  </si>
  <si>
    <t>AEO.2023.LOWMACRO.ECI_SMD_AIRT_NBTR_NA_NA_RUS_BLNMLS.A</t>
  </si>
  <si>
    <t>Air Travel: Seat Miles Demanded: Russia: Wide Body Aircraft: Low Economic Growth</t>
  </si>
  <si>
    <t>AEO.2023.LOWMACRO.ECI_SMD_AIRT_WBE_NA_NA_RUS_BLNMLS.A</t>
  </si>
  <si>
    <t>Air Travel: Seat Miles Demanded: Russia: Regional Jets: Low Economic Growth</t>
  </si>
  <si>
    <t>AEO.2023.LOWMACRO.ECI_SMD_AIRT_REGJ_NA_NA_RUS_BLNMLS.A</t>
  </si>
  <si>
    <t>Air Travel: Seat Miles Demanded: Other Europe and Eurasia: Low Economic Growth</t>
  </si>
  <si>
    <t>AEO.2023.LOWMACRO.ECI_SMD_AIRT_NA_NA_NA_OEUAS_BLNMLS.A</t>
  </si>
  <si>
    <t>Air Travel: Seat Miles Demanded: Other Europe and Eurasia: Narrow Body Aircraft: Low Economic Growth</t>
  </si>
  <si>
    <t>AEO.2023.LOWMACRO.ECI_SMD_AIRT_NBTR_NA_NA_OEUAS_BLNMLS.A</t>
  </si>
  <si>
    <t>Air Travel: Seat Miles Demanded: Other Europe and Eurasia: Wide Body Aircraft: Low Economic Growth</t>
  </si>
  <si>
    <t>AEO.2023.LOWMACRO.ECI_SMD_AIRT_WBE_NA_NA_OEUAS_BLNMLS.A</t>
  </si>
  <si>
    <t>Air Travel: Seat Miles Demanded: Other Europe and Eurasia: Regional Jets: Low Economic Growth</t>
  </si>
  <si>
    <t>AEO.2023.LOWMACRO.ECI_SMD_AIRT_REGJ_NA_NA_OEUAS_BLNMLS.A</t>
  </si>
  <si>
    <t>Air Travel: Seat Miles Demanded: China: Low Economic Growth</t>
  </si>
  <si>
    <t>AEO.2023.LOWMACRO.ECI_SMD_AIRT_NA_NA_NA_CHN_BLNMLS.A</t>
  </si>
  <si>
    <t>Air Travel: Seat Miles Demanded: China: Narrow Body Aircraft: Low Economic Growth</t>
  </si>
  <si>
    <t>AEO.2023.LOWMACRO.ECI_SMD_AIRT_NBTR_NA_NA_CHN_BLNMLS.A</t>
  </si>
  <si>
    <t>Air Travel: Seat Miles Demanded: China: Wide Body Aircraft: Low Economic Growth</t>
  </si>
  <si>
    <t>AEO.2023.LOWMACRO.ECI_SMD_AIRT_WBE_NA_NA_CHN_BLNMLS.A</t>
  </si>
  <si>
    <t>Air Travel: Seat Miles Demanded: China: Regional Jets: Low Economic Growth</t>
  </si>
  <si>
    <t>AEO.2023.LOWMACRO.ECI_SMD_AIRT_REGJ_NA_NA_CHN_BLNMLS.A</t>
  </si>
  <si>
    <t>Air Travel: Seat Miles Demanded: India: Low Economic Growth</t>
  </si>
  <si>
    <t>AEO.2023.LOWMACRO.ECI_SMD_AIRT_NA_NA_NA_IND_BLNMLS.A</t>
  </si>
  <si>
    <t>Air Travel: Seat Miles Demanded: India: Narrow Body Aircraft: Low Economic Growth</t>
  </si>
  <si>
    <t>AEO.2023.LOWMACRO.ECI_SMD_AIRT_NBTR_NA_NA_IND_BLNMLS.A</t>
  </si>
  <si>
    <t>Air Travel: Seat Miles Demanded: India: Wide Body Aircraft: Low Economic Growth</t>
  </si>
  <si>
    <t>AEO.2023.LOWMACRO.ECI_SMD_AIRT_WBE_NA_NA_IND_BLNMLS.A</t>
  </si>
  <si>
    <t>Air Travel: Seat Miles Demanded: India: Regional Jets: Low Economic Growth</t>
  </si>
  <si>
    <t>AEO.2023.LOWMACRO.ECI_SMD_AIRT_REGJ_NA_NA_IND_BLNMLS.A</t>
  </si>
  <si>
    <t>Air Travel: Seat Miles Demanded: Other Non-OECD Asia: Low Economic Growth</t>
  </si>
  <si>
    <t>AEO.2023.LOWMACRO.ECI_SMD_AIRT_NA_NA_NA_ONCDAS_BLNMLS.A</t>
  </si>
  <si>
    <t>Air Travel: Seat Miles Demanded: Other Non-OECD Asia: Narrow Body Aircraft: Low Economic Growth</t>
  </si>
  <si>
    <t>AEO.2023.LOWMACRO.ECI_SMD_AIRT_NBTR_NA_NA_ONCDAS_BLNMLS.A</t>
  </si>
  <si>
    <t>Air Travel: Seat Miles Demanded: Other Non-OECD Asia: Wide Body Aircraft: Low Economic Growth</t>
  </si>
  <si>
    <t>AEO.2023.LOWMACRO.ECI_SMD_AIRT_WBE_NA_NA_ONCDAS_BLNMLS.A</t>
  </si>
  <si>
    <t>Air Travel: Seat Miles Demanded: Other Non-OECD Asia: Regional Jets: Low Economic Growth</t>
  </si>
  <si>
    <t>AEO.2023.LOWMACRO.ECI_SMD_AIRT_REGJ_NA_NA_ONCDAS_BLNMLS.A</t>
  </si>
  <si>
    <t>Air Travel: Seat Miles Demanded: Middle East: Low Economic Growth</t>
  </si>
  <si>
    <t>AEO.2023.LOWMACRO.ECI_SMD_AIRT_NA_NA_NA_MDE_BLNMLS.A</t>
  </si>
  <si>
    <t>Air Travel: Seat Miles Demanded: Middle East: Narrow Body Aircraft: Low Economic Growth</t>
  </si>
  <si>
    <t>AEO.2023.LOWMACRO.ECI_SMD_AIRT_NBTR_NA_NA_MDE_BLNMLS.A</t>
  </si>
  <si>
    <t>Air Travel: Seat Miles Demanded: Middle East: Wide Body Aircraft: Low Economic Growth</t>
  </si>
  <si>
    <t>AEO.2023.LOWMACRO.ECI_SMD_AIRT_WBE_NA_NA_MDE_BLNMLS.A</t>
  </si>
  <si>
    <t>Air Travel: Seat Miles Demanded: Middle East: Regional Jets: Low Economic Growth</t>
  </si>
  <si>
    <t>AEO.2023.LOWMACRO.ECI_SMD_AIRT_REGJ_NA_NA_MDE_BLNMLS.A</t>
  </si>
  <si>
    <t>Air Travel: Seat Miles Demanded: Africa: Low Economic Growth</t>
  </si>
  <si>
    <t>AEO.2023.LOWMACRO.ECI_SMD_AIRT_NA_NA_NA_AFR_BLNMLS.A</t>
  </si>
  <si>
    <t>Air Travel: Seat Miles Demanded: Africa: Narrow Body Aircraft: Low Economic Growth</t>
  </si>
  <si>
    <t>AEO.2023.LOWMACRO.ECI_SMD_AIRT_NBTR_NA_NA_AFR_BLNMLS.A</t>
  </si>
  <si>
    <t>Air Travel: Seat Miles Demanded: Africa: Wide Body Aircraft: Low Economic Growth</t>
  </si>
  <si>
    <t>AEO.2023.LOWMACRO.ECI_SMD_AIRT_WBE_NA_NA_AFR_BLNMLS.A</t>
  </si>
  <si>
    <t>Air Travel: Seat Miles Demanded: Africa: Regional Jets: Low Economic Growth</t>
  </si>
  <si>
    <t>AEO.2023.LOWMACRO.ECI_SMD_AIRT_REGJ_NA_NA_AFR_BLNMLS.A</t>
  </si>
  <si>
    <t>Air Travel: Seat Miles Demanded: Brazil: Low Economic Growth</t>
  </si>
  <si>
    <t>AEO.2023.LOWMACRO.ECI_SMD_AIRT_NA_NA_NA_BRZ_BLNMLS.A</t>
  </si>
  <si>
    <t>Air Travel: Seat Miles Demanded: Brazil: Narrow Body Aircraft: Low Economic Growth</t>
  </si>
  <si>
    <t>AEO.2023.LOWMACRO.ECI_SMD_AIRT_NBTR_NA_NA_BRZ_BLNMLS.A</t>
  </si>
  <si>
    <t>Air Travel: Seat Miles Demanded: Brazil: Wide Body Aircraft: Low Economic Growth</t>
  </si>
  <si>
    <t>AEO.2023.LOWMACRO.ECI_SMD_AIRT_WBE_NA_NA_BRZ_BLNMLS.A</t>
  </si>
  <si>
    <t>Air Travel: Seat Miles Demanded: Brazil: Regional Jets: Low Economic Growth</t>
  </si>
  <si>
    <t>AEO.2023.LOWMACRO.ECI_SMD_AIRT_REGJ_NA_NA_BRZ_BLNMLS.A</t>
  </si>
  <si>
    <t>Air Travel: Seat Miles Demanded: Other Non-OECD Americas: Low Economic Growth</t>
  </si>
  <si>
    <t>AEO.2023.LOWMACRO.ECI_SMD_AIRT_NA_NA_NA_OTHAMER_BLNMLS.A</t>
  </si>
  <si>
    <t>Air Travel: Seat Miles Demanded: Other Non-OECD Americas: Narrow Body Aircraft: Low Economic Growth</t>
  </si>
  <si>
    <t>AEO.2023.LOWMACRO.ECI_SMD_AIRT_NBTR_NA_NA_OTHAMER_BLNMLS.A</t>
  </si>
  <si>
    <t>Air Travel: Seat Miles Demanded: Other Non-OECD Americas: Wide Body Aircraft: Low Economic Growth</t>
  </si>
  <si>
    <t>AEO.2023.LOWMACRO.ECI_SMD_AIRT_WBE_NA_NA_OTHAMER_BLNMLS.A</t>
  </si>
  <si>
    <t>Air Travel: Seat Miles Demanded: Other Non-OECD Americas: Regional Jets: Low Economic Growth</t>
  </si>
  <si>
    <t>AEO.2023.LOWMACRO.ECI_SMD_AIRT_REGJ_NA_NA_OTHAMER_BLNMLS.A</t>
  </si>
  <si>
    <t>Total Narrow Body</t>
  </si>
  <si>
    <t>Air Travel: Seat Miles Demanded: World: Narrow Body Aircraft: Low Economic Growth</t>
  </si>
  <si>
    <t>AEO.2023.LOWMACRO.ECI_SMD_AIRT_NBTR_NA_NA_WRLD_BLNMLS.A</t>
  </si>
  <si>
    <t>Total Wide Body</t>
  </si>
  <si>
    <t>Air Travel: Seat Miles Demanded: World: Wide Body Aircraft: Low Economic Growth</t>
  </si>
  <si>
    <t>AEO.2023.LOWMACRO.ECI_SMD_AIRT_WBE_NA_NA_WRLD_BLNMLS.A</t>
  </si>
  <si>
    <t>Total Regional Jet</t>
  </si>
  <si>
    <t>Air Travel: Seat Miles Demanded: World: Regional Jets: Low Economic Growth</t>
  </si>
  <si>
    <t>AEO.2023.LOWMACRO.ECI_SMD_AIRT_REGJ_NA_NA_WRLD_BLNMLS.A</t>
  </si>
  <si>
    <t>Air Travel: Seat Miles Demanded: World: Low Economic Growth</t>
  </si>
  <si>
    <t>AEO.2023.LOWMACRO.ECI_SMD_AIRT_NA_NA_NA_WRLD_BLNMLS.A</t>
  </si>
  <si>
    <t>Air Travel: Aircraft Deliveries: U.S.: Low Economic Growth</t>
  </si>
  <si>
    <t>Air Travel: Aircraft Deliveries: U.S.: Narrow Body Aircraft: Low Economic Growth</t>
  </si>
  <si>
    <t>Air Travel: Aircraft Deliveries: U.S.: Wide Body Aircraft: Low Economic Growth</t>
  </si>
  <si>
    <t>Air Travel: Aircraft Deliveries: U.S.: Regional Jets: Low Economic Growth</t>
  </si>
  <si>
    <t>Air Travel: Aircraft Deliveries: Canada: Low Economic Growth</t>
  </si>
  <si>
    <t>Air Travel: Aircraft Deliveries: Canada: Narrow Body Aircraft: Low Economic Growth</t>
  </si>
  <si>
    <t>Air Travel: Aircraft Deliveries: Canada: Wide Body Aircraft: Low Economic Growth</t>
  </si>
  <si>
    <t>Air Travel: Aircraft Deliveries: Canada: Regional Jets: Low Economic Growth</t>
  </si>
  <si>
    <t>Air Travel: Aircraft Deliveries: Mexico and other OECD Americas: Low Economic Growth</t>
  </si>
  <si>
    <t>Air Travel: Aircraft Deliveries: Mexico and other OECD Americas: Narrow Body Aircraft: Low Economic Growth</t>
  </si>
  <si>
    <t>Air Travel: Aircraft Deliveries: Mexico and other OECD Americas: Wide Body Aircraft: Low Economic Growth</t>
  </si>
  <si>
    <t>Air Travel: Aircraft Deliveries: Mexico and other OECD Americas: Regional Jets: Low Economic Growth</t>
  </si>
  <si>
    <t>Air Travel: Aircraft Deliveries: OECD Europe: Low Economic Growth</t>
  </si>
  <si>
    <t>Air Travel: Aircraft Deliveries: OECD Europe: Narrow Body Aircraft: Low Economic Growth</t>
  </si>
  <si>
    <t>Air Travel: Aircraft Deliveries: OECD Europe: Wide Body Aircraft: Low Economic Growth</t>
  </si>
  <si>
    <t>Air Travel: Aircraft Deliveries: OECD Europe: Regional Jets: Low Economic Growth</t>
  </si>
  <si>
    <t>Air Travel: Aircraft Deliveries: Japan: Low Economic Growth</t>
  </si>
  <si>
    <t>Air Travel: Aircraft Deliveries: Japan: Narrow Body Aircraft: Low Economic Growth</t>
  </si>
  <si>
    <t>Air Travel: Aircraft Deliveries: Japan: Wide Body Aircraft: Low Economic Growth</t>
  </si>
  <si>
    <t>Air Travel: Aircraft Deliveries: Japan: Regional Jets: Low Economic Growth</t>
  </si>
  <si>
    <t>Air Travel: Aircraft Deliveries: Australia and New Zealand: Low Economic Growth</t>
  </si>
  <si>
    <t>Air Travel: Aircraft Deliveries: Australia and New Zealand: Narrow Body Aircraft: Low Economic Growth</t>
  </si>
  <si>
    <t>Air Travel: Aircraft Deliveries: Australia and New Zealand: Wide Body Aircraft: Low Economic Growth</t>
  </si>
  <si>
    <t>Air Travel: Aircraft Deliveries: Australia and New Zealand: Regional Jets: Low Economic Growth</t>
  </si>
  <si>
    <t>Air Travel: Aircraft Deliveries: South Korea: Low Economic Growth</t>
  </si>
  <si>
    <t>Air Travel: Aircraft Deliveries: South Korea: Narrow Body Aircraft: Low Economic Growth</t>
  </si>
  <si>
    <t>Air Travel: Aircraft Deliveries: South Korea: Wide Body Aircraft: Low Economic Growth</t>
  </si>
  <si>
    <t>Air Travel: Aircraft Deliveries: South Korea: Regional Jets: Low Economic Growth</t>
  </si>
  <si>
    <t>Air Travel: Aircraft Deliveries: Russia: Low Economic Growth</t>
  </si>
  <si>
    <t>Air Travel: Aircraft Deliveries: Russia: Narrow Body Aircraft: Low Economic Growth</t>
  </si>
  <si>
    <t>Air Travel: Aircraft Deliveries: Russia: Wide Body Aircraft: Low Economic Growth</t>
  </si>
  <si>
    <t>Air Travel: Aircraft Deliveries: Russia: Regional Jets: Low Economic Growth</t>
  </si>
  <si>
    <t>Air Travel: Aircraft Deliveries: Other Europe and Eurasia: Low Economic Growth</t>
  </si>
  <si>
    <t>Air Travel: Aircraft Deliveries: Other Europe and Eurasia: Narrow Body Aircraft: Low Economic Growth</t>
  </si>
  <si>
    <t>Air Travel: Aircraft Deliveries: Other Europe and Eurasia: Wide Body Aircraft: Low Economic Growth</t>
  </si>
  <si>
    <t>Air Travel: Aircraft Deliveries: Other Europe and Eurasia: Regional Jets: Low Economic Growth</t>
  </si>
  <si>
    <t>Air Travel: Aircraft Deliveries: China: Low Economic Growth</t>
  </si>
  <si>
    <t>Air Travel: Aircraft Deliveries: China: Narrow Body Aircraft: Low Economic Growth</t>
  </si>
  <si>
    <t>Air Travel: Aircraft Deliveries: China: Wide Body Aircraft: Low Economic Growth</t>
  </si>
  <si>
    <t>Air Travel: Aircraft Deliveries: China: Regional Jets: Low Economic Growth</t>
  </si>
  <si>
    <t>Air Travel: Aircraft Deliveries: India: Low Economic Growth</t>
  </si>
  <si>
    <t>Air Travel: Aircraft Deliveries: India: Narrow Body Aircraft: Low Economic Growth</t>
  </si>
  <si>
    <t>Air Travel: Aircraft Deliveries: India: Wide Body Aircraft: Low Economic Growth</t>
  </si>
  <si>
    <t>Air Travel: Aircraft Deliveries: India: Regional Jets: Low Economic Growth</t>
  </si>
  <si>
    <t>Air Travel: Aircraft Deliveries: Other Non-OECD Asia: Low Economic Growth</t>
  </si>
  <si>
    <t>Air Travel: Aircraft Deliveries: Other Non-OECD Asia: Narrow Body Aircraft: Low Economic Growth</t>
  </si>
  <si>
    <t>Air Travel: Aircraft Deliveries: Other Non-OECD Asia: Wide Body Aircraft: Low Economic Growth</t>
  </si>
  <si>
    <t>Air Travel: Aircraft Deliveries: Other Non-OECD Asia: Regional Jets: Low Economic Growth</t>
  </si>
  <si>
    <t>Air Travel: Aircraft Deliveries: Middle East: Low Economic Growth</t>
  </si>
  <si>
    <t>Air Travel: Aircraft Deliveries: Middle East: Narrow Body Aircraft: Low Economic Growth</t>
  </si>
  <si>
    <t>Air Travel: Aircraft Deliveries: Middle East: Wide Body Aircraft: Low Economic Growth</t>
  </si>
  <si>
    <t>Air Travel: Aircraft Deliveries: Middle East: Regional Jets: Low Economic Growth</t>
  </si>
  <si>
    <t>Air Travel: Aircraft Deliveries: Africa: Low Economic Growth</t>
  </si>
  <si>
    <t>Air Travel: Aircraft Deliveries: Africa: Narrow Body Aircraft: Low Economic Growth</t>
  </si>
  <si>
    <t>Air Travel: Aircraft Deliveries: Africa: Wide Body Aircraft: Low Economic Growth</t>
  </si>
  <si>
    <t>Air Travel: Aircraft Deliveries: Africa: Regional Jets: Low Economic Growth</t>
  </si>
  <si>
    <t>Air Travel: Aircraft Deliveries: Brazil: Low Economic Growth</t>
  </si>
  <si>
    <t>Air Travel: Aircraft Deliveries: Brazil: Narrow Body Aircraft: Low Economic Growth</t>
  </si>
  <si>
    <t>Air Travel: Aircraft Deliveries: Brazil: Wide Body Aircraft: Low Economic Growth</t>
  </si>
  <si>
    <t>Air Travel: Aircraft Deliveries: Brazil: Regional Jets: Low Economic Growth</t>
  </si>
  <si>
    <t>Air Travel: Aircraft Deliveries: Other Non-OECD Americas: Low Economic Growth</t>
  </si>
  <si>
    <t>Air Travel: Aircraft Deliveries: Other Non-OECD Americas: Narrow Body Aircraft: Low Economic Growth</t>
  </si>
  <si>
    <t>Air Travel: Aircraft Deliveries: Other Non-OECD Americas: Wide Body Aircraft: Low Economic Growth</t>
  </si>
  <si>
    <t>Air Travel: Aircraft Deliveries: Other Non-OECD Americas: Regional Jets: Low Economic Growth</t>
  </si>
  <si>
    <t>Air Travel: Aircraft Deliveries: World: Narrow Body Aircraft: Low Economic Growth</t>
  </si>
  <si>
    <t>Air Travel: Aircraft Deliveries: World: Wide Body Aircraft: Low Economic Growth</t>
  </si>
  <si>
    <t>Air Travel: Aircraft Deliveries: World: Regional Jets: Low Economic Growth</t>
  </si>
  <si>
    <t>Air Travel: Aircraft Deliveries: World: Low Economic Growth</t>
  </si>
  <si>
    <t>Air Travel: New Aircraft Efficiency: Narrow Body Aircraft: Low Economic Growth</t>
  </si>
  <si>
    <t>AEO.2023.LOWMACRO.EFI_NEW_AIRT_NBTR_NA_NA_USA_SEATMPG.A</t>
  </si>
  <si>
    <t>Air Travel: New Aircraft Efficiency: Wide Body Aircraft: Low Economic Growth</t>
  </si>
  <si>
    <t>AEO.2023.LOWMACRO.EFI_NEW_AIRT_WBE_NA_NA_USA_SEATMPG.A</t>
  </si>
  <si>
    <t>Air Travel: New Aircraft Efficiency: Regional Jets: Low Economic Growth</t>
  </si>
  <si>
    <t>AEO.2023.LOWMACRO.EFI_NEW_AIRT_REGJ_NA_NA_USA_SEATMPG.A</t>
  </si>
  <si>
    <t>Air Travel: New Aircraft Efficiency: Average Aircraft: Low Economic Growth</t>
  </si>
  <si>
    <t>AEO.2023.LOWMACRO.EFI_NEW_AIRT_NA_NA_NA_USA_SEATMPG.A</t>
  </si>
  <si>
    <t>Air Travel: Aircraft Stock Efficiency: Narrow Body Aircraft: Low Economic Growth</t>
  </si>
  <si>
    <t>AEO.2023.LOWMACRO.EFI_STK_AIRT_NBTR_NA_NA_USA_SEATMPG.A</t>
  </si>
  <si>
    <t>Air Travel: Aircraft Stock Efficiency: Wide Body Aircraft: Low Economic Growth</t>
  </si>
  <si>
    <t>AEO.2023.LOWMACRO.EFI_STK_AIRT_WBE_NA_NA_USA_SEATMPG.A</t>
  </si>
  <si>
    <t>Air Travel: Aircraft Stock Efficiency: Regional Jets: Low Economic Growth</t>
  </si>
  <si>
    <t>AEO.2023.LOWMACRO.EFI_STK_AIRT_REGJ_NA_NA_USA_SEATMPG.A</t>
  </si>
  <si>
    <t>Air Travel: Aircraft Stock Efficiency: Average Aircraft: Low Economic Growth</t>
  </si>
  <si>
    <t>AEO.2023.LOWMACRO.EFI_STK_AIRT_NA_NA_NA_USA_SEATMPG.A</t>
  </si>
  <si>
    <t>Air Travel: Fuel Use: Commercial: Jet Fuel: U.S.: Low Economic Growth</t>
  </si>
  <si>
    <t>AEO.2023.LOWMACRO.CNSM_NA_AIRT_COMM_JFL_NA_USA_TRLBTU.A</t>
  </si>
  <si>
    <t>Air Travel: Fuel Use: Commercial: Jet Fuel: Canada: Low Economic Growth</t>
  </si>
  <si>
    <t>AEO.2023.LOWMACRO.CNSM_NA_AIRT_COMM_JFL_NA_CAN_TRLBTU.A</t>
  </si>
  <si>
    <t>Air Travel: Fuel Use: Commercial: Jet Fuel: Mexico and other OECD Americas: Low Economic Growth</t>
  </si>
  <si>
    <t>AEO.2023.LOWMACRO.CNSM_NA_AIRT_COMM_JFL_NA_MEXOTH_TRLBTU.A</t>
  </si>
  <si>
    <t>Air Travel: Fuel Use: Commercial: Jet Fuel: OECD Europe: Low Economic Growth</t>
  </si>
  <si>
    <t>AEO.2023.LOWMACRO.CNSM_NA_AIRT_COMM_JFL_NA_OCDEU_TRLBTU.A</t>
  </si>
  <si>
    <t>Air Travel: Fuel Use: Commercial: Jet Fuel: Japan: Low Economic Growth</t>
  </si>
  <si>
    <t>AEO.2023.LOWMACRO.CNSM_NA_AIRT_COMM_JFL_NA_JPN_TRLBTU.A</t>
  </si>
  <si>
    <t>Air Travel: Fuel Use: Commercial: Jet Fuel: Australia and New Zealand: Low Economic Growth</t>
  </si>
  <si>
    <t>AEO.2023.LOWMACRO.CNSM_NA_AIRT_COMM_JFL_NA_AUNZ_TRLBTU.A</t>
  </si>
  <si>
    <t>Air Travel: Fuel Use: Commercial: Jet Fuel: South Korea: Low Economic Growth</t>
  </si>
  <si>
    <t>AEO.2023.LOWMACRO.CNSM_NA_AIRT_COMM_JFL_NA_SOK_TRLBTU.A</t>
  </si>
  <si>
    <t>Air Travel: Fuel Use: Commercial: Jet Fuel: Russia: Low Economic Growth</t>
  </si>
  <si>
    <t>AEO.2023.LOWMACRO.CNSM_NA_AIRT_COMM_JFL_NA_RUS_TRLBTU.A</t>
  </si>
  <si>
    <t>Air Travel: Fuel Use: Commercial: Jet Fuel: Other Europe and Eurasia: Low Economic Growth</t>
  </si>
  <si>
    <t>AEO.2023.LOWMACRO.CNSM_NA_AIRT_COMM_JFL_NA_OEUAS_TRLBTU.A</t>
  </si>
  <si>
    <t>Air Travel: Fuel Use: Commercial: Jet Fuel: China: Low Economic Growth</t>
  </si>
  <si>
    <t>AEO.2023.LOWMACRO.CNSM_NA_AIRT_COMM_JFL_NA_CHN_TRLBTU.A</t>
  </si>
  <si>
    <t>Air Travel: Fuel Use: Commercial: Jet Fuel: India: Low Economic Growth</t>
  </si>
  <si>
    <t>AEO.2023.LOWMACRO.CNSM_NA_AIRT_COMM_JFL_NA_IND_TRLBTU.A</t>
  </si>
  <si>
    <t>Air Travel: Fuel Use: Commercial: Jet Fuel: Other Non-OECD Asia: Low Economic Growth</t>
  </si>
  <si>
    <t>AEO.2023.LOWMACRO.CNSM_NA_AIRT_COMM_JFL_NA_ONCDAS_TRLBTU.A</t>
  </si>
  <si>
    <t>Air Travel: Fuel Use: Commercial: Jet Fuel: Middle East: Low Economic Growth</t>
  </si>
  <si>
    <t>AEO.2023.LOWMACRO.CNSM_NA_AIRT_COMM_JFL_NA_MDE_TRLBTU.A</t>
  </si>
  <si>
    <t>Air Travel: Fuel Use: Commercial: Jet Fuel: Africa: Low Economic Growth</t>
  </si>
  <si>
    <t>AEO.2023.LOWMACRO.CNSM_NA_AIRT_COMM_JFL_NA_AFR_TRLBTU.A</t>
  </si>
  <si>
    <t>Air Travel: Fuel Use: Commercial: Jet Fuel: Brazil: Low Economic Growth</t>
  </si>
  <si>
    <t>AEO.2023.LOWMACRO.CNSM_NA_AIRT_COMM_JFL_NA_BRZ_TRLBTU.A</t>
  </si>
  <si>
    <t>Air Travel: Fuel Use: Commercial: Jet Fuel: Other Non-OECD Americas: Low Economic Growth</t>
  </si>
  <si>
    <t>AEO.2023.LOWMACRO.CNSM_NA_AIRT_COMM_JFL_NA_OTHAMER_TRLBTU.A</t>
  </si>
  <si>
    <t>Air Travel: Fuel Use: Commercial: Jet Fuel: World: Low Economic Growth</t>
  </si>
  <si>
    <t>AEO.2023.LOWMACRO.CNSM_NA_AIRT_COMM_JFL_NA_WRLD_TRLBTU.A</t>
  </si>
  <si>
    <t>Air Travel: Fuel Use: Commercial: Aviation Gasoline: U.S.: Low Economic Growth</t>
  </si>
  <si>
    <t>AEO.2023.LOWMACRO.CNSM_NA_AIRT_COMM_AVGA_NA_USA_TRLBTU.A</t>
  </si>
  <si>
    <t>Air Travel: Fuel Use: Military: Jet Fuel: U.S.: Low Economic Growth</t>
  </si>
  <si>
    <t>AEO.2023.LOWMACRO.CNSM_NA_AIRT_MILT_JFL_NA_USA_TRLBTU.A</t>
  </si>
  <si>
    <t>https://www.eia.gov/outlooks/aeo/data/browser/#/?id=58-AEO2023&amp;cases=lowmacro&amp;sourcekey=0</t>
  </si>
  <si>
    <t>Tue Apr 11 2023 11:22:44 GMT-0400 (Eastern Daylight Time)</t>
  </si>
  <si>
    <t>Freight: Truck Stock: Vehicle Miles Traveled: Light Medium: Diesel: Low Economic Growth</t>
  </si>
  <si>
    <t>AEO.2023.LOWMACRO.ECI_VMT_FGHT_LITEMEDS_DSL_NA_NA_BLNMLS.A</t>
  </si>
  <si>
    <t>Freight: Truck Stock: Vehicle Miles Traveled: Light Medium: Motor Gasoline: Low Economic Growth</t>
  </si>
  <si>
    <t>AEO.2023.LOWMACRO.ECI_VMT_FGHT_LITEMEDS_MGS_NA_NA_BLNMLS.A</t>
  </si>
  <si>
    <t>Freight: Truck Stock: Vehicle Miles Traveled: Light Medium: Propane: Low Economic Growth</t>
  </si>
  <si>
    <t>AEO.2023.LOWMACRO.ECI_VMT_FGHT_LITEMEDS_PROP_NA_NA_BLNMLS.A</t>
  </si>
  <si>
    <t>Freight: Truck Stock: Vehicle Miles Traveled: Light Medium: Natural Gas: Low Economic Growth</t>
  </si>
  <si>
    <t>AEO.2023.LOWMACRO.ECI_VMT_FGHT_LITEMEDS_NG_NA_NA_BLNMLS.A</t>
  </si>
  <si>
    <t>Freight: Truck Stock: Vehicle Miles Traveled: Light Medium: Ethanol-Flex Fuel: Low Economic Growth</t>
  </si>
  <si>
    <t>AEO.2023.LOWMACRO.ECI_VMT_FGHT_LITEMEDS_EFFI_NA_NA_BLNMLS.A</t>
  </si>
  <si>
    <t>Freight: Truck Stock: Vehicle Miles Traveled: Light Medium: Electric: Low Economic Growth</t>
  </si>
  <si>
    <t>AEO.2023.LOWMACRO.ECI_VMT_FGHT_LITEMEDS_ELE_NA_NA_BLNMLS.A</t>
  </si>
  <si>
    <t>Freight: Truck Stock: Vehicle Miles Traveled: Light Medium: Plug-in Diesel Hybrid: Low Economic Growth</t>
  </si>
  <si>
    <t>AEO.2023.LOWMACRO.ECI_VMT_FGHT_LITEMEDS_EDH_NA_NA_BLNMLS.A</t>
  </si>
  <si>
    <t>Freight: Truck Stock: Vehicle Miles Traveled: Light Medium: Plug-in Gasoline Hybrid: Low Economic Growth</t>
  </si>
  <si>
    <t>AEO.2023.LOWMACRO.ECI_VMT_FGHT_LITEMEDS_EGH_NA_NA_BLNMLS.A</t>
  </si>
  <si>
    <t>Freight: Truck Stock: Vehicle Miles Traveled: Light Medium: Fuel Cell: Low Economic Growth</t>
  </si>
  <si>
    <t>AEO.2023.LOWMACRO.ECI_VMT_FGHT_LITEMEDS_FUC_NA_NA_BLNMLS.A</t>
  </si>
  <si>
    <t>Freight: Truck Stock: Vehicle Miles Traveled: Light Medium: Low Economic Growth</t>
  </si>
  <si>
    <t>AEO.2023.LOWMACRO.ECI_VMT_FGHT_LITEMEDS_NA_NA_NA_BLNMLS.A</t>
  </si>
  <si>
    <t>Freight: Truck Stock: Vehicle Miles Traveled: Medium: Diesel: Low Economic Growth</t>
  </si>
  <si>
    <t>AEO.2023.LOWMACRO.ECI_VMT_FGHT_SOSOS_DSL_NA_NA_BLNMLS.A</t>
  </si>
  <si>
    <t>Freight: Truck Stock: Vehicle Miles Traveled: Medium: Motor Gasoline: Low Economic Growth</t>
  </si>
  <si>
    <t>AEO.2023.LOWMACRO.ECI_VMT_FGHT_SOSOS_MGS_NA_NA_BLNMLS.A</t>
  </si>
  <si>
    <t>Freight: Truck Stock: Vehicle Miles Traveled: Medium: Propane: Low Economic Growth</t>
  </si>
  <si>
    <t>AEO.2023.LOWMACRO.ECI_VMT_FGHT_SOSOS_PROP_NA_NA_BLNMLS.A</t>
  </si>
  <si>
    <t>Freight: Truck Stock: Vehicle Miles Traveled: Medium: Natural Gas: Low Economic Growth</t>
  </si>
  <si>
    <t>AEO.2023.LOWMACRO.ECI_VMT_FGHT_SOSOS_NG_NA_NA_BLNMLS.A</t>
  </si>
  <si>
    <t>Freight: Truck Stock: Vehicle Miles Traveled: Medium: Ethanol-Flex Fuel: Low Economic Growth</t>
  </si>
  <si>
    <t>AEO.2023.LOWMACRO.ECI_VMT_FGHT_SOSOS_EFFI_NA_NA_BLNMLS.A</t>
  </si>
  <si>
    <t>Freight: Truck Stock: Vehicle Miles Traveled: Medium: Electric: Low Economic Growth</t>
  </si>
  <si>
    <t>AEO.2023.LOWMACRO.ECI_VMT_FGHT_SOSOS_ELE_NA_NA_BLNMLS.A</t>
  </si>
  <si>
    <t>Freight: Truck Stock: Vehicle Miles Traveled: Medium: Plug-in Diesel Hybrid: Low Economic Growth</t>
  </si>
  <si>
    <t>AEO.2023.LOWMACRO.ECI_VMT_FGHT_SOSOS_EDH_NA_NA_BLNMLS.A</t>
  </si>
  <si>
    <t>Freight: Truck Stock: Vehicle Miles Traveled: Medium: Plug-in Gasoline Hybrid: Low Economic Growth</t>
  </si>
  <si>
    <t>AEO.2023.LOWMACRO.ECI_VMT_FGHT_SOSOS_EGH_NA_NA_BLNMLS.A</t>
  </si>
  <si>
    <t>Freight: Truck Stock: Vehicle Miles Traveled: Medium: Fuel Cell: Low Economic Growth</t>
  </si>
  <si>
    <t>AEO.2023.LOWMACRO.ECI_VMT_FGHT_SOSOS_FUC_NA_NA_BLNMLS.A</t>
  </si>
  <si>
    <t>Freight: Truck Stock: Vehicle Miles Traveled: Medium: Low Economic Growth</t>
  </si>
  <si>
    <t>AEO.2023.LOWMACRO.ECI_VMT_FGHT_SOSOS_NA_NA_NA_BLNMLS.A</t>
  </si>
  <si>
    <t>Freight: Truck Stock: Vehicle Miles Traveled: Heavy: Diesel: Low Economic Growth</t>
  </si>
  <si>
    <t>AEO.2023.LOWMACRO.ECI_VMT_FGHT_RADS_DSL_NA_NA_BLNMLS.A</t>
  </si>
  <si>
    <t>Freight: Truck Stock: Vehicle Miles Traveled: Heavy: Motor Gasoline: Low Economic Growth</t>
  </si>
  <si>
    <t>AEO.2023.LOWMACRO.ECI_VMT_FGHT_RADS_MGS_NA_NA_BLNMLS.A</t>
  </si>
  <si>
    <t>Freight: Truck Stock: Vehicle Miles Traveled: Heavy: Propane: Low Economic Growth</t>
  </si>
  <si>
    <t>AEO.2023.LOWMACRO.ECI_VMT_FGHT_RADS_PROP_NA_NA_BLNMLS.A</t>
  </si>
  <si>
    <t>Freight: Truck Stock: Vehicle Miles Traveled: Heavy: Natural Gas: Low Economic Growth</t>
  </si>
  <si>
    <t>AEO.2023.LOWMACRO.ECI_VMT_FGHT_RADS_NG_NA_NA_BLNMLS.A</t>
  </si>
  <si>
    <t>Freight: Truck Stock: Vehicle Miles Traveled: Heavy: Ethanol-Flex Fuel: Low Economic Growth</t>
  </si>
  <si>
    <t>AEO.2023.LOWMACRO.ECI_VMT_FGHT_RADS_EFFI_NA_NA_BLNMLS.A</t>
  </si>
  <si>
    <t>Freight: Truck Stock: Vehicle Miles Traveled: Heavy: Electric: Low Economic Growth</t>
  </si>
  <si>
    <t>AEO.2023.LOWMACRO.ECI_VMT_FGHT_RADS_ELE_NA_NA_BLNMLS.A</t>
  </si>
  <si>
    <t>Freight: Truck Stock: Vehicle Miles Traveled: Heavy: Plug-in Diesel Hybrid: Low Economic Growth</t>
  </si>
  <si>
    <t>AEO.2023.LOWMACRO.ECI_VMT_FGHT_RADS_EDH_NA_NA_BLNMLS.A</t>
  </si>
  <si>
    <t>Freight: Truck Stock: Vehicle Miles Traveled: Heavy: Plug-in Gasoline Hybrid: Low Economic Growth</t>
  </si>
  <si>
    <t>AEO.2023.LOWMACRO.ECI_VMT_FGHT_RADS_EGH_NA_NA_BLNMLS.A</t>
  </si>
  <si>
    <t>Freight: Truck Stock: Vehicle Miles Traveled: Heavy: Fuel Cell: Low Economic Growth</t>
  </si>
  <si>
    <t>AEO.2023.LOWMACRO.ECI_VMT_FGHT_RADS_FUC_NA_NA_BLNMLS.A</t>
  </si>
  <si>
    <t>Freight: Truck Stock: Vehicle Miles Traveled: Heavy: Low Economic Growth</t>
  </si>
  <si>
    <t>AEO.2023.LOWMACRO.ECI_VMT_FGHT_RADS_NA_NA_NA_BLNMLS.A</t>
  </si>
  <si>
    <t>Freight: Truck Stock: Vehicle Miles Traveled: Low Economic Growth</t>
  </si>
  <si>
    <t>AEO.2023.LOWMACRO.ECI_VMT_FGHT_STK_NA_NA_NA_BLNMLS.A</t>
  </si>
  <si>
    <t>Freight: Truck Stock: Use: Light Medium: Diesel: Low Economic Growth</t>
  </si>
  <si>
    <t>AEO.2023.LOWMACRO.CNSM_NA_FGHT_LITEMEDS_DSL_NA_NA_TRLBTU.A</t>
  </si>
  <si>
    <t>Freight: Truck Stock: Use: Light Medium: Motor Gasoline: Low Economic Growth</t>
  </si>
  <si>
    <t>AEO.2023.LOWMACRO.CNSM_NA_FGHT_LITEMEDS_MGS_NA_NA_TRLBTU.A</t>
  </si>
  <si>
    <t>Freight: Truck Stock: Use: Light Medium: Propane: Low Economic Growth</t>
  </si>
  <si>
    <t>AEO.2023.LOWMACRO.CNSM_NA_FGHT_LITEMEDS_PROP_NA_NA_TRLBTU.A</t>
  </si>
  <si>
    <t>Freight: Truck Stock: Use: Light Medium: Natural Gas: Low Economic Growth</t>
  </si>
  <si>
    <t>AEO.2023.LOWMACRO.CNSM_NA_FGHT_LITEMEDS_NG_NA_NA_TRLBTU.A</t>
  </si>
  <si>
    <t>Freight: Truck Stock: Use: Light Medium: Ethanol-Flex Fuel: Low Economic Growth</t>
  </si>
  <si>
    <t>AEO.2023.LOWMACRO.CNSM_NA_FGHT_LITEMEDS_EFFI_NA_NA_TRLBTU.A</t>
  </si>
  <si>
    <t>Freight: Truck Stock: Use: Light Medium: Electric: Low Economic Growth</t>
  </si>
  <si>
    <t>AEO.2023.LOWMACRO.CNSM_NA_FGHT_LITEMEDS_ELE_NA_NA_TRLBTU.A</t>
  </si>
  <si>
    <t>Freight: Truck Stock: Use: Light Medium: Plug-in Diesel Hybrid: Low Economic Growth</t>
  </si>
  <si>
    <t>AEO.2023.LOWMACRO.CNSM_NA_FGHT_LITEMEDS_EDH_NA_NA_TRLBTU.A</t>
  </si>
  <si>
    <t>Freight: Truck Stock: Use: Light Medium: Plug-in Gasoline Hybrid: Low Economic Growth</t>
  </si>
  <si>
    <t>AEO.2023.LOWMACRO.CNSM_NA_FGHT_LITEMEDS_EGH_NA_NA_TRLBTU.A</t>
  </si>
  <si>
    <t>Freight: Truck Stock: Use: Light Medium: Fuel Cell: Low Economic Growth</t>
  </si>
  <si>
    <t>AEO.2023.LOWMACRO.CNSM_NA_FGHT_LITEMEDS_FUC_NA_NA_TRLBTU.A</t>
  </si>
  <si>
    <t>Freight: Truck Stock: Use: Light Medium: Low Economic Growth</t>
  </si>
  <si>
    <t>AEO.2023.LOWMACRO.CNSM_NA_FGHT_LITEMEDS_NA_NA_NA_TRLBTU.A</t>
  </si>
  <si>
    <t>Freight: Truck Stock: Use: Medium: Diesel: Low Economic Growth</t>
  </si>
  <si>
    <t>AEO.2023.LOWMACRO.CNSM_NA_FGHT_SOSOS_DSL_NA_NA_TRLBTU.A</t>
  </si>
  <si>
    <t>Freight: Truck Stock: Use: Medium: Motor Gasoline: Low Economic Growth</t>
  </si>
  <si>
    <t>AEO.2023.LOWMACRO.CNSM_NA_FGHT_SOSOS_MGS_NA_NA_TRLBTU.A</t>
  </si>
  <si>
    <t>Freight: Truck Stock: Use: Medium: Propane: Low Economic Growth</t>
  </si>
  <si>
    <t>AEO.2023.LOWMACRO.CNSM_NA_FGHT_SOSOS_PROP_NA_NA_TRLBTU.A</t>
  </si>
  <si>
    <t>Freight: Truck Stock: Use: Medium: Natural Gas: Low Economic Growth</t>
  </si>
  <si>
    <t>AEO.2023.LOWMACRO.CNSM_NA_FGHT_SOSOS_NG_NA_NA_TRLBTU.A</t>
  </si>
  <si>
    <t>Freight: Truck Stock: Use: Medium: Ethanol-Flex Fuel: Low Economic Growth</t>
  </si>
  <si>
    <t>AEO.2023.LOWMACRO.CNSM_NA_FGHT_SOSOS_EFFI_NA_NA_TRLBTU.A</t>
  </si>
  <si>
    <t>Freight: Truck Stock: Use: Medium: Electric: Low Economic Growth</t>
  </si>
  <si>
    <t>AEO.2023.LOWMACRO.CNSM_NA_FGHT_SOSOS_ELE_NA_NA_TRLBTU.A</t>
  </si>
  <si>
    <t>Freight: Truck Stock: Use: Medium: Plug-in Diesel Hybrid: Low Economic Growth</t>
  </si>
  <si>
    <t>AEO.2023.LOWMACRO.CNSM_NA_FGHT_SOSOS_EDH_NA_NA_TRLBTU.A</t>
  </si>
  <si>
    <t>Freight: Truck Stock: Use: Medium: Plug-in Gasoline Hybrid: Low Economic Growth</t>
  </si>
  <si>
    <t>AEO.2023.LOWMACRO.CNSM_NA_FGHT_SOSOS_EGH_NA_NA_TRLBTU.A</t>
  </si>
  <si>
    <t>Freight: Truck Stock: Use: Medium: Fuel Cell: Low Economic Growth</t>
  </si>
  <si>
    <t>AEO.2023.LOWMACRO.CNSM_NA_FGHT_SOSOS_FUC_NA_NA_TRLBTU.A</t>
  </si>
  <si>
    <t>Freight: Truck Stock: Use: Medium: Low Economic Growth</t>
  </si>
  <si>
    <t>AEO.2023.LOWMACRO.CNSM_NA_FGHT_SOSOS_NA_NA_NA_TRLBTU.A</t>
  </si>
  <si>
    <t>Freight: Truck Stock: Use: Heavy: Diesel: Low Economic Growth</t>
  </si>
  <si>
    <t>AEO.2023.LOWMACRO.CNSM_NA_FGHT_RADS_DSL_NA_NA_TRLBTU.A</t>
  </si>
  <si>
    <t>Freight: Truck Stock: Use: Heavy: Motor Gasoline: Low Economic Growth</t>
  </si>
  <si>
    <t>AEO.2023.LOWMACRO.CNSM_NA_FGHT_RADS_MGS_NA_NA_TRLBTU.A</t>
  </si>
  <si>
    <t>Freight: Truck Stock: Use: Heavy: Propane: Low Economic Growth</t>
  </si>
  <si>
    <t>AEO.2023.LOWMACRO.CNSM_NA_FGHT_RADS_PROP_NA_NA_TRLBTU.A</t>
  </si>
  <si>
    <t>Freight: Truck Stock: Use: Heavy: Natural Gas: Low Economic Growth</t>
  </si>
  <si>
    <t>AEO.2023.LOWMACRO.CNSM_NA_FGHT_RADS_NG_NA_NA_TRLBTU.A</t>
  </si>
  <si>
    <t>Freight: Truck Stock: Use: Heavy: Ethanol-Flex Fuel: Low Economic Growth</t>
  </si>
  <si>
    <t>AEO.2023.LOWMACRO.CNSM_NA_FGHT_RADS_EFFI_NA_NA_TRLBTU.A</t>
  </si>
  <si>
    <t>Freight: Truck Stock: Use: Heavy: Electric: Low Economic Growth</t>
  </si>
  <si>
    <t>AEO.2023.LOWMACRO.CNSM_NA_FGHT_RADS_ELE_NA_NA_TRLBTU.A</t>
  </si>
  <si>
    <t>Freight: Truck Stock: Use: Heavy: Plug-in Diesel Hybrid: Low Economic Growth</t>
  </si>
  <si>
    <t>AEO.2023.LOWMACRO.CNSM_NA_FGHT_RADS_EDH_NA_NA_TRLBTU.A</t>
  </si>
  <si>
    <t>Freight: Truck Stock: Use: Heavy: Plug-in Gasoline Hybrid: Low Economic Growth</t>
  </si>
  <si>
    <t>AEO.2023.LOWMACRO.CNSM_NA_FGHT_RADS_EGH_NA_NA_TRLBTU.A</t>
  </si>
  <si>
    <t>Freight: Truck Stock: Use: Heavy: Fuel Cell: Low Economic Growth</t>
  </si>
  <si>
    <t>AEO.2023.LOWMACRO.CNSM_NA_FGHT_RADS_FUC_NA_NA_TRLBTU.A</t>
  </si>
  <si>
    <t>Freight: Truck Stock: Use: Heavy: Low Economic Growth</t>
  </si>
  <si>
    <t>AEO.2023.LOWMACRO.CNSM_NA_FGHT_RADS_NA_NA_NA_TRLBTU.A</t>
  </si>
  <si>
    <t>Freight: Truck Stock: Use: Light Medium, Medium, and Heavy: Diesel: Low Economic Growth</t>
  </si>
  <si>
    <t>AEO.2023.LOWMACRO.CNSM_NA_FGHT_STK_DSL_NA_NA_TRLBTU.A</t>
  </si>
  <si>
    <t>Freight: Truck Stock: Use: Light Medium, Medium, and Heavy: Motor Gasoline: Low Economic Growth</t>
  </si>
  <si>
    <t>AEO.2023.LOWMACRO.CNSM_NA_FGHT_STK_MGS_NA_NA_TRLBTU.A</t>
  </si>
  <si>
    <t>Freight: Truck Stock: Use: Light Medium, Medium, and Heavy: Propane: Low Economic Growth</t>
  </si>
  <si>
    <t>AEO.2023.LOWMACRO.CNSM_NA_FGHT_STK_PROP_NA_NA_TRLBTU.A</t>
  </si>
  <si>
    <t>Freight: Truck Stock: Use: Light Medium, Medium, and Heavy: Natural Gas: Low Economic Growth</t>
  </si>
  <si>
    <t>AEO.2023.LOWMACRO.CNSM_NA_FGHT_STK_NG_NA_NA_TRLBTU.A</t>
  </si>
  <si>
    <t>Freight: Truck Stock: Use: Light Medium, Medium, and Heavy: Ethanol-Flex Fuel: Low Economic Growth</t>
  </si>
  <si>
    <t>AEO.2023.LOWMACRO.CNSM_NA_FGHT_STK_EFFI_NA_NA_TRLBTU.A</t>
  </si>
  <si>
    <t>Freight: Truck Stock: Use: Light Medium, Medium, and Heavy: Electric: Low Economic Growth</t>
  </si>
  <si>
    <t>AEO.2023.LOWMACRO.CNSM_NA_FGHT_STK_ELE_NA_NA_TRLBTU.A</t>
  </si>
  <si>
    <t>Freight: Truck Stock: Use: Light Medium, Medium, and Heavy: Plug-in Diesel Hybrid: Low Economic Growth</t>
  </si>
  <si>
    <t>AEO.2023.LOWMACRO.CNSM_NA_FGHT_STK_EDH_NA_NA_TRLBTU.A</t>
  </si>
  <si>
    <t>Freight: Truck Stock: Use: Light Medium, Medium, and Heavy: Plug-in Gasoline Hybrid: Low Economic Growth</t>
  </si>
  <si>
    <t>AEO.2023.LOWMACRO.CNSM_NA_FGHT_STK_EGH_NA_NA_TRLBTU.A</t>
  </si>
  <si>
    <t>Freight: Truck Stock: Use: Light Medium, Medium, and Heavy: Fuel Cell: Low Economic Growth</t>
  </si>
  <si>
    <t>AEO.2023.LOWMACRO.CNSM_NA_FGHT_STK_FUC_NA_NA_TRLBTU.A</t>
  </si>
  <si>
    <t>Freight: Truck Stock: Use: Light Medium, Medium, and Heavy: Low Economic Growth</t>
  </si>
  <si>
    <t>AEO.2023.LOWMACRO.CNSM_NA_FGHT_STK_NA_NA_NA_TRLBTU.A</t>
  </si>
  <si>
    <t>Freight: Truck Stock: Fuel Efficiency: Light Medium: Diesel: Low Economic Growth</t>
  </si>
  <si>
    <t>AEO.2023.LOWMACRO.EFI_NA_FGHT_LITEMEDS_DSL_NA_NA_MPGDSEQ.A</t>
  </si>
  <si>
    <t>Freight: Truck Stock: Fuel Efficiency: Light Medium: Motor Gasoline: Low Economic Growth</t>
  </si>
  <si>
    <t>AEO.2023.LOWMACRO.EFI_NA_FGHT_LITEMEDS_MGS_NA_NA_MPGGASEQ.A</t>
  </si>
  <si>
    <t>Freight: Truck Stock: Fuel Efficiency: Light Medium: Propane: Low Economic Growth</t>
  </si>
  <si>
    <t>AEO.2023.LOWMACRO.EFI_NA_FGHT_LITEMEDS_PROP_NA_NA_MPGGASEQ.A</t>
  </si>
  <si>
    <t>Freight: Truck Stock: Fuel Efficiency: Light Medium: Natural Gas: Low Economic Growth</t>
  </si>
  <si>
    <t>AEO.2023.LOWMACRO.EFI_NA_FGHT_LITEMEDS_NG_NA_NA_MPGGASEQ.A</t>
  </si>
  <si>
    <t>Freight: Truck Stock: Fuel Efficiency: Light Medium: Ethanol-Flex Fuel: Low Economic Growth</t>
  </si>
  <si>
    <t>AEO.2023.LOWMACRO.EFI_NA_FGHT_LITEMEDS_EFFI_NA_NA_MPGGASEQ.A</t>
  </si>
  <si>
    <t>Freight: Truck Stock: Fuel Efficiency: Light Medium: Electric: Low Economic Growth</t>
  </si>
  <si>
    <t>AEO.2023.LOWMACRO.EFI_NA_FGHT_LITEMEDS_ELE_NA_NA_MPGDSEQ.A</t>
  </si>
  <si>
    <t>Freight: Truck Stock: Fuel Efficiency: Light Medium: Plug-in Diesel Hybrid: Low Economic Growth</t>
  </si>
  <si>
    <t>AEO.2023.LOWMACRO.EFI_NA_FGHT_LITEMEDS_EDH_NA_NA_MPGDSEQ.A</t>
  </si>
  <si>
    <t>Freight: Truck Stock: Fuel Efficiency: Light Medium: Plug-in Gasoline Hybrid: Low Economic Growth</t>
  </si>
  <si>
    <t>AEO.2023.LOWMACRO.EFI_NA_FGHT_LITEMEDS_EGH_NA_NA_MPGGASEQ.A</t>
  </si>
  <si>
    <t>Freight: Truck Stock: Fuel Efficiency: Light Medium: Fuel Cell: Low Economic Growth</t>
  </si>
  <si>
    <t>AEO.2023.LOWMACRO.EFI_NA_FGHT_LITEMEDS_FUC_NA_NA_MPGDSEQ.A</t>
  </si>
  <si>
    <t>Freight: Truck Stock: Fuel Efficiency: Light Medium: Average: Low Economic Growth</t>
  </si>
  <si>
    <t>AEO.2023.LOWMACRO.EFI_NA_FGHT_LITEMEDS_NA_NA_NA_NA.A</t>
  </si>
  <si>
    <t>Freight: Truck Stock: Fuel Efficiency: Medium: Diesel: Low Economic Growth</t>
  </si>
  <si>
    <t>AEO.2023.LOWMACRO.EFI_NA_FGHT_SOSOS_DSL_NA_NA_MPGDSEQ.A</t>
  </si>
  <si>
    <t>Freight: Truck Stock: Fuel Efficiency: Medium: Motor Gasoline: Low Economic Growth</t>
  </si>
  <si>
    <t>AEO.2023.LOWMACRO.EFI_NA_FGHT_SOSOS_MGS_NA_NA_MPGGASEQ.A</t>
  </si>
  <si>
    <t>Freight: Truck Stock: Fuel Efficiency: Medium: Propane: Low Economic Growth</t>
  </si>
  <si>
    <t>AEO.2023.LOWMACRO.EFI_NA_FGHT_SOSOS_PROP_NA_NA_MPGGASEQ.A</t>
  </si>
  <si>
    <t>Freight: Truck Stock: Fuel Efficiency: Medium: Natural Gas: Low Economic Growth</t>
  </si>
  <si>
    <t>AEO.2023.LOWMACRO.EFI_NA_FGHT_SOSOS_NG_NA_NA_MPGGASEQ.A</t>
  </si>
  <si>
    <t>Freight: Truck Stock: Fuel Efficiency: Medium: Ethanol-Flex Fuel: Low Economic Growth</t>
  </si>
  <si>
    <t>AEO.2023.LOWMACRO.EFI_NA_FGHT_SOSOS_EFFI_NA_NA_MPG.A</t>
  </si>
  <si>
    <t>Freight: Truck Stock: Fuel Efficiency: Medium: Electric: Low Economic Growth</t>
  </si>
  <si>
    <t>AEO.2023.LOWMACRO.EFI_NA_FGHT_SOSOS_ELE_NA_NA_MPGGASEQ.A</t>
  </si>
  <si>
    <t>Freight: Truck Stock: Fuel Efficiency: Medium: Plug-in Diesel Hybrid: Low Economic Growth</t>
  </si>
  <si>
    <t>AEO.2023.LOWMACRO.EFI_NA_FGHT_SOSOS_EDH_NA_NA_MPGGASEQ.A</t>
  </si>
  <si>
    <t>Freight: Truck Stock: Fuel Efficiency: Medium: Plug-in Gasoline Hybrid: Low Economic Growth</t>
  </si>
  <si>
    <t>AEO.2023.LOWMACRO.EFI_NA_FGHT_SOSOS_EGH_NA_NA_MPGGASEQ.A</t>
  </si>
  <si>
    <t>Freight: Truck Stock: Fuel Efficiency: Medium: Fuel Cell: Low Economic Growth</t>
  </si>
  <si>
    <t>AEO.2023.LOWMACRO.EFI_NA_FGHT_SOSOS_FUC_NA_NA_MPGGASEQ.A</t>
  </si>
  <si>
    <t>Freight: Truck Stock: Fuel Efficiency: Medium: Average: Low Economic Growth</t>
  </si>
  <si>
    <t>AEO.2023.LOWMACRO.EFI_NA_FGHT_SOSOS_NA_NA_NA_NA.A</t>
  </si>
  <si>
    <t>Freight: Truck Stock: Fuel Efficiency: Heavy: Diesel: Low Economic Growth</t>
  </si>
  <si>
    <t>AEO.2023.LOWMACRO.EFI_NA_FGHT_RADS_DSL_NA_NA_MPGDSEQ.A</t>
  </si>
  <si>
    <t>Freight: Truck Stock: Fuel Efficiency: Heavy: Motor Gasoline: Low Economic Growth</t>
  </si>
  <si>
    <t>AEO.2023.LOWMACRO.EFI_NA_FGHT_RADS_MGS_NA_NA_MPGGASEQ.A</t>
  </si>
  <si>
    <t>Freight: Truck Stock: Fuel Efficiency: Heavy: Propane: Low Economic Growth</t>
  </si>
  <si>
    <t>AEO.2023.LOWMACRO.EFI_NA_FGHT_RADS_PROP_NA_NA_MPGGASEQ.A</t>
  </si>
  <si>
    <t>Freight: Truck Stock: Fuel Efficiency: Heavy: Natural Gas: Low Economic Growth</t>
  </si>
  <si>
    <t>AEO.2023.LOWMACRO.EFI_NA_FGHT_RADS_NG_NA_NA_MPGDSEQ.A</t>
  </si>
  <si>
    <t>Freight: Truck Stock: Fuel Efficiency: Heavy: Ethanol-Flex Fuel: Low Economic Growth</t>
  </si>
  <si>
    <t>AEO.2023.LOWMACRO.EFI_NA_FGHT_RADS_EFFI_NA_NA_MPGGASEQ.A</t>
  </si>
  <si>
    <t>Freight: Truck Stock: Fuel Efficiency: Heavy: Electric: Low Economic Growth</t>
  </si>
  <si>
    <t>AEO.2023.LOWMACRO.EFI_NA_FGHT_RADS_ELE_NA_NA_MPGDSEQ.A</t>
  </si>
  <si>
    <t>Freight: Truck Stock: Fuel Efficiency: Heavy: Plug-in Diesel Hybrid: Low Economic Growth</t>
  </si>
  <si>
    <t>AEO.2023.LOWMACRO.EFI_NA_FGHT_RADS_EDH_NA_NA_MPGDSEQ.A</t>
  </si>
  <si>
    <t>Freight: Truck Stock: Fuel Efficiency: Heavy: Plug-in Gasoline Hybrid: Low Economic Growth</t>
  </si>
  <si>
    <t>AEO.2023.LOWMACRO.EFI_NA_FGHT_RADS_EGH_NA_NA_MPGGASEQ.A</t>
  </si>
  <si>
    <t>Freight: Truck Stock: Fuel Efficiency: Heavy: Fuel Cell: Low Economic Growth</t>
  </si>
  <si>
    <t>AEO.2023.LOWMACRO.EFI_NA_FGHT_RADS_FUC_NA_NA_MPGDSEQ.A</t>
  </si>
  <si>
    <t>Freight: Truck Stock: Fuel Efficiency: Heavy: Average: Low Economic Growth</t>
  </si>
  <si>
    <t>AEO.2023.LOWMACRO.EFI_NA_FGHT_RADS_NA_NA_NA_NA.A</t>
  </si>
  <si>
    <t>Freight: Truck Stock: Fuel Efficiency: Low Economic Growth</t>
  </si>
  <si>
    <t>AEO.2023.LOWMACRO.EFI_NA_FGHT_STK_NA_NA_NA_NA.A</t>
  </si>
  <si>
    <t>Freight: Truck Stock: Light Medium: Diesel: Low Economic Growth</t>
  </si>
  <si>
    <t>AEO.2023.LOWMACRO.ECI_STK_FGHT_LITEMEDS_DSL_NA_NA_MILL.A</t>
  </si>
  <si>
    <t>Freight: Truck Stock: Light Medium: Motor Gasoline: Low Economic Growth</t>
  </si>
  <si>
    <t>AEO.2023.LOWMACRO.ECI_STK_FGHT_LITEMEDS_MGS_NA_NA_MILL.A</t>
  </si>
  <si>
    <t>Freight: Truck Stock: Light Medium: Propane: Low Economic Growth</t>
  </si>
  <si>
    <t>AEO.2023.LOWMACRO.ECI_STK_FGHT_LITEMEDS_PROP_NA_NA_MILL.A</t>
  </si>
  <si>
    <t>Freight: Truck Stock: Light Medium: Natural Gas: Low Economic Growth</t>
  </si>
  <si>
    <t>AEO.2023.LOWMACRO.ECI_STK_FGHT_LITEMEDS_NG_NA_NA_MILL.A</t>
  </si>
  <si>
    <t>Freight: Truck Stock: Light Medium: Ethanol-Flex Fuel: Low Economic Growth</t>
  </si>
  <si>
    <t>AEO.2023.LOWMACRO.ECI_STK_FGHT_LITEMEDS_EFFI_NA_NA_MILL.A</t>
  </si>
  <si>
    <t>Freight: Truck Stock: Light Medium: Electric: Low Economic Growth</t>
  </si>
  <si>
    <t>AEO.2023.LOWMACRO.ECI_STK_FGHT_LITEMEDS_ELE_NA_NA_MILL.A</t>
  </si>
  <si>
    <t>Freight: Truck Stock: Light Medium: Plug-in Diesel Hybrid: Low Economic Growth</t>
  </si>
  <si>
    <t>AEO.2023.LOWMACRO.ECI_STK_FGHT_LITEMEDS_EDH_NA_NA_MILL.A</t>
  </si>
  <si>
    <t>Freight: Truck Stock: Light Medium: Plug-in Gasoline Hybrid: Low Economic Growth</t>
  </si>
  <si>
    <t>AEO.2023.LOWMACRO.ECI_STK_FGHT_LITEMEDS_EGH_NA_NA_MILL.A</t>
  </si>
  <si>
    <t>Freight: Truck Stock: Light Medium: Fuel Cell: Low Economic Growth</t>
  </si>
  <si>
    <t>AEO.2023.LOWMACRO.ECI_STK_FGHT_LITEMEDS_FUC_NA_NA_MILL.A</t>
  </si>
  <si>
    <t>Freight: Truck Stock: Light Medium: Low Economic Growth</t>
  </si>
  <si>
    <t>AEO.2023.LOWMACRO.ECI_STK_FGHT_LITEMEDS_NA_NA_NA_MILL.A</t>
  </si>
  <si>
    <t>Freight: Truck Stock: Medium: Diesel: Low Economic Growth</t>
  </si>
  <si>
    <t>AEO.2023.LOWMACRO.ECI_STK_FGHT_SOSOS_DSL_NA_NA_MILL.A</t>
  </si>
  <si>
    <t>Freight: Truck Stock: Medium: Motor Gasoline: Low Economic Growth</t>
  </si>
  <si>
    <t>AEO.2023.LOWMACRO.ECI_STK_FGHT_SOSOS_MGS_NA_NA_MILL.A</t>
  </si>
  <si>
    <t>Freight: Truck Stock: Medium: Propane: Low Economic Growth</t>
  </si>
  <si>
    <t>AEO.2023.LOWMACRO.ECI_STK_FGHT_SOSOS_PROP_NA_NA_MILL.A</t>
  </si>
  <si>
    <t>Freight: Truck Stock: Medium: Natural Gas: Low Economic Growth</t>
  </si>
  <si>
    <t>AEO.2023.LOWMACRO.ECI_STK_FGHT_SOSOS_NG_NA_NA_MILL.A</t>
  </si>
  <si>
    <t>Freight: Truck Stock: Medium: Ethanol-Flex Fuel: Low Economic Growth</t>
  </si>
  <si>
    <t>AEO.2023.LOWMACRO.ECI_STK_FGHT_SOSOS_EFFI_NA_NA_MILL.A</t>
  </si>
  <si>
    <t>Freight: Truck Stock: Medium: Electric: Low Economic Growth</t>
  </si>
  <si>
    <t>AEO.2023.LOWMACRO.ECI_STK_FGHT_SOSOS_ELE_NA_NA_MILL.A</t>
  </si>
  <si>
    <t>Freight: Truck Stock: Medium: Plug-in Diesel Hybrid: Low Economic Growth</t>
  </si>
  <si>
    <t>AEO.2023.LOWMACRO.ECI_STK_FGHT_SOSOS_EDH_NA_NA_MILL.A</t>
  </si>
  <si>
    <t>Freight: Truck Stock: Medium: Plug-in Gasoline Hybrid: Low Economic Growth</t>
  </si>
  <si>
    <t>AEO.2023.LOWMACRO.ECI_STK_FGHT_SOSOS_EGH_NA_NA_MILL.A</t>
  </si>
  <si>
    <t>Freight: Truck Stock: Medium: Fuel Cell: Low Economic Growth</t>
  </si>
  <si>
    <t>AEO.2023.LOWMACRO.ECI_STK_FGHT_SOSOS_FUC_NA_NA_MILL.A</t>
  </si>
  <si>
    <t>Freight: Truck Stock: Medium: Low Economic Growth</t>
  </si>
  <si>
    <t>AEO.2023.LOWMACRO.ECI_STK_FGHT_SOSOS_NA_NA_NA_MILL.A</t>
  </si>
  <si>
    <t>Freight: Truck Stock: Heavy: Diesel: Low Economic Growth</t>
  </si>
  <si>
    <t>AEO.2023.LOWMACRO.ECI_STK_FGHT_RADS_DSL_NA_NA_MILL.A</t>
  </si>
  <si>
    <t>Freight: Truck Stock: Heavy: Motor Gasoline: Low Economic Growth</t>
  </si>
  <si>
    <t>AEO.2023.LOWMACRO.ECI_STK_FGHT_RADS_MGS_NA_NA_MILL.A</t>
  </si>
  <si>
    <t>Freight: Truck Stock: Heavy: Propane: Low Economic Growth</t>
  </si>
  <si>
    <t>AEO.2023.LOWMACRO.ECI_STK_FGHT_RADS_PROP_NA_NA_MILL.A</t>
  </si>
  <si>
    <t>Freight: Truck Stock: Heavy: Natural Gas: Low Economic Growth</t>
  </si>
  <si>
    <t>AEO.2023.LOWMACRO.ECI_STK_FGHT_RADS_NG_NA_NA_MILL.A</t>
  </si>
  <si>
    <t>Freight: Truck Stock: Heavy: Ethanol-Flex Fuel: Low Economic Growth</t>
  </si>
  <si>
    <t>AEO.2023.LOWMACRO.ECI_STK_FGHT_RADS_EFFI_NA_NA_MILL.A</t>
  </si>
  <si>
    <t>Freight: Truck Stock: Heavy: Electric: Low Economic Growth</t>
  </si>
  <si>
    <t>AEO.2023.LOWMACRO.ECI_STK_FGHT_RADS_ELE_NA_NA_MILL.A</t>
  </si>
  <si>
    <t>Freight: Truck Stock: Heavy: Plug-in Diesel Hybrid: Low Economic Growth</t>
  </si>
  <si>
    <t>AEO.2023.LOWMACRO.ECI_STK_FGHT_RADS_EDH_NA_NA_MILL.A</t>
  </si>
  <si>
    <t>Freight: Truck Stock: Heavy: Plug-in Gasoline Hybrid: Low Economic Growth</t>
  </si>
  <si>
    <t>AEO.2023.LOWMACRO.ECI_STK_FGHT_RADS_EGH_NA_NA_MILL.A</t>
  </si>
  <si>
    <t>Freight: Truck Stock: Heavy: Fuel Cell: Low Economic Growth</t>
  </si>
  <si>
    <t>AEO.2023.LOWMACRO.ECI_STK_FGHT_RADS_FUC_NA_NA_MILL.A</t>
  </si>
  <si>
    <t>Freight: Truck Stock: Heavy: Low Economic Growth</t>
  </si>
  <si>
    <t>AEO.2023.LOWMACRO.ECI_STK_FGHT_RADS_NA_NA_NA_MILL.A</t>
  </si>
  <si>
    <t>Freight: Truck Stock: Low Economic Growth</t>
  </si>
  <si>
    <t>AEO.2023.LOWMACRO.ECI_STK_FGHT_STK_NA_NA_NA_MILL.A</t>
  </si>
  <si>
    <t>Freight: New Trucks: Fuel Efficiency: Light Medium: Diesel: Low Economic Growth</t>
  </si>
  <si>
    <t>AEO.2023.LOWMACRO.EFI_NA_FGHT_LITEMEDN_DSL_NA_NA_MPGDSEQ.A</t>
  </si>
  <si>
    <t>Freight: New Trucks: Fuel Efficiency: Light Medium: Motor Gasoline: Low Economic Growth</t>
  </si>
  <si>
    <t>AEO.2023.LOWMACRO.EFI_NA_FGHT_LITEMEDN_MGS_NA_NA_MPGGASEQ.A</t>
  </si>
  <si>
    <t>Freight: New Trucks: Fuel Efficiency: Light Medium: Propane: Low Economic Growth</t>
  </si>
  <si>
    <t>AEO.2023.LOWMACRO.EFI_NA_FGHT_LITEMEDN_PROP_NA_NA_MPGGASEQ.A</t>
  </si>
  <si>
    <t>Freight: New Trucks: Fuel Efficiency: Light Medium: Natural Gas: Low Economic Growth</t>
  </si>
  <si>
    <t>AEO.2023.LOWMACRO.EFI_NA_FGHT_LITEMEDN_NG_NA_NA_MPGGASEQ.A</t>
  </si>
  <si>
    <t>Freight: New Trucks: Fuel Efficiency: Light Medium: Ethanol-Flex Fuel: Low Economic Growth</t>
  </si>
  <si>
    <t>AEO.2023.LOWMACRO.EFI_NA_FGHT_LITEMEDN_EFFI_NA_NA_MPGGASEQ.A</t>
  </si>
  <si>
    <t>Freight: New Trucks: Fuel Efficiency: Light Medium: Electric: Low Economic Growth</t>
  </si>
  <si>
    <t>AEO.2023.LOWMACRO.EFI_NA_FGHT_LITEMEDN_ELE_NA_NA_MPGDSEQ.A</t>
  </si>
  <si>
    <t>Freight: New Trucks: Fuel Efficiency: Light Medium: Plug-in Diesel Hybrid: Low Economic Growth</t>
  </si>
  <si>
    <t>AEO.2023.LOWMACRO.EFI_NA_FGHT_LITEMEDN_EDH_NA_NA_MPGDSEQ.A</t>
  </si>
  <si>
    <t>Freight: New Trucks: Fuel Efficiency: Light Medium: Plug-in Gasoline Hybrid: Low Economic Growth</t>
  </si>
  <si>
    <t>AEO.2023.LOWMACRO.EFI_NA_FGHT_LITEMEDN_EGH_NA_NA_MPGGASEQ.A</t>
  </si>
  <si>
    <t>Freight: New Trucks: Fuel Efficiency: Light Medium: Fuel Cell: Low Economic Growth</t>
  </si>
  <si>
    <t>AEO.2023.LOWMACRO.EFI_NA_FGHT_LITEMEDN_FUC_NA_NA_MPGDSEQ.A</t>
  </si>
  <si>
    <t>Freight: New Trucks: Fuel Efficiency: Light Medium: Average: Low Economic Growth</t>
  </si>
  <si>
    <t>AEO.2023.LOWMACRO.EFI_NA_FGHT_LITEMEDN_NA_NA_NA_NA.A</t>
  </si>
  <si>
    <t>Freight: New Trucks: Fuel Efficiency: Medium: Diesel: Low Economic Growth</t>
  </si>
  <si>
    <t>AEO.2023.LOWMACRO.EFI_NA_FGHT_SOSON_DSL_NA_NA_MPGDSEQ.A</t>
  </si>
  <si>
    <t>Freight: New Trucks: Fuel Efficiency: Medium: Motor Gasoline: Low Economic Growth</t>
  </si>
  <si>
    <t>AEO.2023.LOWMACRO.EFI_NA_FGHT_SOSON_MGS_NA_NA_MPGGASEQ.A</t>
  </si>
  <si>
    <t>Freight: New Trucks: Fuel Efficiency: Medium: Propane: Low Economic Growth</t>
  </si>
  <si>
    <t>AEO.2023.LOWMACRO.EFI_NA_FGHT_SOSON_PROP_NA_NA_MPGGASEQ.A</t>
  </si>
  <si>
    <t>Freight: New Trucks: Fuel Efficiency: Medium: Natural Gas: Low Economic Growth</t>
  </si>
  <si>
    <t>AEO.2023.LOWMACRO.EFI_NA_FGHT_SOSON_NG_NA_NA_MPGGASEQ.A</t>
  </si>
  <si>
    <t>Freight: New Trucks: Fuel Efficiency: Medium: Ethanol-Flex Fuel: Low Economic Growth</t>
  </si>
  <si>
    <t>AEO.2023.LOWMACRO.EFI_NA_FGHT_SOSON_EFFI_NA_NA_MPG.A</t>
  </si>
  <si>
    <t>Freight: New Trucks: Fuel Efficiency: Medium: Electric: Low Economic Growth</t>
  </si>
  <si>
    <t>AEO.2023.LOWMACRO.EFI_NA_FGHT_SOSON_ELE_NA_NA_MPGGASEQ.A</t>
  </si>
  <si>
    <t>Freight: New Trucks: Fuel Efficiency: Medium: Plug-in Diesel Hybrid: Low Economic Growth</t>
  </si>
  <si>
    <t>AEO.2023.LOWMACRO.EFI_NA_FGHT_SOSON_EDH_NA_NA_MPGGASEQ.A</t>
  </si>
  <si>
    <t>Freight: New Trucks: Fuel Efficiency: Medium: Plug-in Gasoline Hybrid: Low Economic Growth</t>
  </si>
  <si>
    <t>AEO.2023.LOWMACRO.EFI_NA_FGHT_SOSON_EGH_NA_NA_MPGGASEQ.A</t>
  </si>
  <si>
    <t>Freight: New Trucks: Fuel Efficiency: Medium: Fuel Cell: Low Economic Growth</t>
  </si>
  <si>
    <t>AEO.2023.LOWMACRO.EFI_NA_FGHT_SOSON_FUC_NA_NA_MPGGASEQ.A</t>
  </si>
  <si>
    <t>Freight: New Trucks: Fuel Efficiency: Medium: Average: Low Economic Growth</t>
  </si>
  <si>
    <t>AEO.2023.LOWMACRO.EFI_NA_FGHT_SOSON_NA_NA_NA_NA.A</t>
  </si>
  <si>
    <t>Freight: New Trucks: Fuel Efficiency: Heavy: Diesel: Low Economic Growth</t>
  </si>
  <si>
    <t>AEO.2023.LOWMACRO.EFI_NA_FGHT_RADN_DSL_NA_NA_MPGDSEQ.A</t>
  </si>
  <si>
    <t>Freight: New Trucks: Fuel Efficiency: Heavy: Motor Gasoline: Low Economic Growth</t>
  </si>
  <si>
    <t>AEO.2023.LOWMACRO.EFI_NA_FGHT_RADN_MGS_NA_NA_MPGGASEQ.A</t>
  </si>
  <si>
    <t>Freight: New Trucks: Fuel Efficiency: Heavy: Propane: Low Economic Growth</t>
  </si>
  <si>
    <t>AEO.2023.LOWMACRO.EFI_NA_FGHT_RADN_PROP_NA_NA_MPGGASEQ.A</t>
  </si>
  <si>
    <t>Freight: New Trucks: Fuel Efficiency: Heavy: Natural Gas: Low Economic Growth</t>
  </si>
  <si>
    <t>AEO.2023.LOWMACRO.EFI_NA_FGHT_RADN_NG_NA_NA_MPGDSEQ.A</t>
  </si>
  <si>
    <t>Freight: New Trucks: Fuel Efficiency: Heavy: Ethanol-Flex Fuel: Low Economic Growth</t>
  </si>
  <si>
    <t>AEO.2023.LOWMACRO.EFI_NA_FGHT_RADN_EFFI_NA_NA_MPGGASEQ.A</t>
  </si>
  <si>
    <t>Freight: New Trucks: Fuel Efficiency: Heavy: Electric: Low Economic Growth</t>
  </si>
  <si>
    <t>AEO.2023.LOWMACRO.EFI_NA_FGHT_RADN_ELE_NA_NA_MPGDSEQ.A</t>
  </si>
  <si>
    <t>Freight: New Trucks: Fuel Efficiency: Heavy: Plug-in Diesel Hybrid: Low Economic Growth</t>
  </si>
  <si>
    <t>AEO.2023.LOWMACRO.EFI_NA_FGHT_RADN_EDH_NA_NA_MPGDSEQ.A</t>
  </si>
  <si>
    <t>Freight: New Trucks: Fuel Efficiency: Heavy: Plug-in Gasoline Hybrid: Low Economic Growth</t>
  </si>
  <si>
    <t>AEO.2023.LOWMACRO.EFI_NA_FGHT_RADN_EGH_NA_NA_MPGGASEQ.A</t>
  </si>
  <si>
    <t>Freight: New Trucks: Fuel Efficiency: Heavy: Fuel Cell: Low Economic Growth</t>
  </si>
  <si>
    <t>AEO.2023.LOWMACRO.EFI_NA_FGHT_RADN_FUC_NA_NA_MPGDSEQ.A</t>
  </si>
  <si>
    <t>Freight: New Trucks: Fuel Efficiency: Heavy: Average: Low Economic Growth</t>
  </si>
  <si>
    <t>AEO.2023.LOWMACRO.EFI_NA_FGHT_RADN_NA_NA_NA_NA.A</t>
  </si>
  <si>
    <t>Freight: New Trucks: Fuel Efficiency: Low Economic Growth</t>
  </si>
  <si>
    <t>AEO.2023.LOWMACRO.EFI_NA_FGHT_NEW_NA_NA_NA_NA.A</t>
  </si>
  <si>
    <t>Freight: New Trucks: Sales: Light Medium: Diesel: Low Economic Growth</t>
  </si>
  <si>
    <t>AEO.2023.LOWMACRO.ECI_SAL_FGHT_LITEMED_DSL_NA_NA_TH.A</t>
  </si>
  <si>
    <t>Freight: New Trucks: Sales: Light Medium: Motor Gasoline: Low Economic Growth</t>
  </si>
  <si>
    <t>AEO.2023.LOWMACRO.ECI_SAL_FGHT_LITEMED_MGS_NA_NA_TH.A</t>
  </si>
  <si>
    <t>Freight: New Trucks: Sales: Light Medium: Propane: Low Economic Growth</t>
  </si>
  <si>
    <t>AEO.2023.LOWMACRO.ECI_SAL_FGHT_LITEMED_PROP_NA_NA_TH.A</t>
  </si>
  <si>
    <t>Freight: New Trucks: Sales: Light Medium: Natural Gas: Low Economic Growth</t>
  </si>
  <si>
    <t>AEO.2023.LOWMACRO.ECI_SAL_FGHT_LITEMED_NG_NA_NA_TH.A</t>
  </si>
  <si>
    <t>Freight: New Trucks: Sales: Light Medium: Ethanol-Flex Fuel: Low Economic Growth</t>
  </si>
  <si>
    <t>AEO.2023.LOWMACRO.ECI_SAL_FGHT_LITEMED_EFFI_NA_NA_TH.A</t>
  </si>
  <si>
    <t>Freight: New Trucks: Sales: Light Medium: Electric: Low Economic Growth</t>
  </si>
  <si>
    <t>AEO.2023.LOWMACRO.ECI_SAL_FGHT_LITEMED_ELE_NA_NA_TH.A</t>
  </si>
  <si>
    <t>Freight: New Trucks: Sales: Light Medium: Plug-in Diesel Hybrid: Low Economic Growth</t>
  </si>
  <si>
    <t>AEO.2023.LOWMACRO.ECI_SAL_FGHT_LITEMED_EDH_NA_NA_TH.A</t>
  </si>
  <si>
    <t>Freight: New Trucks: Sales: Light Medium: Plug-in Gasoline Hybrid: Low Economic Growth</t>
  </si>
  <si>
    <t>AEO.2023.LOWMACRO.ECI_SAL_FGHT_LITEMED_EGH_NA_NA_TH.A</t>
  </si>
  <si>
    <t>Freight: New Trucks: Sales: Light Medium: Fuel Cell: Low Economic Growth</t>
  </si>
  <si>
    <t>AEO.2023.LOWMACRO.ECI_SAL_FGHT_LITEMED_FUC_NA_NA_TH.A</t>
  </si>
  <si>
    <t>Freight: New Trucks: Sales: Light Medium: Low Economic Growth</t>
  </si>
  <si>
    <t>AEO.2023.LOWMACRO.ECI_SAL_FGHT_LITEMED_NA_NA_NA_TH.A</t>
  </si>
  <si>
    <t>Freight: New Trucks: Sales: Medium: Diesel: Low Economic Growth</t>
  </si>
  <si>
    <t>AEO.2023.LOWMACRO.ECI_SAL_FGHT_SOSO_DSL_NA_NA_TH.A</t>
  </si>
  <si>
    <t>Freight: New Trucks: Sales: Medium: Motor Gasoline: Low Economic Growth</t>
  </si>
  <si>
    <t>AEO.2023.LOWMACRO.ECI_SAL_FGHT_SOSO_MGS_NA_NA_TH.A</t>
  </si>
  <si>
    <t>Freight: New Trucks: Sales: Medium: Propane: Low Economic Growth</t>
  </si>
  <si>
    <t>AEO.2023.LOWMACRO.ECI_SAL_FGHT_SOSO_PROP_NA_NA_TH.A</t>
  </si>
  <si>
    <t>Freight: New Trucks: Sales: Medium: Natural Gas: Low Economic Growth</t>
  </si>
  <si>
    <t>AEO.2023.LOWMACRO.ECI_SAL_FGHT_SOSO_NG_NA_NA_TH.A</t>
  </si>
  <si>
    <t>Freight: New Trucks: Sales: Medium: Ethanol-Flex Fuel: Low Economic Growth</t>
  </si>
  <si>
    <t>AEO.2023.LOWMACRO.ECI_SAL_FGHT_SOSO_EFFI_NA_NA_TH.A</t>
  </si>
  <si>
    <t>Freight: New Trucks: Sales: Medium: Electric: Low Economic Growth</t>
  </si>
  <si>
    <t>AEO.2023.LOWMACRO.ECI_SAL_FGHT_SOSO_ELE_NA_NA_TH.A</t>
  </si>
  <si>
    <t>Freight: New Trucks: Sales: Medium: Plug-in Diesel Hybrid: Low Economic Growth</t>
  </si>
  <si>
    <t>AEO.2023.LOWMACRO.ECI_SAL_FGHT_SOSO_EDH_NA_NA_TH.A</t>
  </si>
  <si>
    <t>Freight: New Trucks: Sales: Medium: Plug-in Gasoline Hybrid: Low Economic Growth</t>
  </si>
  <si>
    <t>AEO.2023.LOWMACRO.ECI_SAL_FGHT_SOSO_EGH_NA_NA_TH.A</t>
  </si>
  <si>
    <t>Freight: New Trucks: Sales: Medium: Fuel Cell: Low Economic Growth</t>
  </si>
  <si>
    <t>AEO.2023.LOWMACRO.ECI_SAL_FGHT_SOSO_FUC_NA_NA_TH.A</t>
  </si>
  <si>
    <t>Freight: New Trucks: Sales: Medium: Low Economic Growth</t>
  </si>
  <si>
    <t>AEO.2023.LOWMACRO.ECI_SAL_FGHT_SOSO_NA_NA_NA_TH.A</t>
  </si>
  <si>
    <t>Freight: New Trucks: Sales: Heavy: Diesel: Low Economic Growth</t>
  </si>
  <si>
    <t>AEO.2023.LOWMACRO.ECI_SAL_FGHT_RAD_DSL_NA_NA_TH.A</t>
  </si>
  <si>
    <t>Freight: New Trucks: Sales: Heavy: Motor Gasoline: Low Economic Growth</t>
  </si>
  <si>
    <t>AEO.2023.LOWMACRO.ECI_SAL_FGHT_RAD_MGS_NA_NA_TH.A</t>
  </si>
  <si>
    <t>Freight: New Trucks: Sales: Heavy: Propane: Low Economic Growth</t>
  </si>
  <si>
    <t>AEO.2023.LOWMACRO.ECI_SAL_FGHT_RAD_PROP_NA_NA_TH.A</t>
  </si>
  <si>
    <t>Freight: New Trucks: Sales: Heavy: Natural Gas: Low Economic Growth</t>
  </si>
  <si>
    <t>AEO.2023.LOWMACRO.ECI_SAL_FGHT_RAD_NG_NA_NA_TH.A</t>
  </si>
  <si>
    <t>Freight: New Trucks: Sales: Heavy: Ethanol-Flex Fuel: Low Economic Growth</t>
  </si>
  <si>
    <t>AEO.2023.LOWMACRO.ECI_SAL_FGHT_RAD_EFFI_NA_NA_TH.A</t>
  </si>
  <si>
    <t>Freight: New Trucks: Sales: Heavy: Electric: Low Economic Growth</t>
  </si>
  <si>
    <t>AEO.2023.LOWMACRO.ECI_SAL_FGHT_RAD_ELE_NA_NA_TH.A</t>
  </si>
  <si>
    <t>Freight: New Trucks: Sales: Heavy: Plug-in Diesel Hybrid: Low Economic Growth</t>
  </si>
  <si>
    <t>AEO.2023.LOWMACRO.ECI_SAL_FGHT_RAD_EDH_NA_NA_TH.A</t>
  </si>
  <si>
    <t>Freight: New Trucks: Sales: Heavy: Plug-in Gasoline Hybrid: Low Economic Growth</t>
  </si>
  <si>
    <t>AEO.2023.LOWMACRO.ECI_SAL_FGHT_RAD_EGH_NA_NA_TH.A</t>
  </si>
  <si>
    <t>Freight: New Trucks: Sales: Heavy: Fuel Cell: Low Economic Growth</t>
  </si>
  <si>
    <t>AEO.2023.LOWMACRO.ECI_SAL_FGHT_RAD_FUC_NA_NA_TH.A</t>
  </si>
  <si>
    <t>Freight: New Trucks: Sales: Heavy: Low Economic Growth</t>
  </si>
  <si>
    <t>AEO.2023.LOWMACRO.ECI_SAL_FGHT_RAD_NA_NA_NA_TH.A</t>
  </si>
  <si>
    <t>Freight: New Trucks: Sales: Low Economic Growth</t>
  </si>
  <si>
    <t>AEO.2023.LOWMACRO.ECI_SAL_FGHT_NA_NA_NA_NA_TH.A</t>
  </si>
  <si>
    <t>Freight: Railroads: Ton Miles by Rail: Low Economic Growth</t>
  </si>
  <si>
    <t>AEO.2023.LOWMACRO.ECI_FTM_TRN_RAIL_NA_NA_NA_BLN.A</t>
  </si>
  <si>
    <t>Freight: Railroads: Fuel Efficiency: Low Economic Growth</t>
  </si>
  <si>
    <t>AEO.2023.LOWMACRO.EFI_NA_TRN_RAIL_NA_NA_NA_TONMLPTHBTU.A</t>
  </si>
  <si>
    <t>Freight: Railroads: Fuel Use: Distillate Fuel Oil: Low Economic Growth</t>
  </si>
  <si>
    <t>AEO.2023.LOWMACRO.CNSM_NA_TRN_RAIL_DFO_NA_NA_TRLBTU.A</t>
  </si>
  <si>
    <t>Freight: Railroads: Fuel Use: Residual Fuel Oil: Low Economic Growth</t>
  </si>
  <si>
    <t>AEO.2023.LOWMACRO.CNSM_NA_TRN_RAIL_RFO_NA_NA_TRLBTU.A</t>
  </si>
  <si>
    <t>Freight: Railroads: Fuel Use: CNG: Low Economic Growth</t>
  </si>
  <si>
    <t>AEO.2023.LOWMACRO.CNSM_NA_TRN_RAIL_CNG_NA_NA_TRLBTU.A</t>
  </si>
  <si>
    <t>Freight: Railroads: Fuel Use: LNG: Low Economic Growth</t>
  </si>
  <si>
    <t>AEO.2023.LOWMACRO.CNSM_NA_TRN_RAIL_LNG_NA_NA_TRLBTU.A</t>
  </si>
  <si>
    <t>Freight: Domestic Shipping: Ton Miles Shipping: Low Economic Growth</t>
  </si>
  <si>
    <t>AEO.2023.LOWMACRO.ECI_FTM_TRN_DMT_NA_NA_NA_BLN.A</t>
  </si>
  <si>
    <t>Freight: Domestic Shipping: Fuel Efficiency: Low Economic Growth</t>
  </si>
  <si>
    <t>AEO.2023.LOWMACRO.EFI_NA_TRN_DMT_NA_NA_NA_TONMLPTHBTU.A</t>
  </si>
  <si>
    <t>Freight: Domestic Shipping: Fuel Use: Distillate Fuel Oil: Low Economic Growth</t>
  </si>
  <si>
    <t>AEO.2023.LOWMACRO.CNSM_NA_TRN_DMT_DFO_NA_NA_TRLBTU.A</t>
  </si>
  <si>
    <t>Freight: Domestic Shipping: Fuel Use: Residual Fuel Oil: Low Economic Growth</t>
  </si>
  <si>
    <t>AEO.2023.LOWMACRO.CNSM_NA_TRN_DMT_RFO_NA_NA_TRLBTU.A</t>
  </si>
  <si>
    <t>Freight: Domestic Shipping: Fuel Use: CNG: Low Economic Growth</t>
  </si>
  <si>
    <t>AEO.2023.LOWMACRO.CNSM_NA_TRN_DMT_CNG_NA_NA_TRLBTU.A</t>
  </si>
  <si>
    <t>Freight: Domestic Shipping: Fuel Use: LNG: Low Economic Growth</t>
  </si>
  <si>
    <t>AEO.2023.LOWMACRO.CNSM_NA_TRN_DMT_LNG_NA_NA_TRLBTU.A</t>
  </si>
  <si>
    <t>Freight: International Shipping: Gross Trade: Low Economic Growth</t>
  </si>
  <si>
    <t>AEO.2023.LOWMACRO.ECI_UGHT_TRN_INTS_NA_NA_NA_BLNY09DLR.A</t>
  </si>
  <si>
    <t>Freight: International Shipping: Exports: Low Economic Growth</t>
  </si>
  <si>
    <t>AEO.2023.LOWMACRO.ECI_EXPT_TRN_INTS_NA_NA_NA_BLNY09DLR.A</t>
  </si>
  <si>
    <t>Freight: International Shipping: Imports: Low Economic Growth</t>
  </si>
  <si>
    <t>AEO.2023.LOWMACRO.ECI_IMP_TRN_INTS_NA_NA_NA_BLNY09DLR.A</t>
  </si>
  <si>
    <t>Freight: International Shipping: Fuel Use: Distillate Fuel Oil: Low Economic Growth</t>
  </si>
  <si>
    <t>AEO.2023.LOWMACRO.CNSM_NA_TRN_INTS_DFO_NA_NA_TRLBTU.A</t>
  </si>
  <si>
    <t>Freight: International Shipping: Fuel Use: Residual Fuel Oil: Low Economic Growth</t>
  </si>
  <si>
    <t>AEO.2023.LOWMACRO.CNSM_NA_TRN_INTS_RFO_NA_NA_TRLBTU.A</t>
  </si>
  <si>
    <t>Freight: International Shipping: Fuel Use: CNG: Low Economic Growth</t>
  </si>
  <si>
    <t>AEO.2023.LOWMACRO.CNSM_NA_TRN_INTS_CNG_NA_NA_TRLBTU.A</t>
  </si>
  <si>
    <t>Freight: International Shipping: Fuel Use: LNG: Low Economic Growth</t>
  </si>
  <si>
    <t>AEO.2023.LOWMACRO.CNSM_NA_TRN_INTS_LNG_NA_NA_TRLBTU.A</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</si>
  <si>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</si>
  <si>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</si>
  <si>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</si>
  <si>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</si>
  <si>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</si>
  <si>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</si>
  <si>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</si>
  <si>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</si>
  <si>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</si>
  <si>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</si>
  <si>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</si>
  <si>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</si>
  <si>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</si>
  <si>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</si>
  <si>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</si>
  <si>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</si>
  <si>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</si>
  <si>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</si>
  <si>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</si>
  <si>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</si>
  <si>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</si>
  <si>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</si>
  <si>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</si>
  <si>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</si>
  <si>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</si>
  <si>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</si>
  <si>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</si>
  <si>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</si>
  <si>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</si>
  <si>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</si>
  <si>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</si>
  <si>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</si>
  <si>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</si>
  <si>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</si>
  <si>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</si>
  <si>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</si>
  <si>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</si>
  <si>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</si>
  <si>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</si>
  <si>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</si>
  <si>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</si>
  <si>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</si>
  <si>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</si>
  <si>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</si>
  <si>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</si>
  <si>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</si>
  <si>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</si>
  <si>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</si>
  <si>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</si>
  <si>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</si>
  <si>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</si>
  <si>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</si>
  <si>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</si>
  <si>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</si>
  <si>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</si>
  <si>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</si>
  <si>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</si>
  <si>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</si>
  <si>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</si>
  <si>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</si>
  <si>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</si>
  <si>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</si>
  <si>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</si>
  <si>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</si>
  <si>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</si>
  <si>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</si>
  <si>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</si>
  <si>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</si>
  <si>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</si>
  <si>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</si>
  <si>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</si>
  <si>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</si>
  <si>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</si>
  <si>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</si>
  <si>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</si>
  <si>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</si>
  <si>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</si>
  <si>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</si>
  <si>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</si>
  <si>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</si>
  <si>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</si>
  <si>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</si>
  <si>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</si>
  <si>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</si>
  <si>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</si>
  <si>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</si>
  <si>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</si>
  <si>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</si>
  <si>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</si>
  <si>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</si>
  <si>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</si>
  <si>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</si>
  <si>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</si>
  <si>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</si>
  <si>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</si>
  <si>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</si>
  <si>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</si>
  <si>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</si>
  <si>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</si>
  <si>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</si>
  <si>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</si>
  <si>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</si>
  <si>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</si>
  <si>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</si>
  <si>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</si>
  <si>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</si>
  <si>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</si>
  <si>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</si>
  <si>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</si>
  <si>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</si>
  <si>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</si>
  <si>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</si>
  <si>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</si>
  <si>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</si>
  <si>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</si>
  <si>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</si>
  <si>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</si>
  <si>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</si>
  <si>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</si>
  <si>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</si>
  <si>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</si>
  <si>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</si>
  <si>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</si>
  <si>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</si>
  <si>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</si>
  <si>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</si>
  <si>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</si>
  <si>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</si>
  <si>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</si>
  <si>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</si>
  <si>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</si>
  <si>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</si>
  <si>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</si>
  <si>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</si>
  <si>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</si>
  <si>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</si>
  <si>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</si>
  <si>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</si>
  <si>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</si>
  <si>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</si>
  <si>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</si>
  <si>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</si>
  <si>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</si>
  <si>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</si>
  <si>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</si>
  <si>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</si>
  <si>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</si>
  <si>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</si>
  <si>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</si>
  <si>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</si>
  <si>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</si>
  <si>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</si>
  <si>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</si>
  <si>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</si>
  <si>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</si>
  <si>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</si>
  <si>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</si>
  <si>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</si>
  <si>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</si>
  <si>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</si>
  <si>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</si>
  <si>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</si>
  <si>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</si>
  <si>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</si>
  <si>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</si>
  <si>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</si>
  <si>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</si>
  <si>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</si>
  <si>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</si>
  <si>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</si>
  <si>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</si>
  <si>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</si>
  <si>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</si>
  <si>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</si>
  <si>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</si>
  <si>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</si>
  <si>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</si>
  <si>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</si>
  <si>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</si>
  <si>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</si>
  <si>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</si>
  <si>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</si>
  <si>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</si>
  <si>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</si>
  <si>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</si>
  <si>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</si>
  <si>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</si>
  <si>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</si>
  <si>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</si>
  <si>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</si>
  <si>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</si>
  <si>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</si>
  <si>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</si>
  <si>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</si>
  <si>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</si>
  <si>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</si>
  <si>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</si>
  <si>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</si>
  <si>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</si>
  <si>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</si>
  <si>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</si>
  <si>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</si>
  <si>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</si>
  <si>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</si>
  <si>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</si>
  <si>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</si>
  <si>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</si>
  <si>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</si>
  <si>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</si>
  <si>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</si>
  <si>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</si>
  <si>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</si>
  <si>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</si>
  <si>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</si>
  <si>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</si>
  <si>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</si>
  <si>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</si>
  <si>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</si>
  <si>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</si>
  <si>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</si>
  <si>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</si>
  <si>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</si>
  <si>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</si>
  <si>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</si>
  <si>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</si>
  <si>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</si>
  <si>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</si>
  <si>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</si>
  <si>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</si>
  <si>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</si>
  <si>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</si>
  <si>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</si>
  <si>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</si>
  <si>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</si>
  <si>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</si>
  <si>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</si>
  <si>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</si>
  <si>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</si>
  <si>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</si>
  <si>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</si>
  <si>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</si>
  <si>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</si>
  <si>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</si>
  <si>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</si>
  <si>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</si>
  <si>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</si>
  <si>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</si>
  <si>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</si>
  <si>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</si>
  <si>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</si>
  <si>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</si>
  <si>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</si>
  <si>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</si>
  <si>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</si>
  <si>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</si>
  <si>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</si>
  <si>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</si>
  <si>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</si>
  <si>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</si>
  <si>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</si>
  <si>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</si>
  <si>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</si>
  <si>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</si>
  <si>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</si>
  <si>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</si>
  <si>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</si>
  <si>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</si>
  <si>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</si>
  <si>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</si>
  <si>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</si>
  <si>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</si>
  <si>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</si>
  <si>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</si>
  <si>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</si>
  <si>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</si>
  <si>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</si>
  <si>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</si>
  <si>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</si>
  <si>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</si>
  <si>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</si>
  <si>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</si>
  <si>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</si>
  <si>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</si>
  <si>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</si>
  <si>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</si>
  <si>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</si>
  <si>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</si>
  <si>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</si>
  <si>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</si>
  <si>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</si>
  <si>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</si>
  <si>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</si>
  <si>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</si>
  <si>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</si>
  <si>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</si>
  <si>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</si>
  <si>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</si>
  <si>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</si>
  <si>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</si>
  <si>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</si>
  <si>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</si>
  <si>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</si>
  <si>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</si>
  <si>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</si>
  <si>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</si>
  <si>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</si>
  <si>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</si>
  <si>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</si>
  <si>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</si>
  <si>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</si>
  <si>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</si>
  <si>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</si>
  <si>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</si>
  <si>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</si>
  <si>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</si>
  <si>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</si>
  <si>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</si>
  <si>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</si>
  <si>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</si>
  <si>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</si>
  <si>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</si>
  <si>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</si>
  <si>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</si>
  <si>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</si>
  <si>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</si>
  <si>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</si>
  <si>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</si>
  <si>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</si>
  <si>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</si>
  <si>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</si>
  <si>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</si>
  <si>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</si>
  <si>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</si>
  <si>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</si>
  <si>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</si>
  <si>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</si>
  <si>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</si>
  <si>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</si>
  <si>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</si>
  <si>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</si>
  <si>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</si>
  <si>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</si>
  <si>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</si>
  <si>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</si>
  <si>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</si>
  <si>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</si>
  <si>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</si>
  <si>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</si>
  <si>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</si>
  <si>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</si>
  <si>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</si>
  <si>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</si>
  <si>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</si>
  <si>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</si>
  <si>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</si>
  <si>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</si>
  <si>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</si>
  <si>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</si>
  <si>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</si>
  <si>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</si>
  <si>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</si>
  <si>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</si>
  <si>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</si>
  <si>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</si>
  <si>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</si>
  <si>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</si>
  <si>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</si>
  <si>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</si>
  <si>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</si>
  <si>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</si>
  <si>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</si>
  <si>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</si>
  <si>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</si>
  <si>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</si>
  <si>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</si>
  <si>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</si>
  <si>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</si>
  <si>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</si>
  <si>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</si>
  <si>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</si>
  <si>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</si>
  <si>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</si>
  <si>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</si>
  <si>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</si>
  <si>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</si>
  <si>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</si>
  <si>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</si>
  <si>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</si>
  <si>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</si>
  <si>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</si>
  <si>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</si>
  <si>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</si>
  <si>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</si>
  <si>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</si>
  <si>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</si>
  <si>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</si>
  <si>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</si>
  <si>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</si>
  <si>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</si>
  <si>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</si>
  <si>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</si>
  <si>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</si>
  <si>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</si>
  <si>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</si>
  <si>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</si>
  <si>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</si>
  <si>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</si>
  <si>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</si>
  <si>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</si>
  <si>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</si>
  <si>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</si>
  <si>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</si>
  <si>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</si>
  <si>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</si>
  <si>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</si>
  <si>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</si>
  <si>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</si>
  <si>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</si>
  <si>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</si>
  <si>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</si>
  <si>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</si>
  <si>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</si>
  <si>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</si>
  <si>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</si>
  <si>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</si>
  <si>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</si>
  <si>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</si>
  <si>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</si>
  <si>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</si>
  <si>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</si>
  <si>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</si>
  <si>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</si>
  <si>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</si>
  <si>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</si>
  <si>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</si>
  <si>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</si>
  <si>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</si>
  <si>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</si>
  <si>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</si>
  <si>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</si>
  <si>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</si>
  <si>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</si>
  <si>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</si>
  <si>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</si>
  <si>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</si>
  <si>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</si>
  <si>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</si>
  <si>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</si>
  <si>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</si>
  <si>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</si>
  <si>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</si>
  <si>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</si>
  <si>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</si>
  <si>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</si>
  <si>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</si>
  <si>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</si>
  <si>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</si>
  <si>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</si>
  <si>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</si>
  <si>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</si>
  <si>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</si>
  <si>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</si>
  <si>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</si>
  <si>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</si>
  <si>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</si>
  <si>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</si>
  <si>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</si>
  <si>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</si>
  <si>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</si>
  <si>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</si>
  <si>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</si>
  <si>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</si>
  <si>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</si>
  <si>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</si>
  <si>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</si>
  <si>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</si>
  <si>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</si>
  <si>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</si>
  <si>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</si>
  <si>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</si>
  <si>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</si>
  <si>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</si>
  <si>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</si>
  <si>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</si>
  <si>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</si>
  <si>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</si>
  <si>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</si>
  <si>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</si>
  <si>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</si>
  <si>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</si>
  <si>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</si>
  <si>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</si>
  <si>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</si>
  <si>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</si>
  <si>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</si>
  <si>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</si>
  <si>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</si>
  <si>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</si>
  <si>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</si>
  <si>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</si>
  <si>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</si>
  <si>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</si>
  <si>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</si>
  <si>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</si>
  <si>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</si>
  <si>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</si>
  <si>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</si>
  <si>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</si>
  <si>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</si>
  <si>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</si>
  <si>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</si>
  <si>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</si>
  <si>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</si>
  <si>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</si>
  <si>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</si>
  <si>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</si>
  <si>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</si>
  <si>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</si>
  <si>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</si>
  <si>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</si>
  <si>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</si>
  <si>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</si>
  <si>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</si>
  <si>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</si>
  <si>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</si>
  <si>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</si>
  <si>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</si>
  <si>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</si>
  <si>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</si>
  <si>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</si>
  <si>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</si>
  <si>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</si>
  <si>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</si>
  <si>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</si>
  <si>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</si>
  <si>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</si>
  <si>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</si>
  <si>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</si>
  <si>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</si>
  <si>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</si>
  <si>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</si>
  <si>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</si>
  <si>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</si>
  <si>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</si>
  <si>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</si>
  <si>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</si>
  <si>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</si>
  <si>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</si>
  <si>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</si>
  <si>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</si>
  <si>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</si>
  <si>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</si>
  <si>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</si>
  <si>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</si>
  <si>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</si>
  <si>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</si>
  <si>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</si>
  <si>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</si>
  <si>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</si>
  <si>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</si>
  <si>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</si>
  <si>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</si>
  <si>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</si>
  <si>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</si>
  <si>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</si>
  <si>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</si>
  <si>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</si>
  <si>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</si>
  <si>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</si>
  <si>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</si>
  <si>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</si>
  <si>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</si>
  <si>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</si>
  <si>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</si>
  <si>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</si>
  <si>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</si>
  <si>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</si>
  <si>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</si>
  <si>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</si>
  <si>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</si>
  <si>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</si>
  <si>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</si>
  <si>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</si>
  <si>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</si>
  <si>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</si>
  <si>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</si>
  <si>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</si>
  <si>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</si>
  <si>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</si>
  <si>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</si>
  <si>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</si>
  <si>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</si>
  <si>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</si>
  <si>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</si>
  <si>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</si>
  <si>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</si>
  <si>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</si>
  <si>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</si>
  <si>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</si>
  <si>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</si>
  <si>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</si>
  <si>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</si>
  <si>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</si>
  <si>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</si>
  <si>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</si>
  <si>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</si>
  <si>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</si>
  <si>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</si>
  <si>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</si>
  <si>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</si>
  <si>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</si>
  <si>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</si>
  <si>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</si>
  <si>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</si>
  <si>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</si>
  <si>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</si>
  <si>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</si>
  <si>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</si>
  <si>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</si>
  <si>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</si>
  <si>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</si>
  <si>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</si>
  <si>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</si>
  <si>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</si>
  <si>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</si>
  <si>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</si>
  <si>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</si>
  <si>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</si>
  <si>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</si>
  <si>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</si>
  <si>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</si>
  <si>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</si>
  <si>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</si>
  <si>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</si>
  <si>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</si>
  <si>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</si>
  <si>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</si>
  <si>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</si>
  <si>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</si>
  <si>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</si>
  <si>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</si>
  <si>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</si>
  <si>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</si>
  <si>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</si>
  <si>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</si>
  <si>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</si>
  <si>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</si>
  <si>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</si>
  <si>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</si>
  <si>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</si>
  <si>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</si>
  <si>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</si>
  <si>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</si>
  <si>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</si>
  <si>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</si>
  <si>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</si>
  <si>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</si>
  <si>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</si>
  <si>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</si>
  <si>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</si>
  <si>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</si>
  <si>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</si>
  <si>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</si>
  <si>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</si>
  <si>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</si>
  <si>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</si>
  <si>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</si>
  <si>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</si>
  <si>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</si>
  <si>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</si>
  <si>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</si>
  <si>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</si>
  <si>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</si>
  <si>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</si>
  <si>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</si>
  <si>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</si>
  <si>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</si>
  <si>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</si>
  <si>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</si>
  <si>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</si>
  <si>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</si>
  <si>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</si>
  <si>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</si>
  <si>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</si>
  <si>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</si>
  <si>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</si>
  <si>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</si>
  <si>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</si>
  <si>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</si>
  <si>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</si>
  <si>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</si>
  <si>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</si>
  <si>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</si>
  <si>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</si>
  <si>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</si>
  <si>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</si>
  <si>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</si>
  <si>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</si>
  <si>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</si>
  <si>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</si>
  <si>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</si>
  <si>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</si>
  <si>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</si>
  <si>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</si>
  <si>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</si>
  <si>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</si>
  <si>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</si>
  <si>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</si>
  <si>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</si>
  <si>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</si>
  <si>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</si>
  <si>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</si>
  <si>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</si>
  <si>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</si>
  <si>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</si>
  <si>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</si>
  <si>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</si>
  <si>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</si>
  <si>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</si>
  <si>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</si>
  <si>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</si>
  <si>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</si>
  <si>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</si>
  <si>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</si>
  <si>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</si>
  <si>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</si>
  <si>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</si>
  <si>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</si>
  <si>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</si>
  <si>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</si>
  <si>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</si>
  <si>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</si>
  <si>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</si>
  <si>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</si>
  <si>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</si>
  <si>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</si>
  <si>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</si>
  <si>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</si>
  <si>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</si>
  <si>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</si>
  <si>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</si>
  <si>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</si>
  <si>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</si>
  <si>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</si>
  <si>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</si>
  <si>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</si>
  <si>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</si>
  <si>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</si>
  <si>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</si>
  <si>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</si>
  <si>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</si>
  <si>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</si>
  <si>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</si>
  <si>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</si>
  <si>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</si>
  <si>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</si>
  <si>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</si>
  <si>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</si>
  <si>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</si>
  <si>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</si>
  <si>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</si>
  <si>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</si>
  <si>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</si>
  <si>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</si>
  <si>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</si>
  <si>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</si>
  <si>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</si>
  <si>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</si>
  <si>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</si>
  <si>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</si>
  <si>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</si>
  <si>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</si>
  <si>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</si>
  <si>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</si>
  <si>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</si>
  <si>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</si>
  <si>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</si>
  <si>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</si>
  <si>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</si>
  <si>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</si>
  <si>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</si>
  <si>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</si>
  <si>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</si>
  <si>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</si>
  <si>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</si>
  <si>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</si>
  <si>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</si>
  <si>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</si>
  <si>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</si>
  <si>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</si>
  <si>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</si>
  <si>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</si>
  <si>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</si>
  <si>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</si>
  <si>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</si>
  <si>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</si>
  <si>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</si>
  <si>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</si>
  <si>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</si>
  <si>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</si>
  <si>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</si>
  <si>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</si>
  <si>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</si>
  <si>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</si>
  <si>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</si>
  <si>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</si>
  <si>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</si>
  <si>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</si>
  <si>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</si>
  <si>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</si>
  <si>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</si>
  <si>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</si>
  <si>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</si>
  <si>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</si>
  <si>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</si>
  <si>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</si>
  <si>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</si>
  <si>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</si>
  <si>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</si>
  <si>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</si>
  <si>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</si>
  <si>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</si>
  <si>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</si>
  <si>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</si>
  <si>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</si>
  <si>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</si>
  <si>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</si>
  <si>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</si>
  <si>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</si>
  <si>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</si>
  <si>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</si>
  <si>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</si>
  <si>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</si>
  <si>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</si>
  <si>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</si>
  <si>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</si>
  <si>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</si>
  <si>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</si>
  <si>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</si>
  <si>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</si>
  <si>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</si>
  <si>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</si>
  <si>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</si>
  <si>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</si>
  <si>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</si>
  <si>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</si>
  <si>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</si>
  <si>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</si>
  <si>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</si>
  <si>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</si>
  <si>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</si>
  <si>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</si>
  <si>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</si>
  <si>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</si>
  <si>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</si>
  <si>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</si>
  <si>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</si>
  <si>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</si>
  <si>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</si>
  <si>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</si>
  <si>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</si>
  <si>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</si>
  <si>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</si>
  <si>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</si>
  <si>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</si>
  <si>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</si>
  <si>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</si>
  <si>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</si>
  <si>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</si>
  <si>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</si>
  <si>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</si>
  <si>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</si>
  <si>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</si>
  <si>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</si>
  <si>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</si>
  <si>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</si>
  <si>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</si>
  <si>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</si>
  <si>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</si>
  <si>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</si>
  <si>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</si>
  <si>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</si>
  <si>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</si>
  <si>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</si>
  <si>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</si>
  <si>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</si>
  <si>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</si>
  <si>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</si>
  <si>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</si>
  <si>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</si>
  <si>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</si>
  <si>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</si>
  <si>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</si>
  <si>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</si>
  <si>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</si>
  <si>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</si>
  <si>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</si>
  <si>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</si>
  <si>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</si>
  <si>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</si>
  <si>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</si>
  <si>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</si>
  <si>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</si>
  <si>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</si>
  <si>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</si>
  <si>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</si>
  <si>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</si>
  <si>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</si>
  <si>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</si>
  <si>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</si>
  <si>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</si>
  <si>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</si>
  <si>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</si>
  <si>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</si>
  <si>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</si>
  <si>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</si>
  <si>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</si>
  <si>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</si>
  <si>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</si>
  <si>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</si>
  <si>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</si>
  <si>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</si>
  <si>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</si>
  <si>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</si>
  <si>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</si>
  <si>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</si>
  <si>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</si>
  <si>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</si>
  <si>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</si>
  <si>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</si>
  <si>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</si>
  <si>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</si>
  <si>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</si>
  <si>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</si>
  <si>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</si>
  <si>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</si>
  <si>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</si>
  <si>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</si>
  <si>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</si>
  <si>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</si>
  <si>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</si>
  <si>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</si>
  <si>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</si>
  <si>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</si>
  <si>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</si>
  <si>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</si>
  <si>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</si>
  <si>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</si>
  <si>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</si>
  <si>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</si>
  <si>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</si>
  <si>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</si>
  <si>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</si>
  <si>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</si>
  <si>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</si>
  <si>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</si>
  <si>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</si>
  <si>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</si>
  <si>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</si>
  <si>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</si>
  <si>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</si>
  <si>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</si>
  <si>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</si>
  <si>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</si>
  <si>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</si>
  <si>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</si>
  <si>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</si>
  <si>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</si>
  <si>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</si>
  <si>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</si>
  <si>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</si>
  <si>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</si>
  <si>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</si>
  <si>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</si>
  <si>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</si>
  <si>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</si>
  <si>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</si>
  <si>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</si>
  <si>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</si>
  <si>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</si>
  <si>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</si>
  <si>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</si>
  <si>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</si>
  <si>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</si>
  <si>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</si>
  <si>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</si>
  <si>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</si>
  <si>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</si>
  <si>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</si>
  <si>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</si>
  <si>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</si>
  <si>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</si>
  <si>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</si>
  <si>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</si>
  <si>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</si>
  <si>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</si>
  <si>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</si>
  <si>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</si>
  <si>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</si>
  <si>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</si>
  <si>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</si>
  <si>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</si>
  <si>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</si>
  <si>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</si>
  <si>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</si>
  <si>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</si>
  <si>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</si>
  <si>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</si>
  <si>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</si>
  <si>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</si>
  <si>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</si>
  <si>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</si>
  <si>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</si>
  <si>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</si>
  <si>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</si>
  <si>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</si>
  <si>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</si>
  <si>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</si>
  <si>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</si>
  <si>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</si>
  <si>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</si>
  <si>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</si>
  <si>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</si>
  <si>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</si>
  <si>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</si>
  <si>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</si>
  <si>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</si>
  <si>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</si>
  <si>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</si>
  <si>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</si>
  <si>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</si>
  <si>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</si>
  <si>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</si>
  <si>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</si>
  <si>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</si>
  <si>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</si>
  <si>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</si>
  <si>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</si>
  <si>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</si>
  <si>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</si>
  <si>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</si>
  <si>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</si>
  <si>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</si>
  <si>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</si>
  <si>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</si>
  <si>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</si>
  <si>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</si>
  <si>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</si>
  <si>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</si>
  <si>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</si>
  <si>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</si>
  <si>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</si>
  <si>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</si>
  <si>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</si>
  <si>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</si>
  <si>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</si>
  <si>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</si>
  <si>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</si>
  <si>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</si>
  <si>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</si>
  <si>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</si>
  <si>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</si>
  <si>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</si>
  <si>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</si>
  <si>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</si>
  <si>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</si>
  <si>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</si>
  <si>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</si>
  <si>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</si>
  <si>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</si>
  <si>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</si>
  <si>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</si>
  <si>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</si>
  <si>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</si>
  <si>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</si>
  <si>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</si>
  <si>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</si>
  <si>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</si>
  <si>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</si>
  <si>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</si>
  <si>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</si>
  <si>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</si>
  <si>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</si>
  <si>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</si>
  <si>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</si>
  <si>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</si>
  <si>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</si>
  <si>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</si>
  <si>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</si>
  <si>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</si>
  <si>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</si>
  <si>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</si>
  <si>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</si>
  <si>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</si>
  <si>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</si>
  <si>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</si>
  <si>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</si>
  <si>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</si>
  <si>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</si>
  <si>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</si>
  <si>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</si>
  <si>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</si>
  <si>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</si>
  <si>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</si>
  <si>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</si>
  <si>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</si>
  <si>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</si>
  <si>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</si>
  <si>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</si>
  <si>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</si>
  <si>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</si>
  <si>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</si>
  <si>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</si>
  <si>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</si>
  <si>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</si>
  <si>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</si>
  <si>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</si>
  <si>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</si>
  <si>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</si>
  <si>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</si>
  <si>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</si>
  <si>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</si>
  <si>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</si>
  <si>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</si>
  <si>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</si>
  <si>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</si>
  <si>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</si>
  <si>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</si>
  <si>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</si>
  <si>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</si>
  <si>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</si>
  <si>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</si>
  <si>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</si>
  <si>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</si>
  <si>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</si>
  <si>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</si>
  <si>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</si>
  <si>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</si>
  <si>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</si>
  <si>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</si>
  <si>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</si>
  <si>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</si>
  <si>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</si>
  <si>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</si>
  <si>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</si>
  <si>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</si>
  <si>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</si>
  <si>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</si>
  <si>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</si>
  <si>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</si>
  <si>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</si>
  <si>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</si>
  <si>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</si>
  <si>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</si>
  <si>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</si>
  <si>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</si>
  <si>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</si>
  <si>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</si>
  <si>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</si>
  <si>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</si>
  <si>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</si>
  <si>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</si>
  <si>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</si>
  <si>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</si>
  <si>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</si>
  <si>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</si>
  <si>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</si>
  <si>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</si>
  <si>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</si>
  <si>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</si>
  <si>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</si>
  <si>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</si>
  <si>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</si>
  <si>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</si>
  <si>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</si>
  <si>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</si>
  <si>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</si>
  <si>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</si>
  <si>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</si>
  <si>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</si>
  <si>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</si>
  <si>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</si>
  <si>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</si>
  <si>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</si>
  <si>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</si>
  <si>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</si>
  <si>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</si>
  <si>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</si>
  <si>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</si>
  <si>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</si>
  <si>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</si>
  <si>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</si>
  <si>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</si>
  <si>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</si>
  <si>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</si>
  <si>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</si>
  <si>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</si>
  <si>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</si>
  <si>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</si>
  <si>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</si>
  <si>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</si>
  <si>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</si>
  <si>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</si>
  <si>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</si>
  <si>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</si>
  <si>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</si>
  <si>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</si>
  <si>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</si>
  <si>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</si>
  <si>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</si>
  <si>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</si>
  <si>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</si>
  <si>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</si>
  <si>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</si>
  <si>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</si>
  <si>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</si>
  <si>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</si>
  <si>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</si>
  <si>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</si>
  <si>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</si>
  <si>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</si>
  <si>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</si>
  <si>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</si>
  <si>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</si>
  <si>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</si>
  <si>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</si>
  <si>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</si>
  <si>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</si>
  <si>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</si>
  <si>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</si>
  <si>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</si>
  <si>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</si>
  <si>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</si>
  <si>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</si>
  <si>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</si>
  <si>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</si>
  <si>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</si>
  <si>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</si>
  <si>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</si>
  <si>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</si>
  <si>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</si>
  <si>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</si>
  <si>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</si>
  <si>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</si>
  <si>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</si>
  <si>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</si>
  <si>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</si>
  <si>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</si>
  <si>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</si>
  <si>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</si>
  <si>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</si>
  <si>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</si>
  <si>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</si>
  <si>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</si>
  <si>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</si>
  <si>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</si>
  <si>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</si>
  <si>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</si>
  <si>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</si>
  <si>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</si>
  <si>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</si>
  <si>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</si>
  <si>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</si>
  <si>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</si>
  <si>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</si>
  <si>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</si>
  <si>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</si>
  <si>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</si>
  <si>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</si>
  <si>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</si>
  <si>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</si>
  <si>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</si>
  <si>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</si>
  <si>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</si>
  <si>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</si>
  <si>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</si>
  <si>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</si>
  <si>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</si>
  <si>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</si>
  <si>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</si>
  <si>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</si>
  <si>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</si>
  <si>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</si>
  <si>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</si>
  <si>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</si>
  <si>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</si>
  <si>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</si>
  <si>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</si>
  <si>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</si>
  <si>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</si>
  <si>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</si>
  <si>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</si>
  <si>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</si>
  <si>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</si>
  <si>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</si>
  <si>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</si>
  <si>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</si>
  <si>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</si>
  <si>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</si>
  <si>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</si>
  <si>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</si>
  <si>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</si>
  <si>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</si>
  <si>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</si>
  <si>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</si>
  <si>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</si>
  <si>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</si>
  <si>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</si>
  <si>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</si>
  <si>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</si>
  <si>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</si>
  <si>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</si>
  <si>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</si>
  <si>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</si>
  <si>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</si>
  <si>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</si>
  <si>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</si>
  <si>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</si>
  <si>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</si>
  <si>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</si>
  <si>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</si>
  <si>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</si>
  <si>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</si>
  <si>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</si>
  <si>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</si>
  <si>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</si>
  <si>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</si>
  <si>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</si>
  <si>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</si>
  <si>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</si>
  <si>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</si>
  <si>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</si>
  <si>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</si>
  <si>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</si>
  <si>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</si>
  <si>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</si>
  <si>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</si>
  <si>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</si>
  <si>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</si>
  <si>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</si>
  <si>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</si>
  <si>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</si>
  <si>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</si>
  <si>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</si>
  <si>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</si>
  <si>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</si>
  <si>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</si>
  <si>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</si>
  <si>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</si>
  <si>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</si>
  <si>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</si>
  <si>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</si>
  <si>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</si>
  <si>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</si>
  <si>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</si>
  <si>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</si>
  <si>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</si>
  <si>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</si>
  <si>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</si>
  <si>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</si>
  <si>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</si>
  <si>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</si>
  <si>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</si>
  <si>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</si>
  <si>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</si>
  <si>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</si>
  <si>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</si>
  <si>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</si>
  <si>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</si>
  <si>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</si>
  <si>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</si>
  <si>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</si>
  <si>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</si>
  <si>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</si>
  <si>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</si>
  <si>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</si>
  <si>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</si>
  <si>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</si>
  <si>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</si>
  <si>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</si>
  <si>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</si>
  <si>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</si>
  <si>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</si>
  <si>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</si>
  <si>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</si>
  <si>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</si>
  <si>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</si>
  <si>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</si>
  <si>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</si>
  <si>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</si>
  <si>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</si>
  <si>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</si>
  <si>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</si>
  <si>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</si>
  <si>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</si>
  <si>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</si>
  <si>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</si>
  <si>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</si>
  <si>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</si>
  <si>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</si>
  <si>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</si>
  <si>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</si>
  <si>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</si>
  <si>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</si>
  <si>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</si>
  <si>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</si>
  <si>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</si>
  <si>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</si>
  <si>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</si>
  <si>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</si>
  <si>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</si>
  <si>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</si>
  <si>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</si>
  <si>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</si>
  <si>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</si>
  <si>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</si>
  <si>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</si>
  <si>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</si>
  <si>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</si>
  <si>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</si>
  <si>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</si>
  <si>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</si>
  <si>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</si>
  <si>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</si>
  <si>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</si>
  <si>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</si>
  <si>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</si>
  <si>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</si>
  <si>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</si>
  <si>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</si>
  <si>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</si>
  <si>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</si>
  <si>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</si>
  <si>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</si>
  <si>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</si>
  <si>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</si>
  <si>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</si>
  <si>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</si>
  <si>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</si>
  <si>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</si>
  <si>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</si>
  <si>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</si>
  <si>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</si>
  <si>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</si>
  <si>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</si>
  <si>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</si>
  <si>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</si>
  <si>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</si>
  <si>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</si>
  <si>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</si>
  <si>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</si>
  <si>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</si>
  <si>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</si>
  <si>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</si>
  <si>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</si>
  <si>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</si>
  <si>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</si>
  <si>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</si>
  <si>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</si>
  <si>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</si>
  <si>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</si>
  <si>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</si>
  <si>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</si>
  <si>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</si>
  <si>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</si>
  <si>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</si>
  <si>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</si>
  <si>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</si>
  <si>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</si>
  <si>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</si>
  <si>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</si>
  <si>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</si>
  <si>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</si>
  <si>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</si>
  <si>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</si>
  <si>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</si>
  <si>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</si>
  <si>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</si>
  <si>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</si>
  <si>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</si>
  <si>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</si>
  <si>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</si>
  <si>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</si>
  <si>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</si>
  <si>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</si>
  <si>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</si>
  <si>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</si>
  <si>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</si>
  <si>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</si>
  <si>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</si>
  <si>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</si>
  <si>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</si>
  <si>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</si>
  <si>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</si>
  <si>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</si>
  <si>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</si>
  <si>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</si>
  <si>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</si>
  <si>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</si>
  <si>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</si>
  <si>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</si>
  <si>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</si>
  <si>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</si>
  <si>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</si>
  <si>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</si>
  <si>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</si>
  <si>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</si>
  <si>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</si>
  <si>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</si>
  <si>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</si>
  <si>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</si>
  <si>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</si>
  <si>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</si>
  <si>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</si>
  <si>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</si>
  <si>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</si>
  <si>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</si>
  <si>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</si>
  <si>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</si>
  <si>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</si>
  <si>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</si>
  <si>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</si>
  <si>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</si>
  <si>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</si>
  <si>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</si>
  <si>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</si>
  <si>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</si>
  <si>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</si>
  <si>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</si>
  <si>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</si>
  <si>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</si>
  <si>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</si>
  <si>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</si>
  <si>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</si>
  <si>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</si>
  <si>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</si>
  <si>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</si>
  <si>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</si>
  <si>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</si>
  <si>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</si>
  <si>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</si>
  <si>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</si>
  <si>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</si>
  <si>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</si>
  <si>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</si>
  <si>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</si>
  <si>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</si>
  <si>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</si>
  <si>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</si>
  <si>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</si>
  <si>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</si>
  <si>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</si>
  <si>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</si>
  <si>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</si>
  <si>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</si>
  <si>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</si>
  <si>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</si>
  <si>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</si>
  <si>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</si>
  <si>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</si>
  <si>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</si>
  <si>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</si>
  <si>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</si>
  <si>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</si>
  <si>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</si>
  <si>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</si>
  <si>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</si>
  <si>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</si>
  <si>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</si>
  <si>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</si>
  <si>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</si>
  <si>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</si>
  <si>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</si>
  <si>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</si>
  <si>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</si>
  <si>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</si>
  <si>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</si>
  <si>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</si>
  <si>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</si>
  <si>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</si>
  <si>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</si>
  <si>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</si>
  <si>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</si>
  <si>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</si>
  <si>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</si>
  <si>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</si>
  <si>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</si>
  <si>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</si>
  <si>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</si>
  <si>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</si>
  <si>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</si>
  <si>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</si>
  <si>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</si>
  <si>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</si>
  <si>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</si>
  <si>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</si>
  <si>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</si>
  <si>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</si>
  <si>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</si>
  <si>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</si>
  <si>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</si>
  <si>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</si>
  <si>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</si>
  <si>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</si>
  <si>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</si>
  <si>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</si>
  <si>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</si>
  <si>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</si>
  <si>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</si>
  <si>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</si>
  <si>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</si>
  <si>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</si>
  <si>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</si>
  <si>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</si>
  <si>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</si>
  <si>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</si>
  <si>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</si>
  <si>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</si>
  <si>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</si>
  <si>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</si>
  <si>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</si>
  <si>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</si>
  <si>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</si>
  <si>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</si>
  <si>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</si>
  <si>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</si>
  <si>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</si>
  <si>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</si>
  <si>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</si>
  <si>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</si>
  <si>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</si>
  <si>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</si>
  <si>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</si>
  <si>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</si>
  <si>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</si>
  <si>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</si>
  <si>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</si>
  <si>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</si>
  <si>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</si>
  <si>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</si>
  <si>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</si>
  <si>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</si>
  <si>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</si>
  <si>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</si>
  <si>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</si>
  <si>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</si>
  <si>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</si>
  <si>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</si>
  <si>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</si>
  <si>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</si>
  <si>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</si>
  <si>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</si>
  <si>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</si>
  <si>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</si>
  <si>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</si>
  <si>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</si>
  <si>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</si>
  <si>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</si>
  <si>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</si>
  <si>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</si>
  <si>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</si>
  <si>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</si>
  <si>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</si>
  <si>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</si>
  <si>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</si>
  <si>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</si>
  <si>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</si>
  <si>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</si>
  <si>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</si>
  <si>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</si>
  <si>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</si>
  <si>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</si>
  <si>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</si>
  <si>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</si>
  <si>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</si>
  <si>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</si>
  <si>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2023, 2025</t>
  </si>
  <si>
    <t>Annual Energy Outlook 2023, 2025</t>
  </si>
  <si>
    <t>Alternative Transportation Scenario</t>
  </si>
  <si>
    <t>PASSENGER</t>
  </si>
  <si>
    <t>FREIGHT</t>
  </si>
  <si>
    <t>EPA and EIA transportation emissions may not align. To match EPA's emissions results, we can apply a calibration factor for the following sectors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</si>
</sst>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7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b/>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i/>
      <sz val="11"/>
      <color theme="1"/>
      <name val="Calibri"/>
      <family val="2"/>
      <scheme val="minor"/>
    </font>
    <font>
      <b/>
      <sz val="9"/>
      <name val="Calibri"/>
      <family val="2"/>
    </font>
    <font>
      <sz val="9"/>
      <name val="Calibri"/>
      <family val="2"/>
    </font>
    <font>
      <sz val="10"/>
      <name val="Calibri"/>
      <family val="2"/>
    </font>
  </fonts>
  <fills count="62">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39997558519241921"/>
        <bgColor indexed="64"/>
      </patternFill>
    </fill>
    <fill>
      <patternFill patternType="solid">
        <fgColor theme="7" tint="0.59999389629810485"/>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08">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57" fillId="0" borderId="0" xfId="187"/>
    <xf numFmtId="0" fontId="8" fillId="0" borderId="0" xfId="0" applyFont="1"/>
    <xf numFmtId="0" fontId="6" fillId="0" borderId="0" xfId="0" applyFont="1"/>
    <xf numFmtId="0" fontId="0" fillId="28" borderId="0" xfId="0" applyFill="1"/>
    <xf numFmtId="0" fontId="3" fillId="0" borderId="0" xfId="1"/>
    <xf numFmtId="0" fontId="5" fillId="0" borderId="5" xfId="5">
      <alignment wrapText="1"/>
    </xf>
    <xf numFmtId="3" fontId="5" fillId="0" borderId="3" xfId="3" applyNumberFormat="1" applyAlignment="1">
      <alignment horizontal="right" wrapText="1"/>
    </xf>
    <xf numFmtId="0" fontId="3" fillId="0" borderId="0" xfId="6"/>
    <xf numFmtId="0" fontId="59" fillId="0" borderId="0" xfId="0" applyFont="1"/>
    <xf numFmtId="0" fontId="7" fillId="0" borderId="0" xfId="7">
      <alignment horizontal="left"/>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0" fontId="0" fillId="0" borderId="2" xfId="0" applyBorder="1"/>
    <xf numFmtId="0" fontId="4" fillId="0" borderId="0" xfId="1" applyFont="1"/>
    <xf numFmtId="10" fontId="0" fillId="0" borderId="0" xfId="0" applyNumberFormat="1"/>
    <xf numFmtId="0" fontId="60" fillId="0" borderId="0" xfId="0" applyFont="1" applyAlignment="1">
      <alignment horizontal="right"/>
    </xf>
    <xf numFmtId="0" fontId="61" fillId="0" borderId="2" xfId="2" applyFont="1">
      <alignment wrapText="1"/>
    </xf>
    <xf numFmtId="0" fontId="62" fillId="0" borderId="0" xfId="0" applyFont="1"/>
    <xf numFmtId="0" fontId="6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0" fontId="0" fillId="0" borderId="0" xfId="0" applyAlignment="1">
      <alignment horizontal="left" vertical="top"/>
    </xf>
    <xf numFmtId="0" fontId="3" fillId="0" borderId="2" xfId="1" applyBorder="1"/>
    <xf numFmtId="0" fontId="3" fillId="0" borderId="0" xfId="209"/>
    <xf numFmtId="0" fontId="5" fillId="0" borderId="5" xfId="211">
      <alignment wrapText="1"/>
    </xf>
    <xf numFmtId="0" fontId="6" fillId="0" borderId="0" xfId="1" applyFont="1"/>
    <xf numFmtId="0" fontId="8" fillId="0" borderId="0" xfId="1" applyFont="1"/>
    <xf numFmtId="0" fontId="63" fillId="0" borderId="0" xfId="213" applyFont="1">
      <alignment horizontal="left"/>
    </xf>
    <xf numFmtId="0" fontId="60" fillId="0" borderId="0" xfId="1" applyFont="1" applyAlignment="1">
      <alignment horizontal="right"/>
    </xf>
    <xf numFmtId="0" fontId="4" fillId="0" borderId="0" xfId="209" applyFont="1"/>
    <xf numFmtId="0" fontId="4" fillId="0" borderId="0" xfId="1" applyFont="1" applyAlignment="1">
      <alignment horizontal="left"/>
    </xf>
    <xf numFmtId="0" fontId="60" fillId="0" borderId="5" xfId="211" applyFont="1">
      <alignment wrapText="1"/>
    </xf>
    <xf numFmtId="0" fontId="60" fillId="0" borderId="5" xfId="211" applyFont="1" applyAlignment="1">
      <alignment horizontal="right"/>
    </xf>
    <xf numFmtId="0" fontId="60" fillId="0" borderId="3" xfId="212" applyFont="1">
      <alignment wrapText="1"/>
    </xf>
    <xf numFmtId="0" fontId="4" fillId="0" borderId="4" xfId="208" applyFont="1">
      <alignment wrapText="1"/>
    </xf>
    <xf numFmtId="4" fontId="4" fillId="0" borderId="4" xfId="208" applyNumberFormat="1" applyFont="1" applyAlignment="1">
      <alignment horizontal="right" wrapText="1"/>
    </xf>
    <xf numFmtId="164" fontId="4" fillId="0" borderId="4" xfId="208" applyNumberFormat="1" applyFont="1" applyAlignment="1">
      <alignment horizontal="right" wrapText="1"/>
    </xf>
    <xf numFmtId="4" fontId="60" fillId="0" borderId="3" xfId="212" applyNumberFormat="1" applyFont="1" applyAlignment="1">
      <alignment horizontal="right" wrapText="1"/>
    </xf>
    <xf numFmtId="164" fontId="60" fillId="0" borderId="3" xfId="212" applyNumberFormat="1" applyFont="1" applyAlignment="1">
      <alignment horizontal="right" wrapText="1"/>
    </xf>
    <xf numFmtId="3" fontId="4" fillId="0" borderId="4" xfId="208" applyNumberFormat="1" applyFont="1" applyAlignment="1">
      <alignment horizontal="right" wrapText="1"/>
    </xf>
    <xf numFmtId="165" fontId="4" fillId="0" borderId="4" xfId="208" applyNumberFormat="1" applyFont="1" applyAlignment="1">
      <alignment horizontal="right" wrapText="1"/>
    </xf>
    <xf numFmtId="0" fontId="64" fillId="0" borderId="0" xfId="1" applyFont="1"/>
    <xf numFmtId="168" fontId="0" fillId="0" borderId="0" xfId="207" applyNumberFormat="1" applyFont="1"/>
    <xf numFmtId="0" fontId="66" fillId="0" borderId="0" xfId="0" applyFont="1"/>
    <xf numFmtId="4" fontId="0" fillId="0" borderId="0" xfId="0" applyNumberFormat="1"/>
    <xf numFmtId="3" fontId="4" fillId="28" borderId="4" xfId="208" applyNumberFormat="1" applyFont="1" applyFill="1" applyAlignment="1">
      <alignment horizontal="right" wrapText="1"/>
    </xf>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7"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9"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8" fillId="0" borderId="0" xfId="223" applyFont="1" applyBorder="1">
      <alignment wrapText="1"/>
    </xf>
    <xf numFmtId="0" fontId="67" fillId="0" borderId="5" xfId="224" applyFont="1" applyAlignment="1">
      <alignment horizontal="right"/>
    </xf>
    <xf numFmtId="0" fontId="65" fillId="0" borderId="2" xfId="210" applyFont="1">
      <alignment wrapText="1"/>
    </xf>
    <xf numFmtId="0" fontId="0" fillId="59" borderId="0" xfId="0" applyFill="1"/>
    <xf numFmtId="10" fontId="0" fillId="59" borderId="0" xfId="0" applyNumberFormat="1" applyFill="1"/>
    <xf numFmtId="10" fontId="2" fillId="0" borderId="0" xfId="0" applyNumberFormat="1" applyFont="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xf numFmtId="0" fontId="6" fillId="61" borderId="0" xfId="1" applyFont="1" applyFill="1"/>
    <xf numFmtId="0" fontId="4" fillId="61" borderId="4" xfId="208" applyFont="1" applyFill="1">
      <alignment wrapText="1"/>
    </xf>
    <xf numFmtId="3" fontId="4" fillId="61" borderId="4" xfId="208" applyNumberFormat="1" applyFont="1" applyFill="1" applyAlignment="1">
      <alignment horizontal="right" wrapText="1"/>
    </xf>
    <xf numFmtId="164" fontId="4" fillId="61" borderId="4" xfId="208" applyNumberFormat="1" applyFont="1" applyFill="1" applyAlignment="1">
      <alignment horizontal="right" wrapText="1"/>
    </xf>
    <xf numFmtId="0" fontId="4" fillId="61" borderId="0" xfId="1" applyFont="1" applyFill="1"/>
    <xf numFmtId="0" fontId="0" fillId="61" borderId="0" xfId="0" applyFill="1"/>
    <xf numFmtId="10" fontId="0" fillId="61" borderId="0" xfId="0" applyNumberFormat="1" applyFill="1"/>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0" borderId="0" xfId="207" applyNumberFormat="1" applyFont="1" applyAlignment="1"/>
    <xf numFmtId="0" fontId="0" fillId="0" borderId="0" xfId="0"/>
    <xf numFmtId="0" fontId="61" fillId="0" borderId="0" xfId="0" applyFont="1"/>
    <xf numFmtId="0" fontId="61" fillId="0" borderId="2" xfId="2" applyFont="1">
      <alignment wrapText="1"/>
    </xf>
    <xf numFmtId="0" fontId="0" fillId="0" borderId="2" xfId="0" applyBorder="1"/>
    <xf numFmtId="0" fontId="68" fillId="0" borderId="2" xfId="223" applyFont="1">
      <alignment wrapText="1"/>
    </xf>
    <xf numFmtId="0" fontId="3" fillId="0" borderId="2" xfId="1" applyBorder="1"/>
    <xf numFmtId="0" fontId="3" fillId="0" borderId="0" xfId="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tabSelected="1" workbookViewId="0">
      <selection activeCell="B8" sqref="B8"/>
    </sheetView>
  </sheetViews>
  <sheetFormatPr defaultRowHeight="14.5"/>
  <cols>
    <col min="1" max="1" width="13.453125" customWidth="1"/>
    <col min="2" max="2" width="107.453125" customWidth="1"/>
  </cols>
  <sheetData>
    <row r="1" spans="1:2">
      <c r="A1" s="1" t="s">
        <v>134</v>
      </c>
    </row>
    <row r="3" spans="1:2">
      <c r="A3" s="1" t="s">
        <v>0</v>
      </c>
      <c r="B3" s="2" t="s">
        <v>122</v>
      </c>
    </row>
    <row r="4" spans="1:2">
      <c r="B4" t="s">
        <v>120</v>
      </c>
    </row>
    <row r="5" spans="1:2">
      <c r="B5" s="3" t="s">
        <v>3770</v>
      </c>
    </row>
    <row r="6" spans="1:2">
      <c r="B6" t="s">
        <v>3771</v>
      </c>
    </row>
    <row r="7" spans="1:2">
      <c r="B7" t="s">
        <v>3772</v>
      </c>
    </row>
    <row r="8" spans="1:2">
      <c r="B8" s="5" t="s">
        <v>275</v>
      </c>
    </row>
    <row r="9" spans="1:2">
      <c r="B9" t="s">
        <v>274</v>
      </c>
    </row>
    <row r="11" spans="1:2">
      <c r="B11" s="2" t="s">
        <v>1021</v>
      </c>
    </row>
    <row r="12" spans="1:2">
      <c r="B12" t="s">
        <v>1022</v>
      </c>
    </row>
    <row r="13" spans="1:2">
      <c r="B13" s="35">
        <v>2022</v>
      </c>
    </row>
    <row r="14" spans="1:2">
      <c r="B14" t="s">
        <v>1023</v>
      </c>
    </row>
    <row r="15" spans="1:2">
      <c r="B15" s="5" t="s">
        <v>1024</v>
      </c>
    </row>
    <row r="16" spans="1:2">
      <c r="B16" t="s">
        <v>1025</v>
      </c>
    </row>
    <row r="18" spans="1:1">
      <c r="A18" s="1" t="s">
        <v>109</v>
      </c>
    </row>
    <row r="19" spans="1:1">
      <c r="A19" t="s">
        <v>130</v>
      </c>
    </row>
    <row r="20" spans="1:1">
      <c r="A20" t="s">
        <v>131</v>
      </c>
    </row>
    <row r="21" spans="1:1">
      <c r="A21" t="s">
        <v>132</v>
      </c>
    </row>
    <row r="22" spans="1:1">
      <c r="A22" t="s">
        <v>276</v>
      </c>
    </row>
    <row r="23" spans="1:1">
      <c r="A23" t="s">
        <v>133</v>
      </c>
    </row>
    <row r="24" spans="1:1">
      <c r="A24" t="s">
        <v>277</v>
      </c>
    </row>
    <row r="26" spans="1:1">
      <c r="A26" t="s">
        <v>127</v>
      </c>
    </row>
    <row r="27" spans="1:1">
      <c r="A27" t="s">
        <v>128</v>
      </c>
    </row>
    <row r="28" spans="1:1">
      <c r="A28" t="s">
        <v>129</v>
      </c>
    </row>
    <row r="30" spans="1:1">
      <c r="A30" t="s">
        <v>278</v>
      </c>
    </row>
    <row r="31" spans="1:1">
      <c r="A31" t="s">
        <v>279</v>
      </c>
    </row>
    <row r="33" spans="1:1">
      <c r="A33" t="s">
        <v>280</v>
      </c>
    </row>
    <row r="34" spans="1:1">
      <c r="A34" t="s">
        <v>281</v>
      </c>
    </row>
    <row r="35" spans="1:1">
      <c r="A35" t="s">
        <v>282</v>
      </c>
    </row>
    <row r="36" spans="1:1">
      <c r="A36" t="s">
        <v>283</v>
      </c>
    </row>
    <row r="38" spans="1:1">
      <c r="A38" t="s">
        <v>1018</v>
      </c>
    </row>
    <row r="39" spans="1:1">
      <c r="A39" t="s">
        <v>1019</v>
      </c>
    </row>
    <row r="40" spans="1:1">
      <c r="A40" t="s">
        <v>1020</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4.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4.5"/>
  <cols>
    <col min="1" max="1" width="44.453125" customWidth="1"/>
    <col min="2" max="2" width="12.54296875" customWidth="1"/>
  </cols>
  <sheetData>
    <row r="1" spans="1:7">
      <c r="A1" t="s">
        <v>2097</v>
      </c>
    </row>
    <row r="3" spans="1:7">
      <c r="A3" t="s">
        <v>2098</v>
      </c>
      <c r="B3">
        <v>2020</v>
      </c>
      <c r="C3">
        <v>2021</v>
      </c>
      <c r="G3" t="s">
        <v>2135</v>
      </c>
    </row>
    <row r="4" spans="1:7">
      <c r="A4" t="s">
        <v>2099</v>
      </c>
      <c r="B4">
        <v>937</v>
      </c>
      <c r="C4" s="58">
        <v>1029</v>
      </c>
      <c r="F4" t="s">
        <v>165</v>
      </c>
      <c r="G4">
        <f>SUM(C8,C15,C35,C41,C45)/SUM(B45,B41,B35,B15,B8)</f>
        <v>1.0416666666666667</v>
      </c>
    </row>
    <row r="5" spans="1:7">
      <c r="A5" t="s">
        <v>2100</v>
      </c>
      <c r="B5">
        <v>328</v>
      </c>
      <c r="C5">
        <v>361</v>
      </c>
    </row>
    <row r="6" spans="1:7">
      <c r="A6" t="s">
        <v>2101</v>
      </c>
      <c r="B6">
        <v>566</v>
      </c>
      <c r="C6">
        <v>620</v>
      </c>
    </row>
    <row r="7" spans="1:7">
      <c r="A7" t="s">
        <v>2102</v>
      </c>
      <c r="B7">
        <v>24</v>
      </c>
      <c r="C7">
        <v>27</v>
      </c>
    </row>
    <row r="8" spans="1:7">
      <c r="A8" s="8" t="s">
        <v>165</v>
      </c>
      <c r="B8">
        <v>3</v>
      </c>
      <c r="C8">
        <v>3</v>
      </c>
    </row>
    <row r="9" spans="1:7">
      <c r="A9" t="s">
        <v>163</v>
      </c>
      <c r="B9">
        <v>7</v>
      </c>
      <c r="C9">
        <v>7</v>
      </c>
    </row>
    <row r="10" spans="1:7">
      <c r="A10" t="s">
        <v>2103</v>
      </c>
      <c r="B10">
        <v>10</v>
      </c>
      <c r="C10">
        <v>11</v>
      </c>
    </row>
    <row r="11" spans="1:7">
      <c r="A11" t="s">
        <v>2104</v>
      </c>
      <c r="B11">
        <v>455</v>
      </c>
      <c r="C11">
        <v>488</v>
      </c>
    </row>
    <row r="12" spans="1:7">
      <c r="A12" t="s">
        <v>2100</v>
      </c>
      <c r="B12">
        <v>3</v>
      </c>
      <c r="C12">
        <v>3</v>
      </c>
    </row>
    <row r="13" spans="1:7">
      <c r="A13" t="s">
        <v>2101</v>
      </c>
      <c r="B13">
        <v>30</v>
      </c>
      <c r="C13">
        <v>33</v>
      </c>
    </row>
    <row r="14" spans="1:7">
      <c r="A14" t="s">
        <v>2102</v>
      </c>
      <c r="B14">
        <v>353</v>
      </c>
      <c r="C14">
        <v>380</v>
      </c>
    </row>
    <row r="15" spans="1:7">
      <c r="A15" s="8" t="s">
        <v>165</v>
      </c>
      <c r="B15">
        <v>20</v>
      </c>
      <c r="C15">
        <v>21</v>
      </c>
    </row>
    <row r="16" spans="1:7">
      <c r="A16" t="s">
        <v>178</v>
      </c>
      <c r="B16">
        <v>31</v>
      </c>
      <c r="C16">
        <v>32</v>
      </c>
    </row>
    <row r="17" spans="1:3">
      <c r="A17" t="s">
        <v>2103</v>
      </c>
      <c r="B17">
        <v>3</v>
      </c>
      <c r="C17">
        <v>3</v>
      </c>
    </row>
    <row r="18" spans="1:3">
      <c r="A18" t="s">
        <v>2105</v>
      </c>
      <c r="B18">
        <v>8</v>
      </c>
      <c r="C18">
        <v>8</v>
      </c>
    </row>
    <row r="19" spans="1:3">
      <c r="A19" t="s">
        <v>2106</v>
      </c>
      <c r="B19">
        <v>8</v>
      </c>
      <c r="C19">
        <v>7</v>
      </c>
    </row>
    <row r="20" spans="1:3">
      <c r="A20" t="s">
        <v>2107</v>
      </c>
      <c r="B20">
        <v>160</v>
      </c>
      <c r="C20">
        <v>203</v>
      </c>
    </row>
    <row r="21" spans="1:3">
      <c r="A21" t="s">
        <v>2108</v>
      </c>
      <c r="B21">
        <v>91</v>
      </c>
      <c r="C21">
        <v>119</v>
      </c>
    </row>
    <row r="22" spans="1:3">
      <c r="A22" t="s">
        <v>2109</v>
      </c>
      <c r="B22">
        <v>12</v>
      </c>
      <c r="C22">
        <v>13</v>
      </c>
    </row>
    <row r="23" spans="1:3">
      <c r="A23" t="s">
        <v>2110</v>
      </c>
      <c r="B23">
        <v>18</v>
      </c>
      <c r="C23">
        <v>21</v>
      </c>
    </row>
    <row r="24" spans="1:3">
      <c r="A24" t="s">
        <v>2106</v>
      </c>
      <c r="B24">
        <v>40</v>
      </c>
      <c r="C24">
        <v>51</v>
      </c>
    </row>
    <row r="25" spans="1:3">
      <c r="A25" t="s">
        <v>2111</v>
      </c>
      <c r="B25">
        <v>37</v>
      </c>
      <c r="C25">
        <v>48</v>
      </c>
    </row>
    <row r="26" spans="1:3">
      <c r="A26" t="s">
        <v>191</v>
      </c>
      <c r="B26">
        <v>1</v>
      </c>
      <c r="C26">
        <v>1</v>
      </c>
    </row>
    <row r="27" spans="1:3">
      <c r="A27" t="s">
        <v>2110</v>
      </c>
      <c r="B27">
        <v>1</v>
      </c>
      <c r="C27">
        <v>1</v>
      </c>
    </row>
    <row r="28" spans="1:3">
      <c r="A28" t="s">
        <v>185</v>
      </c>
      <c r="B28">
        <v>29</v>
      </c>
      <c r="C28">
        <v>46</v>
      </c>
    </row>
    <row r="29" spans="1:3">
      <c r="A29" t="s">
        <v>2112</v>
      </c>
      <c r="B29">
        <v>7</v>
      </c>
      <c r="C29">
        <v>24</v>
      </c>
    </row>
    <row r="30" spans="1:3">
      <c r="A30" t="s">
        <v>2106</v>
      </c>
      <c r="B30">
        <v>22</v>
      </c>
      <c r="C30">
        <v>22</v>
      </c>
    </row>
    <row r="31" spans="1:3">
      <c r="A31" t="s">
        <v>2113</v>
      </c>
      <c r="B31">
        <v>59</v>
      </c>
      <c r="C31">
        <v>65</v>
      </c>
    </row>
    <row r="32" spans="1:3">
      <c r="A32" t="s">
        <v>2100</v>
      </c>
      <c r="B32">
        <v>0</v>
      </c>
      <c r="C32">
        <v>0</v>
      </c>
    </row>
    <row r="33" spans="1:3">
      <c r="A33" t="s">
        <v>2101</v>
      </c>
      <c r="B33">
        <v>0</v>
      </c>
      <c r="C33">
        <v>0</v>
      </c>
    </row>
    <row r="34" spans="1:3">
      <c r="A34" t="s">
        <v>2114</v>
      </c>
      <c r="B34">
        <v>0</v>
      </c>
      <c r="C34">
        <v>0</v>
      </c>
    </row>
    <row r="35" spans="1:3">
      <c r="A35" s="8" t="s">
        <v>165</v>
      </c>
      <c r="B35">
        <v>1</v>
      </c>
      <c r="C35">
        <v>1</v>
      </c>
    </row>
    <row r="36" spans="1:3">
      <c r="A36" t="s">
        <v>2115</v>
      </c>
      <c r="B36">
        <v>58</v>
      </c>
      <c r="C36">
        <v>64</v>
      </c>
    </row>
    <row r="37" spans="1:3">
      <c r="A37" t="s">
        <v>2116</v>
      </c>
      <c r="B37">
        <v>0</v>
      </c>
      <c r="C37">
        <v>0</v>
      </c>
    </row>
    <row r="38" spans="1:3">
      <c r="A38" t="s">
        <v>2100</v>
      </c>
      <c r="B38">
        <v>0</v>
      </c>
      <c r="C38">
        <v>0</v>
      </c>
    </row>
    <row r="39" spans="1:3">
      <c r="A39" t="s">
        <v>2101</v>
      </c>
      <c r="B39">
        <v>0</v>
      </c>
      <c r="C39">
        <v>0</v>
      </c>
    </row>
    <row r="40" spans="1:3">
      <c r="A40" t="s">
        <v>2102</v>
      </c>
      <c r="B40">
        <v>0</v>
      </c>
      <c r="C40">
        <v>0</v>
      </c>
    </row>
    <row r="41" spans="1:3">
      <c r="A41" s="8" t="s">
        <v>165</v>
      </c>
      <c r="B41">
        <v>0</v>
      </c>
      <c r="C41">
        <v>0</v>
      </c>
    </row>
    <row r="42" spans="1:3">
      <c r="A42" t="s">
        <v>2117</v>
      </c>
      <c r="B42">
        <v>4</v>
      </c>
      <c r="C42">
        <v>5</v>
      </c>
    </row>
    <row r="43" spans="1:3">
      <c r="A43" t="s">
        <v>2100</v>
      </c>
      <c r="B43">
        <v>1</v>
      </c>
      <c r="C43">
        <v>2</v>
      </c>
    </row>
    <row r="44" spans="1:3">
      <c r="A44" t="s">
        <v>2101</v>
      </c>
      <c r="B44">
        <v>0</v>
      </c>
      <c r="C44">
        <v>1</v>
      </c>
    </row>
    <row r="45" spans="1:3">
      <c r="A45" s="8" t="s">
        <v>165</v>
      </c>
      <c r="B45">
        <v>0</v>
      </c>
      <c r="C45">
        <v>0</v>
      </c>
    </row>
    <row r="46" spans="1:3">
      <c r="A46" t="s">
        <v>178</v>
      </c>
      <c r="B46">
        <v>2</v>
      </c>
      <c r="C46">
        <v>2</v>
      </c>
    </row>
    <row r="47" spans="1:3">
      <c r="A47" t="s">
        <v>2118</v>
      </c>
      <c r="B47">
        <v>68.099999999999994</v>
      </c>
      <c r="C47">
        <v>75.400000000000006</v>
      </c>
    </row>
    <row r="48" spans="1:3">
      <c r="A48" t="s">
        <v>2119</v>
      </c>
      <c r="B48">
        <v>70</v>
      </c>
      <c r="C48">
        <v>80</v>
      </c>
    </row>
    <row r="49" spans="1:3">
      <c r="A49" t="s">
        <v>2120</v>
      </c>
      <c r="B49">
        <v>68.099999999999994</v>
      </c>
      <c r="C49">
        <v>75.400000000000006</v>
      </c>
    </row>
    <row r="50" spans="1:3">
      <c r="A50" t="s">
        <v>2121</v>
      </c>
      <c r="B50">
        <v>17.7</v>
      </c>
      <c r="C50">
        <v>16.100000000000001</v>
      </c>
    </row>
    <row r="51" spans="1:3">
      <c r="A51" t="s">
        <v>2122</v>
      </c>
    </row>
    <row r="52" spans="1:3">
      <c r="A52" t="s">
        <v>2123</v>
      </c>
    </row>
    <row r="53" spans="1:3">
      <c r="A53" t="s">
        <v>2124</v>
      </c>
    </row>
    <row r="54" spans="1:3">
      <c r="A54" t="s">
        <v>2125</v>
      </c>
    </row>
    <row r="55" spans="1:3">
      <c r="A55" t="s">
        <v>2126</v>
      </c>
    </row>
    <row r="56" spans="1:3">
      <c r="A56" t="s">
        <v>2127</v>
      </c>
    </row>
    <row r="57" spans="1:3">
      <c r="A57" t="s">
        <v>2128</v>
      </c>
    </row>
    <row r="58" spans="1:3">
      <c r="A58" t="s">
        <v>2129</v>
      </c>
    </row>
    <row r="59" spans="1:3">
      <c r="A59" t="s">
        <v>2130</v>
      </c>
    </row>
    <row r="60" spans="1:3">
      <c r="A60" t="s">
        <v>2131</v>
      </c>
    </row>
    <row r="61" spans="1:3">
      <c r="A61" t="s">
        <v>2132</v>
      </c>
    </row>
    <row r="62" spans="1:3">
      <c r="A62" t="s">
        <v>2133</v>
      </c>
    </row>
    <row r="63" spans="1:3">
      <c r="A63" t="s">
        <v>2134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H2842"/>
  <sheetViews>
    <sheetView topLeftCell="B1" workbookViewId="0">
      <selection activeCell="G28" sqref="G28"/>
    </sheetView>
  </sheetViews>
  <sheetFormatPr defaultColWidth="8.7265625" defaultRowHeight="14.5"/>
  <cols>
    <col min="1" max="1" width="21.453125" hidden="1" customWidth="1"/>
    <col min="2" max="2" width="46.7265625" customWidth="1"/>
    <col min="3" max="32" width="7.81640625" customWidth="1"/>
  </cols>
  <sheetData>
    <row r="1" spans="1:33" ht="15" customHeight="1" thickBot="1">
      <c r="A1" s="9"/>
      <c r="B1" s="37" t="s">
        <v>1026</v>
      </c>
      <c r="C1" s="38">
        <v>2022</v>
      </c>
      <c r="D1" s="38">
        <v>2023</v>
      </c>
      <c r="E1" s="38">
        <v>2024</v>
      </c>
      <c r="F1" s="38">
        <v>2025</v>
      </c>
      <c r="G1" s="38">
        <v>2026</v>
      </c>
      <c r="H1" s="38">
        <v>2027</v>
      </c>
      <c r="I1" s="38">
        <v>2028</v>
      </c>
      <c r="J1" s="38">
        <v>2029</v>
      </c>
      <c r="K1" s="38">
        <v>2030</v>
      </c>
      <c r="L1" s="38">
        <v>2031</v>
      </c>
      <c r="M1" s="38">
        <v>2032</v>
      </c>
      <c r="N1" s="38">
        <v>2033</v>
      </c>
      <c r="O1" s="38">
        <v>2034</v>
      </c>
      <c r="P1" s="38">
        <v>2035</v>
      </c>
      <c r="Q1" s="38">
        <v>2036</v>
      </c>
      <c r="R1" s="38">
        <v>2037</v>
      </c>
      <c r="S1" s="38">
        <v>2038</v>
      </c>
      <c r="T1" s="38">
        <v>2039</v>
      </c>
      <c r="U1" s="38">
        <v>2040</v>
      </c>
      <c r="V1" s="38">
        <v>2041</v>
      </c>
      <c r="W1" s="38">
        <v>2042</v>
      </c>
      <c r="X1" s="38">
        <v>2043</v>
      </c>
      <c r="Y1" s="38">
        <v>2044</v>
      </c>
      <c r="Z1" s="38">
        <v>2045</v>
      </c>
      <c r="AA1" s="38">
        <v>2046</v>
      </c>
      <c r="AB1" s="38">
        <v>2047</v>
      </c>
      <c r="AC1" s="38">
        <v>2048</v>
      </c>
      <c r="AD1" s="38">
        <v>2049</v>
      </c>
      <c r="AE1" s="38">
        <v>2050</v>
      </c>
      <c r="AF1" s="9"/>
      <c r="AG1" s="9"/>
    </row>
    <row r="2" spans="1:33" ht="15" customHeight="1" thickTop="1">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3" ht="15" customHeight="1">
      <c r="A3" s="9"/>
      <c r="B3" s="9"/>
      <c r="C3" s="55" t="s">
        <v>108</v>
      </c>
      <c r="D3" s="55" t="s">
        <v>1027</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3" ht="15" customHeight="1">
      <c r="A4" s="9"/>
      <c r="B4" s="9"/>
      <c r="C4" s="55" t="s">
        <v>107</v>
      </c>
      <c r="D4" s="55" t="s">
        <v>1028</v>
      </c>
      <c r="E4" s="40"/>
      <c r="F4" s="40"/>
      <c r="G4" s="55" t="s">
        <v>287</v>
      </c>
      <c r="H4" s="9"/>
      <c r="I4" s="9"/>
      <c r="J4" s="9"/>
      <c r="K4" s="9"/>
      <c r="L4" s="9"/>
      <c r="M4" s="9"/>
      <c r="N4" s="9"/>
      <c r="O4" s="9"/>
      <c r="P4" s="9"/>
      <c r="Q4" s="9"/>
      <c r="R4" s="9"/>
      <c r="S4" s="9"/>
      <c r="T4" s="9"/>
      <c r="U4" s="9"/>
      <c r="V4" s="9"/>
      <c r="W4" s="9"/>
      <c r="X4" s="9"/>
      <c r="Y4" s="9"/>
      <c r="Z4" s="9"/>
      <c r="AA4" s="9"/>
      <c r="AB4" s="9"/>
      <c r="AC4" s="9"/>
      <c r="AD4" s="9"/>
      <c r="AE4" s="9"/>
      <c r="AF4" s="9"/>
      <c r="AG4" s="9"/>
    </row>
    <row r="5" spans="1:33" ht="15" customHeight="1">
      <c r="A5" s="9"/>
      <c r="B5" s="9"/>
      <c r="C5" s="55" t="s">
        <v>106</v>
      </c>
      <c r="D5" s="55" t="s">
        <v>1029</v>
      </c>
      <c r="E5" s="40"/>
      <c r="F5" s="40"/>
      <c r="G5" s="40"/>
      <c r="H5" s="9"/>
      <c r="I5" s="9"/>
      <c r="J5" s="9"/>
      <c r="K5" s="9"/>
      <c r="L5" s="9"/>
      <c r="M5" s="9"/>
      <c r="N5" s="9"/>
      <c r="O5" s="9"/>
      <c r="P5" s="9"/>
      <c r="Q5" s="9"/>
      <c r="R5" s="9"/>
      <c r="S5" s="9"/>
      <c r="T5" s="9"/>
      <c r="U5" s="9"/>
      <c r="V5" s="9"/>
      <c r="W5" s="9"/>
      <c r="X5" s="9"/>
      <c r="Y5" s="9"/>
      <c r="Z5" s="9"/>
      <c r="AA5" s="9"/>
      <c r="AB5" s="9"/>
      <c r="AC5" s="9"/>
      <c r="AD5" s="9"/>
      <c r="AE5" s="9"/>
      <c r="AF5" s="9"/>
      <c r="AG5" s="9"/>
    </row>
    <row r="6" spans="1:33" ht="15" customHeight="1">
      <c r="A6" s="9"/>
      <c r="B6" s="9"/>
      <c r="C6" s="55" t="s">
        <v>105</v>
      </c>
      <c r="D6" s="40"/>
      <c r="E6" s="55" t="s">
        <v>1030</v>
      </c>
      <c r="F6" s="40"/>
      <c r="G6" s="40"/>
      <c r="H6" s="9"/>
      <c r="I6" s="9"/>
      <c r="J6" s="9"/>
      <c r="K6" s="9"/>
      <c r="L6" s="9"/>
      <c r="M6" s="9"/>
      <c r="N6" s="9"/>
      <c r="O6" s="9"/>
      <c r="P6" s="9"/>
      <c r="Q6" s="9"/>
      <c r="R6" s="9"/>
      <c r="S6" s="9"/>
      <c r="T6" s="9"/>
      <c r="U6" s="9"/>
      <c r="V6" s="9"/>
      <c r="W6" s="9"/>
      <c r="X6" s="9"/>
      <c r="Y6" s="9"/>
      <c r="Z6" s="9"/>
      <c r="AA6" s="9"/>
      <c r="AB6" s="9"/>
      <c r="AC6" s="9"/>
      <c r="AD6" s="9"/>
      <c r="AE6" s="9"/>
      <c r="AF6" s="9"/>
      <c r="AG6" s="9"/>
    </row>
    <row r="7" spans="1:3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row>
    <row r="8" spans="1:3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row>
    <row r="9" spans="1:33">
      <c r="A9" s="9"/>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row>
    <row r="10" spans="1:33" ht="15" customHeight="1">
      <c r="A10" s="39" t="s">
        <v>104</v>
      </c>
      <c r="B10" s="41" t="s">
        <v>103</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42" t="s">
        <v>290</v>
      </c>
      <c r="AG10" s="21"/>
    </row>
    <row r="11" spans="1:33" ht="15" customHeight="1">
      <c r="A11" s="9"/>
      <c r="B11" s="43"/>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42" t="s">
        <v>291</v>
      </c>
      <c r="AG11" s="21"/>
    </row>
    <row r="12" spans="1:33" ht="15" customHeight="1">
      <c r="A12" s="9"/>
      <c r="B12" s="43"/>
      <c r="C12" s="44"/>
      <c r="D12" s="44"/>
      <c r="E12" s="44"/>
      <c r="F12" s="44"/>
      <c r="G12" s="44"/>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2" t="s">
        <v>292</v>
      </c>
      <c r="AG12" s="21"/>
    </row>
    <row r="13" spans="1:33" ht="15" customHeight="1" thickBot="1">
      <c r="A13" s="9"/>
      <c r="B13" s="45" t="s">
        <v>102</v>
      </c>
      <c r="C13" s="45">
        <v>2022</v>
      </c>
      <c r="D13" s="45">
        <v>2023</v>
      </c>
      <c r="E13" s="45">
        <v>2024</v>
      </c>
      <c r="F13" s="45">
        <v>2025</v>
      </c>
      <c r="G13" s="45">
        <v>2026</v>
      </c>
      <c r="H13" s="45">
        <v>2027</v>
      </c>
      <c r="I13" s="45">
        <v>2028</v>
      </c>
      <c r="J13" s="45">
        <v>2029</v>
      </c>
      <c r="K13" s="45">
        <v>2030</v>
      </c>
      <c r="L13" s="45">
        <v>2031</v>
      </c>
      <c r="M13" s="45">
        <v>2032</v>
      </c>
      <c r="N13" s="45">
        <v>2033</v>
      </c>
      <c r="O13" s="45">
        <v>2034</v>
      </c>
      <c r="P13" s="45">
        <v>2035</v>
      </c>
      <c r="Q13" s="45">
        <v>2036</v>
      </c>
      <c r="R13" s="45">
        <v>2037</v>
      </c>
      <c r="S13" s="45">
        <v>2038</v>
      </c>
      <c r="T13" s="45">
        <v>2039</v>
      </c>
      <c r="U13" s="45">
        <v>2040</v>
      </c>
      <c r="V13" s="45">
        <v>2041</v>
      </c>
      <c r="W13" s="45">
        <v>2042</v>
      </c>
      <c r="X13" s="45">
        <v>2043</v>
      </c>
      <c r="Y13" s="45">
        <v>2044</v>
      </c>
      <c r="Z13" s="45">
        <v>2045</v>
      </c>
      <c r="AA13" s="45">
        <v>2046</v>
      </c>
      <c r="AB13" s="45">
        <v>2047</v>
      </c>
      <c r="AC13" s="45">
        <v>2048</v>
      </c>
      <c r="AD13" s="45">
        <v>2049</v>
      </c>
      <c r="AE13" s="45">
        <v>2050</v>
      </c>
      <c r="AF13" s="46" t="s">
        <v>1031</v>
      </c>
      <c r="AG13" s="21"/>
    </row>
    <row r="14" spans="1:33" ht="15" customHeight="1" thickTop="1">
      <c r="A14" s="9"/>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row>
    <row r="15" spans="1:33" ht="15" customHeight="1">
      <c r="A15" s="9"/>
      <c r="B15" s="47" t="s">
        <v>101</v>
      </c>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row>
    <row r="16" spans="1:33" ht="15" customHeight="1">
      <c r="A16" s="9"/>
      <c r="B16" s="47" t="s">
        <v>100</v>
      </c>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row>
    <row r="17" spans="1:33" ht="15" customHeight="1">
      <c r="A17" s="9"/>
      <c r="B17" s="47" t="s">
        <v>99</v>
      </c>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row>
    <row r="18" spans="1:33" ht="15" customHeight="1">
      <c r="A18" s="39" t="s">
        <v>98</v>
      </c>
      <c r="B18" s="48" t="s">
        <v>97</v>
      </c>
      <c r="C18" s="53">
        <v>2843.298096</v>
      </c>
      <c r="D18" s="53">
        <v>2901.3588869999999</v>
      </c>
      <c r="E18" s="53">
        <v>2922.5065920000002</v>
      </c>
      <c r="F18" s="53">
        <v>2933.360107</v>
      </c>
      <c r="G18" s="53">
        <v>2954.2380370000001</v>
      </c>
      <c r="H18" s="53">
        <v>2981.9343260000001</v>
      </c>
      <c r="I18" s="53">
        <v>3007.5581050000001</v>
      </c>
      <c r="J18" s="53">
        <v>3027.5729980000001</v>
      </c>
      <c r="K18" s="53">
        <v>3042.8432619999999</v>
      </c>
      <c r="L18" s="53">
        <v>3055.7746579999998</v>
      </c>
      <c r="M18" s="53">
        <v>3066.6516109999998</v>
      </c>
      <c r="N18" s="53">
        <v>3082.359375</v>
      </c>
      <c r="O18" s="53">
        <v>3102.4182129999999</v>
      </c>
      <c r="P18" s="53">
        <v>3120.7375489999999</v>
      </c>
      <c r="Q18" s="53">
        <v>3135.6208499999998</v>
      </c>
      <c r="R18" s="53">
        <v>3152.9177249999998</v>
      </c>
      <c r="S18" s="53">
        <v>3172.435547</v>
      </c>
      <c r="T18" s="53">
        <v>3192.100586</v>
      </c>
      <c r="U18" s="53">
        <v>3214.5629880000001</v>
      </c>
      <c r="V18" s="53">
        <v>3237.5805660000001</v>
      </c>
      <c r="W18" s="53">
        <v>3261.5847170000002</v>
      </c>
      <c r="X18" s="53">
        <v>3284.897461</v>
      </c>
      <c r="Y18" s="53">
        <v>3309.0390619999998</v>
      </c>
      <c r="Z18" s="53">
        <v>3334.7033689999998</v>
      </c>
      <c r="AA18" s="53">
        <v>3364.522461</v>
      </c>
      <c r="AB18" s="53">
        <v>3396.5351559999999</v>
      </c>
      <c r="AC18" s="53">
        <v>3429.5627439999998</v>
      </c>
      <c r="AD18" s="53">
        <v>3463.0249020000001</v>
      </c>
      <c r="AE18" s="53">
        <v>3499.5429690000001</v>
      </c>
      <c r="AF18" s="50">
        <v>7.4440000000000001E-3</v>
      </c>
      <c r="AG18" s="21"/>
    </row>
    <row r="19" spans="1:33" s="94" customFormat="1" ht="15" customHeight="1">
      <c r="A19" s="89" t="s">
        <v>96</v>
      </c>
      <c r="B19" s="90" t="s">
        <v>95</v>
      </c>
      <c r="C19" s="91">
        <v>102.214951</v>
      </c>
      <c r="D19" s="91">
        <v>103.34345999999999</v>
      </c>
      <c r="E19" s="91">
        <v>103.55378</v>
      </c>
      <c r="F19" s="91">
        <v>104.36998699999999</v>
      </c>
      <c r="G19" s="91">
        <v>105.656265</v>
      </c>
      <c r="H19" s="91">
        <v>107.002548</v>
      </c>
      <c r="I19" s="91">
        <v>108.204063</v>
      </c>
      <c r="J19" s="91">
        <v>109.329842</v>
      </c>
      <c r="K19" s="91">
        <v>110.214569</v>
      </c>
      <c r="L19" s="91">
        <v>111.063705</v>
      </c>
      <c r="M19" s="91">
        <v>112.175911</v>
      </c>
      <c r="N19" s="91">
        <v>113.26731100000001</v>
      </c>
      <c r="O19" s="91">
        <v>114.361328</v>
      </c>
      <c r="P19" s="91">
        <v>115.539856</v>
      </c>
      <c r="Q19" s="91">
        <v>116.693398</v>
      </c>
      <c r="R19" s="91">
        <v>117.934776</v>
      </c>
      <c r="S19" s="91">
        <v>119.26325199999999</v>
      </c>
      <c r="T19" s="91">
        <v>120.517143</v>
      </c>
      <c r="U19" s="91">
        <v>121.965698</v>
      </c>
      <c r="V19" s="91">
        <v>123.543205</v>
      </c>
      <c r="W19" s="91">
        <v>125.055435</v>
      </c>
      <c r="X19" s="91">
        <v>126.490196</v>
      </c>
      <c r="Y19" s="91">
        <v>127.831902</v>
      </c>
      <c r="Z19" s="91">
        <v>129.14802599999999</v>
      </c>
      <c r="AA19" s="91">
        <v>130.647919</v>
      </c>
      <c r="AB19" s="91">
        <v>132.25534099999999</v>
      </c>
      <c r="AC19" s="91">
        <v>133.71923799999999</v>
      </c>
      <c r="AD19" s="91">
        <v>135.16911300000001</v>
      </c>
      <c r="AE19" s="91">
        <v>137.065033</v>
      </c>
      <c r="AF19" s="92">
        <v>1.0533000000000001E-2</v>
      </c>
      <c r="AG19" s="93"/>
    </row>
    <row r="20" spans="1:33" ht="15" customHeight="1">
      <c r="A20" s="39" t="s">
        <v>94</v>
      </c>
      <c r="B20" s="48" t="s">
        <v>93</v>
      </c>
      <c r="C20" s="53">
        <v>321.95498700000002</v>
      </c>
      <c r="D20" s="53">
        <v>320.72061200000002</v>
      </c>
      <c r="E20" s="53">
        <v>321.15664700000002</v>
      </c>
      <c r="F20" s="53">
        <v>324.03918499999997</v>
      </c>
      <c r="G20" s="53">
        <v>328.45147700000001</v>
      </c>
      <c r="H20" s="53">
        <v>332.319275</v>
      </c>
      <c r="I20" s="53">
        <v>335.87875400000001</v>
      </c>
      <c r="J20" s="53">
        <v>338.62100199999998</v>
      </c>
      <c r="K20" s="53">
        <v>341.15325899999999</v>
      </c>
      <c r="L20" s="53">
        <v>344.16229199999998</v>
      </c>
      <c r="M20" s="53">
        <v>348.16583300000002</v>
      </c>
      <c r="N20" s="53">
        <v>351.54122899999999</v>
      </c>
      <c r="O20" s="53">
        <v>354.83010899999999</v>
      </c>
      <c r="P20" s="53">
        <v>358.344696</v>
      </c>
      <c r="Q20" s="53">
        <v>361.39355499999999</v>
      </c>
      <c r="R20" s="53">
        <v>364.92678799999999</v>
      </c>
      <c r="S20" s="53">
        <v>368.38064600000001</v>
      </c>
      <c r="T20" s="53">
        <v>371.81143200000002</v>
      </c>
      <c r="U20" s="53">
        <v>375.58807400000001</v>
      </c>
      <c r="V20" s="53">
        <v>379.58752399999997</v>
      </c>
      <c r="W20" s="53">
        <v>383.51464800000002</v>
      </c>
      <c r="X20" s="53">
        <v>387.20883199999997</v>
      </c>
      <c r="Y20" s="53">
        <v>390.63339200000001</v>
      </c>
      <c r="Z20" s="53">
        <v>393.83795199999997</v>
      </c>
      <c r="AA20" s="53">
        <v>397.54263300000002</v>
      </c>
      <c r="AB20" s="53">
        <v>401.35467499999999</v>
      </c>
      <c r="AC20" s="53">
        <v>404.65982100000002</v>
      </c>
      <c r="AD20" s="53">
        <v>408.22445699999997</v>
      </c>
      <c r="AE20" s="53">
        <v>413.08251999999999</v>
      </c>
      <c r="AF20" s="50">
        <v>8.9409999999999993E-3</v>
      </c>
      <c r="AG20" s="21"/>
    </row>
    <row r="21" spans="1:33" ht="15" customHeight="1">
      <c r="A21" s="9"/>
      <c r="B21" s="47" t="s">
        <v>139</v>
      </c>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row>
    <row r="22" spans="1:33" ht="15" customHeight="1">
      <c r="A22" s="39" t="s">
        <v>135</v>
      </c>
      <c r="B22" s="48" t="s">
        <v>136</v>
      </c>
      <c r="C22" s="59">
        <v>175.473648</v>
      </c>
      <c r="D22" s="53">
        <v>186.883286</v>
      </c>
      <c r="E22" s="53">
        <v>193.369202</v>
      </c>
      <c r="F22" s="53">
        <v>197.39228800000001</v>
      </c>
      <c r="G22" s="53">
        <v>200.32751500000001</v>
      </c>
      <c r="H22" s="53">
        <v>202.52967799999999</v>
      </c>
      <c r="I22" s="53">
        <v>204.211411</v>
      </c>
      <c r="J22" s="53">
        <v>205.46838399999999</v>
      </c>
      <c r="K22" s="53">
        <v>206.39357000000001</v>
      </c>
      <c r="L22" s="53">
        <v>207.029404</v>
      </c>
      <c r="M22" s="53">
        <v>207.54084800000001</v>
      </c>
      <c r="N22" s="53">
        <v>207.99565100000001</v>
      </c>
      <c r="O22" s="53">
        <v>208.43975800000001</v>
      </c>
      <c r="P22" s="53">
        <v>208.79684399999999</v>
      </c>
      <c r="Q22" s="53">
        <v>209.10339400000001</v>
      </c>
      <c r="R22" s="53">
        <v>209.37013200000001</v>
      </c>
      <c r="S22" s="53">
        <v>209.49378999999999</v>
      </c>
      <c r="T22" s="53">
        <v>209.54415900000001</v>
      </c>
      <c r="U22" s="53">
        <v>209.54357899999999</v>
      </c>
      <c r="V22" s="53">
        <v>209.49118000000001</v>
      </c>
      <c r="W22" s="53">
        <v>209.41184999999999</v>
      </c>
      <c r="X22" s="53">
        <v>209.25843800000001</v>
      </c>
      <c r="Y22" s="53">
        <v>209.10913099999999</v>
      </c>
      <c r="Z22" s="53">
        <v>208.931015</v>
      </c>
      <c r="AA22" s="53">
        <v>208.81189000000001</v>
      </c>
      <c r="AB22" s="53">
        <v>208.60612499999999</v>
      </c>
      <c r="AC22" s="53">
        <v>208.41769400000001</v>
      </c>
      <c r="AD22" s="53">
        <v>208.192352</v>
      </c>
      <c r="AE22" s="53">
        <v>207.995926</v>
      </c>
      <c r="AF22" s="50">
        <v>6.0910000000000001E-3</v>
      </c>
      <c r="AG22" s="21"/>
    </row>
    <row r="23" spans="1:33" ht="15" customHeight="1">
      <c r="A23" s="39" t="s">
        <v>137</v>
      </c>
      <c r="B23" s="48" t="s">
        <v>138</v>
      </c>
      <c r="C23" s="53">
        <v>30.144946999999998</v>
      </c>
      <c r="D23" s="53">
        <v>32.030231000000001</v>
      </c>
      <c r="E23" s="53">
        <v>33.064109999999999</v>
      </c>
      <c r="F23" s="53">
        <v>33.706195999999998</v>
      </c>
      <c r="G23" s="53">
        <v>34.620327000000003</v>
      </c>
      <c r="H23" s="53">
        <v>35.443916000000002</v>
      </c>
      <c r="I23" s="53">
        <v>36.137473999999997</v>
      </c>
      <c r="J23" s="53">
        <v>36.650322000000003</v>
      </c>
      <c r="K23" s="53">
        <v>37.00806</v>
      </c>
      <c r="L23" s="53">
        <v>37.264552999999999</v>
      </c>
      <c r="M23" s="53">
        <v>37.633518000000002</v>
      </c>
      <c r="N23" s="53">
        <v>38.067889999999998</v>
      </c>
      <c r="O23" s="53">
        <v>38.564194000000001</v>
      </c>
      <c r="P23" s="53">
        <v>38.985652999999999</v>
      </c>
      <c r="Q23" s="53">
        <v>39.398944999999998</v>
      </c>
      <c r="R23" s="53">
        <v>39.809189000000003</v>
      </c>
      <c r="S23" s="53">
        <v>40.237045000000002</v>
      </c>
      <c r="T23" s="53">
        <v>40.652228999999998</v>
      </c>
      <c r="U23" s="53">
        <v>41.127974999999999</v>
      </c>
      <c r="V23" s="53">
        <v>41.567630999999999</v>
      </c>
      <c r="W23" s="53">
        <v>42.019573000000001</v>
      </c>
      <c r="X23" s="53">
        <v>42.407310000000003</v>
      </c>
      <c r="Y23" s="53">
        <v>42.842342000000002</v>
      </c>
      <c r="Z23" s="53">
        <v>43.266334999999998</v>
      </c>
      <c r="AA23" s="53">
        <v>43.867863</v>
      </c>
      <c r="AB23" s="53">
        <v>44.361511</v>
      </c>
      <c r="AC23" s="53">
        <v>44.905074999999997</v>
      </c>
      <c r="AD23" s="53">
        <v>45.395485000000001</v>
      </c>
      <c r="AE23" s="53">
        <v>46.002594000000002</v>
      </c>
      <c r="AF23" s="50">
        <v>1.521E-2</v>
      </c>
      <c r="AG23" s="21"/>
    </row>
    <row r="24" spans="1:33" ht="15" customHeight="1">
      <c r="A24" s="9"/>
      <c r="B24" s="47" t="s">
        <v>92</v>
      </c>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row>
    <row r="25" spans="1:33" ht="15" customHeight="1">
      <c r="A25" s="39" t="s">
        <v>91</v>
      </c>
      <c r="B25" s="48" t="s">
        <v>90</v>
      </c>
      <c r="C25" s="59">
        <v>1173.034668</v>
      </c>
      <c r="D25" s="53">
        <v>1318.6945800000001</v>
      </c>
      <c r="E25" s="53">
        <v>1361.6110839999999</v>
      </c>
      <c r="F25" s="53">
        <v>1371.6551509999999</v>
      </c>
      <c r="G25" s="53">
        <v>1402.9279790000001</v>
      </c>
      <c r="H25" s="53">
        <v>1433.8398440000001</v>
      </c>
      <c r="I25" s="53">
        <v>1461.472168</v>
      </c>
      <c r="J25" s="53">
        <v>1484.8291019999999</v>
      </c>
      <c r="K25" s="53">
        <v>1504.2687989999999</v>
      </c>
      <c r="L25" s="53">
        <v>1524.7269289999999</v>
      </c>
      <c r="M25" s="53">
        <v>1552.256836</v>
      </c>
      <c r="N25" s="53">
        <v>1583.9248050000001</v>
      </c>
      <c r="O25" s="53">
        <v>1615.380249</v>
      </c>
      <c r="P25" s="53">
        <v>1647.3461910000001</v>
      </c>
      <c r="Q25" s="53">
        <v>1682.5896</v>
      </c>
      <c r="R25" s="53">
        <v>1721.046875</v>
      </c>
      <c r="S25" s="53">
        <v>1761.139038</v>
      </c>
      <c r="T25" s="53">
        <v>1801.9410399999999</v>
      </c>
      <c r="U25" s="53">
        <v>1848.0720209999999</v>
      </c>
      <c r="V25" s="53">
        <v>1894.2041019999999</v>
      </c>
      <c r="W25" s="53">
        <v>1941.463013</v>
      </c>
      <c r="X25" s="53">
        <v>1990.3642580000001</v>
      </c>
      <c r="Y25" s="53">
        <v>2038.4373780000001</v>
      </c>
      <c r="Z25" s="53">
        <v>2085.6875</v>
      </c>
      <c r="AA25" s="53">
        <v>2134.0048830000001</v>
      </c>
      <c r="AB25" s="53">
        <v>2185.8969729999999</v>
      </c>
      <c r="AC25" s="53">
        <v>2238.836182</v>
      </c>
      <c r="AD25" s="53">
        <v>2292.3554690000001</v>
      </c>
      <c r="AE25" s="53">
        <v>2350.2690429999998</v>
      </c>
      <c r="AF25" s="50">
        <v>2.513E-2</v>
      </c>
      <c r="AG25" s="21"/>
    </row>
    <row r="26" spans="1:33" ht="15" customHeight="1">
      <c r="A26" s="9"/>
      <c r="B26" s="47" t="s">
        <v>89</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row>
    <row r="27" spans="1:33" ht="15" customHeight="1">
      <c r="A27" s="39" t="s">
        <v>88</v>
      </c>
      <c r="B27" s="48" t="s">
        <v>47</v>
      </c>
      <c r="C27" s="53">
        <v>1620.4948730000001</v>
      </c>
      <c r="D27" s="53">
        <v>1600.1008300000001</v>
      </c>
      <c r="E27" s="53">
        <v>1666.9197999999999</v>
      </c>
      <c r="F27" s="53">
        <v>1628.408447</v>
      </c>
      <c r="G27" s="53">
        <v>1561.420654</v>
      </c>
      <c r="H27" s="53">
        <v>1509.649414</v>
      </c>
      <c r="I27" s="53">
        <v>1489.7312010000001</v>
      </c>
      <c r="J27" s="53">
        <v>1507.5151370000001</v>
      </c>
      <c r="K27" s="53">
        <v>1500.1649170000001</v>
      </c>
      <c r="L27" s="53">
        <v>1506.952393</v>
      </c>
      <c r="M27" s="53">
        <v>1522.1982419999999</v>
      </c>
      <c r="N27" s="53">
        <v>1534.73938</v>
      </c>
      <c r="O27" s="53">
        <v>1543.237427</v>
      </c>
      <c r="P27" s="53">
        <v>1554.590698</v>
      </c>
      <c r="Q27" s="53">
        <v>1557.5253909999999</v>
      </c>
      <c r="R27" s="53">
        <v>1562.481567</v>
      </c>
      <c r="S27" s="53">
        <v>1568.966064</v>
      </c>
      <c r="T27" s="53">
        <v>1568.3394780000001</v>
      </c>
      <c r="U27" s="53">
        <v>1571.777466</v>
      </c>
      <c r="V27" s="53">
        <v>1585.611206</v>
      </c>
      <c r="W27" s="53">
        <v>1597.3070070000001</v>
      </c>
      <c r="X27" s="53">
        <v>1600.190918</v>
      </c>
      <c r="Y27" s="53">
        <v>1601.832764</v>
      </c>
      <c r="Z27" s="53">
        <v>1602.998779</v>
      </c>
      <c r="AA27" s="53">
        <v>1608.1293949999999</v>
      </c>
      <c r="AB27" s="53">
        <v>1618.0823969999999</v>
      </c>
      <c r="AC27" s="53">
        <v>1630.8079829999999</v>
      </c>
      <c r="AD27" s="53">
        <v>1636.8905030000001</v>
      </c>
      <c r="AE27" s="53">
        <v>1649.469482</v>
      </c>
      <c r="AF27" s="50">
        <v>6.3299999999999999E-4</v>
      </c>
      <c r="AG27" s="21"/>
    </row>
    <row r="28" spans="1:33" ht="15" customHeight="1">
      <c r="A28" s="39" t="s">
        <v>87</v>
      </c>
      <c r="B28" s="48" t="s">
        <v>45</v>
      </c>
      <c r="C28" s="53">
        <v>444.898865</v>
      </c>
      <c r="D28" s="53">
        <v>450.42761200000001</v>
      </c>
      <c r="E28" s="53">
        <v>448.61004600000001</v>
      </c>
      <c r="F28" s="53">
        <v>446.74627700000002</v>
      </c>
      <c r="G28" s="53">
        <v>445.22772200000003</v>
      </c>
      <c r="H28" s="53">
        <v>442.84777800000001</v>
      </c>
      <c r="I28" s="53">
        <v>440.43005399999998</v>
      </c>
      <c r="J28" s="53">
        <v>437.02459700000003</v>
      </c>
      <c r="K28" s="53">
        <v>434.036407</v>
      </c>
      <c r="L28" s="53">
        <v>431.39211999999998</v>
      </c>
      <c r="M28" s="53">
        <v>429.99737499999998</v>
      </c>
      <c r="N28" s="53">
        <v>428.16067500000003</v>
      </c>
      <c r="O28" s="53">
        <v>426.27862499999998</v>
      </c>
      <c r="P28" s="53">
        <v>424.17816199999999</v>
      </c>
      <c r="Q28" s="53">
        <v>421.71697999999998</v>
      </c>
      <c r="R28" s="53">
        <v>419.81463600000001</v>
      </c>
      <c r="S28" s="53">
        <v>417.567047</v>
      </c>
      <c r="T28" s="53">
        <v>415.80767800000001</v>
      </c>
      <c r="U28" s="53">
        <v>414.04513500000002</v>
      </c>
      <c r="V28" s="53">
        <v>412.52209499999998</v>
      </c>
      <c r="W28" s="53">
        <v>411.24774200000002</v>
      </c>
      <c r="X28" s="53">
        <v>409.97735599999999</v>
      </c>
      <c r="Y28" s="53">
        <v>408.52224699999999</v>
      </c>
      <c r="Z28" s="53">
        <v>406.63034099999999</v>
      </c>
      <c r="AA28" s="53">
        <v>405.358521</v>
      </c>
      <c r="AB28" s="53">
        <v>403.865906</v>
      </c>
      <c r="AC28" s="53">
        <v>401.97906499999999</v>
      </c>
      <c r="AD28" s="53">
        <v>400.55664100000001</v>
      </c>
      <c r="AE28" s="53">
        <v>400.09832799999998</v>
      </c>
      <c r="AF28" s="50">
        <v>-3.7829999999999999E-3</v>
      </c>
      <c r="AG28" s="21"/>
    </row>
    <row r="29" spans="1:33" ht="15" customHeight="1">
      <c r="A29" s="9"/>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row>
    <row r="30" spans="1:33" ht="15" customHeight="1">
      <c r="A30" s="9"/>
      <c r="B30" s="47" t="s">
        <v>86</v>
      </c>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row>
    <row r="31" spans="1:33">
      <c r="A31" s="9"/>
      <c r="B31" s="47" t="s">
        <v>85</v>
      </c>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row>
    <row r="32" spans="1:33">
      <c r="A32" s="39" t="s">
        <v>84</v>
      </c>
      <c r="B32" s="48" t="s">
        <v>83</v>
      </c>
      <c r="C32" s="54">
        <v>35.855949000000003</v>
      </c>
      <c r="D32" s="54">
        <v>36.277985000000001</v>
      </c>
      <c r="E32" s="54">
        <v>39.337012999999999</v>
      </c>
      <c r="F32" s="54">
        <v>42.578201</v>
      </c>
      <c r="G32" s="54">
        <v>47.262627000000002</v>
      </c>
      <c r="H32" s="54">
        <v>47.227249</v>
      </c>
      <c r="I32" s="54">
        <v>47.18121</v>
      </c>
      <c r="J32" s="54">
        <v>47.168773999999999</v>
      </c>
      <c r="K32" s="54">
        <v>47.163848999999999</v>
      </c>
      <c r="L32" s="54">
        <v>47.152081000000003</v>
      </c>
      <c r="M32" s="54">
        <v>47.159278999999998</v>
      </c>
      <c r="N32" s="54">
        <v>47.152672000000003</v>
      </c>
      <c r="O32" s="54">
        <v>47.146118000000001</v>
      </c>
      <c r="P32" s="54">
        <v>47.131686999999999</v>
      </c>
      <c r="Q32" s="54">
        <v>47.138325000000002</v>
      </c>
      <c r="R32" s="54">
        <v>47.119869000000001</v>
      </c>
      <c r="S32" s="54">
        <v>47.100937000000002</v>
      </c>
      <c r="T32" s="54">
        <v>47.084251000000002</v>
      </c>
      <c r="U32" s="54">
        <v>47.059879000000002</v>
      </c>
      <c r="V32" s="54">
        <v>47.032314</v>
      </c>
      <c r="W32" s="54">
        <v>47.004074000000003</v>
      </c>
      <c r="X32" s="54">
        <v>46.960155</v>
      </c>
      <c r="Y32" s="54">
        <v>46.939563999999997</v>
      </c>
      <c r="Z32" s="54">
        <v>46.910690000000002</v>
      </c>
      <c r="AA32" s="54">
        <v>46.948238000000003</v>
      </c>
      <c r="AB32" s="54">
        <v>46.913113000000003</v>
      </c>
      <c r="AC32" s="54">
        <v>46.906829999999999</v>
      </c>
      <c r="AD32" s="54">
        <v>46.880138000000002</v>
      </c>
      <c r="AE32" s="54">
        <v>46.870857000000001</v>
      </c>
      <c r="AF32" s="50">
        <v>9.613E-3</v>
      </c>
      <c r="AG32" s="21"/>
    </row>
    <row r="33" spans="1:33">
      <c r="A33" s="39" t="s">
        <v>82</v>
      </c>
      <c r="B33" s="48" t="s">
        <v>81</v>
      </c>
      <c r="C33" s="54">
        <v>45.004654000000002</v>
      </c>
      <c r="D33" s="54">
        <v>45.471119000000002</v>
      </c>
      <c r="E33" s="54">
        <v>49.460312000000002</v>
      </c>
      <c r="F33" s="54">
        <v>53.789036000000003</v>
      </c>
      <c r="G33" s="54">
        <v>59.791530999999999</v>
      </c>
      <c r="H33" s="54">
        <v>59.803519999999999</v>
      </c>
      <c r="I33" s="54">
        <v>59.817413000000002</v>
      </c>
      <c r="J33" s="54">
        <v>59.819332000000003</v>
      </c>
      <c r="K33" s="54">
        <v>59.821598000000002</v>
      </c>
      <c r="L33" s="54">
        <v>59.822445000000002</v>
      </c>
      <c r="M33" s="54">
        <v>59.827472999999998</v>
      </c>
      <c r="N33" s="54">
        <v>59.828792999999997</v>
      </c>
      <c r="O33" s="54">
        <v>59.830779999999997</v>
      </c>
      <c r="P33" s="54">
        <v>59.831119999999999</v>
      </c>
      <c r="Q33" s="54">
        <v>59.842136000000004</v>
      </c>
      <c r="R33" s="54">
        <v>59.842136000000004</v>
      </c>
      <c r="S33" s="54">
        <v>59.842136000000004</v>
      </c>
      <c r="T33" s="54">
        <v>59.843197000000004</v>
      </c>
      <c r="U33" s="54">
        <v>59.843197000000004</v>
      </c>
      <c r="V33" s="54">
        <v>59.843231000000003</v>
      </c>
      <c r="W33" s="54">
        <v>59.845177</v>
      </c>
      <c r="X33" s="54">
        <v>59.845177</v>
      </c>
      <c r="Y33" s="54">
        <v>59.848227999999999</v>
      </c>
      <c r="Z33" s="54">
        <v>59.848227999999999</v>
      </c>
      <c r="AA33" s="54">
        <v>59.867775000000002</v>
      </c>
      <c r="AB33" s="54">
        <v>59.867775000000002</v>
      </c>
      <c r="AC33" s="54">
        <v>59.867775000000002</v>
      </c>
      <c r="AD33" s="54">
        <v>59.867775000000002</v>
      </c>
      <c r="AE33" s="54">
        <v>59.867775000000002</v>
      </c>
      <c r="AF33" s="50">
        <v>1.0244E-2</v>
      </c>
      <c r="AG33" s="21"/>
    </row>
    <row r="34" spans="1:33">
      <c r="A34" s="39" t="s">
        <v>80</v>
      </c>
      <c r="B34" s="48" t="s">
        <v>79</v>
      </c>
      <c r="C34" s="54">
        <v>32.047302000000002</v>
      </c>
      <c r="D34" s="54">
        <v>32.608868000000001</v>
      </c>
      <c r="E34" s="54">
        <v>35.403008</v>
      </c>
      <c r="F34" s="54">
        <v>38.46349</v>
      </c>
      <c r="G34" s="54">
        <v>42.755749000000002</v>
      </c>
      <c r="H34" s="54">
        <v>42.75658</v>
      </c>
      <c r="I34" s="54">
        <v>42.76173</v>
      </c>
      <c r="J34" s="54">
        <v>42.76173</v>
      </c>
      <c r="K34" s="54">
        <v>42.761840999999997</v>
      </c>
      <c r="L34" s="54">
        <v>42.762084999999999</v>
      </c>
      <c r="M34" s="54">
        <v>42.762169</v>
      </c>
      <c r="N34" s="54">
        <v>42.762360000000001</v>
      </c>
      <c r="O34" s="54">
        <v>42.762390000000003</v>
      </c>
      <c r="P34" s="54">
        <v>42.762520000000002</v>
      </c>
      <c r="Q34" s="54">
        <v>42.762554000000002</v>
      </c>
      <c r="R34" s="54">
        <v>42.762698999999998</v>
      </c>
      <c r="S34" s="54">
        <v>42.762756000000003</v>
      </c>
      <c r="T34" s="54">
        <v>42.762824999999999</v>
      </c>
      <c r="U34" s="54">
        <v>42.762897000000002</v>
      </c>
      <c r="V34" s="54">
        <v>42.762962000000002</v>
      </c>
      <c r="W34" s="54">
        <v>42.763016</v>
      </c>
      <c r="X34" s="54">
        <v>42.763103000000001</v>
      </c>
      <c r="Y34" s="54">
        <v>42.763103000000001</v>
      </c>
      <c r="Z34" s="54">
        <v>42.763184000000003</v>
      </c>
      <c r="AA34" s="54">
        <v>42.763184000000003</v>
      </c>
      <c r="AB34" s="54">
        <v>42.763294000000002</v>
      </c>
      <c r="AC34" s="54">
        <v>42.763294000000002</v>
      </c>
      <c r="AD34" s="54">
        <v>42.763393000000001</v>
      </c>
      <c r="AE34" s="54">
        <v>42.763393000000001</v>
      </c>
      <c r="AF34" s="50">
        <v>1.0356000000000001E-2</v>
      </c>
      <c r="AG34" s="21"/>
    </row>
    <row r="35" spans="1:33">
      <c r="A35" s="39" t="s">
        <v>78</v>
      </c>
      <c r="B35" s="48" t="s">
        <v>77</v>
      </c>
      <c r="C35" s="54">
        <v>41.802036000000001</v>
      </c>
      <c r="D35" s="54">
        <v>43.267200000000003</v>
      </c>
      <c r="E35" s="54">
        <v>44.448151000000003</v>
      </c>
      <c r="F35" s="54">
        <v>47.052714999999999</v>
      </c>
      <c r="G35" s="54">
        <v>48.571758000000003</v>
      </c>
      <c r="H35" s="54">
        <v>49.792529999999999</v>
      </c>
      <c r="I35" s="54">
        <v>52.281478999999997</v>
      </c>
      <c r="J35" s="54">
        <v>53.248958999999999</v>
      </c>
      <c r="K35" s="54">
        <v>53.962006000000002</v>
      </c>
      <c r="L35" s="54">
        <v>54.332034999999998</v>
      </c>
      <c r="M35" s="54">
        <v>54.872646000000003</v>
      </c>
      <c r="N35" s="54">
        <v>55.329352999999998</v>
      </c>
      <c r="O35" s="54">
        <v>55.771633000000001</v>
      </c>
      <c r="P35" s="54">
        <v>56.242725</v>
      </c>
      <c r="Q35" s="54">
        <v>56.632603000000003</v>
      </c>
      <c r="R35" s="54">
        <v>56.856194000000002</v>
      </c>
      <c r="S35" s="54">
        <v>57.030456999999998</v>
      </c>
      <c r="T35" s="54">
        <v>57.310715000000002</v>
      </c>
      <c r="U35" s="54">
        <v>57.240420999999998</v>
      </c>
      <c r="V35" s="54">
        <v>57.306023000000003</v>
      </c>
      <c r="W35" s="54">
        <v>57.371867999999999</v>
      </c>
      <c r="X35" s="54">
        <v>57.326743999999998</v>
      </c>
      <c r="Y35" s="54">
        <v>57.237999000000002</v>
      </c>
      <c r="Z35" s="54">
        <v>57.125121999999998</v>
      </c>
      <c r="AA35" s="54">
        <v>57.475963999999998</v>
      </c>
      <c r="AB35" s="54">
        <v>57.327747000000002</v>
      </c>
      <c r="AC35" s="54">
        <v>57.273457000000001</v>
      </c>
      <c r="AD35" s="54">
        <v>57.524818000000003</v>
      </c>
      <c r="AE35" s="54">
        <v>57.479156000000003</v>
      </c>
      <c r="AF35" s="50">
        <v>1.1439E-2</v>
      </c>
      <c r="AG35" s="21"/>
    </row>
    <row r="36" spans="1:33">
      <c r="A36" s="39" t="s">
        <v>76</v>
      </c>
      <c r="B36" s="48" t="s">
        <v>75</v>
      </c>
      <c r="C36" s="54">
        <v>56.582644999999999</v>
      </c>
      <c r="D36" s="54">
        <v>58.322226999999998</v>
      </c>
      <c r="E36" s="54">
        <v>59.783313999999997</v>
      </c>
      <c r="F36" s="54">
        <v>64.222374000000002</v>
      </c>
      <c r="G36" s="54">
        <v>65.997482000000005</v>
      </c>
      <c r="H36" s="54">
        <v>68.148635999999996</v>
      </c>
      <c r="I36" s="54">
        <v>72.759444999999999</v>
      </c>
      <c r="J36" s="54">
        <v>74.876166999999995</v>
      </c>
      <c r="K36" s="54">
        <v>76.446303999999998</v>
      </c>
      <c r="L36" s="54">
        <v>77.157302999999999</v>
      </c>
      <c r="M36" s="54">
        <v>78.145363000000003</v>
      </c>
      <c r="N36" s="54">
        <v>78.735664</v>
      </c>
      <c r="O36" s="54">
        <v>79.269256999999996</v>
      </c>
      <c r="P36" s="54">
        <v>79.864814999999993</v>
      </c>
      <c r="Q36" s="54">
        <v>80.311751999999998</v>
      </c>
      <c r="R36" s="54">
        <v>80.510566999999995</v>
      </c>
      <c r="S36" s="54">
        <v>80.643073999999999</v>
      </c>
      <c r="T36" s="54">
        <v>81.042243999999997</v>
      </c>
      <c r="U36" s="54">
        <v>80.790893999999994</v>
      </c>
      <c r="V36" s="54">
        <v>80.999863000000005</v>
      </c>
      <c r="W36" s="54">
        <v>81.213393999999994</v>
      </c>
      <c r="X36" s="54">
        <v>81.251564000000002</v>
      </c>
      <c r="Y36" s="54">
        <v>81.126784999999998</v>
      </c>
      <c r="Z36" s="54">
        <v>80.963654000000005</v>
      </c>
      <c r="AA36" s="54">
        <v>81.962256999999994</v>
      </c>
      <c r="AB36" s="54">
        <v>81.685669000000004</v>
      </c>
      <c r="AC36" s="54">
        <v>81.574020000000004</v>
      </c>
      <c r="AD36" s="54">
        <v>82.338425000000001</v>
      </c>
      <c r="AE36" s="54">
        <v>82.243483999999995</v>
      </c>
      <c r="AF36" s="50">
        <v>1.3446E-2</v>
      </c>
      <c r="AG36" s="21"/>
    </row>
    <row r="37" spans="1:33">
      <c r="A37" s="39" t="s">
        <v>74</v>
      </c>
      <c r="B37" s="48" t="s">
        <v>73</v>
      </c>
      <c r="C37" s="54">
        <v>36.263930999999999</v>
      </c>
      <c r="D37" s="54">
        <v>37.832123000000003</v>
      </c>
      <c r="E37" s="54">
        <v>39.014805000000003</v>
      </c>
      <c r="F37" s="54">
        <v>41.375152999999997</v>
      </c>
      <c r="G37" s="54">
        <v>42.876761999999999</v>
      </c>
      <c r="H37" s="54">
        <v>43.911583</v>
      </c>
      <c r="I37" s="54">
        <v>45.953789</v>
      </c>
      <c r="J37" s="54">
        <v>46.678477999999998</v>
      </c>
      <c r="K37" s="54">
        <v>47.207011999999999</v>
      </c>
      <c r="L37" s="54">
        <v>47.518374999999999</v>
      </c>
      <c r="M37" s="54">
        <v>47.939487</v>
      </c>
      <c r="N37" s="54">
        <v>48.362620999999997</v>
      </c>
      <c r="O37" s="54">
        <v>48.779860999999997</v>
      </c>
      <c r="P37" s="54">
        <v>49.233046999999999</v>
      </c>
      <c r="Q37" s="54">
        <v>49.585566999999998</v>
      </c>
      <c r="R37" s="54">
        <v>49.838344999999997</v>
      </c>
      <c r="S37" s="54">
        <v>50.048076999999999</v>
      </c>
      <c r="T37" s="54">
        <v>50.325744999999998</v>
      </c>
      <c r="U37" s="54">
        <v>50.338009</v>
      </c>
      <c r="V37" s="54">
        <v>50.426777000000001</v>
      </c>
      <c r="W37" s="54">
        <v>50.517310999999999</v>
      </c>
      <c r="X37" s="54">
        <v>50.542614</v>
      </c>
      <c r="Y37" s="54">
        <v>50.50412</v>
      </c>
      <c r="Z37" s="54">
        <v>50.459384999999997</v>
      </c>
      <c r="AA37" s="54">
        <v>50.618049999999997</v>
      </c>
      <c r="AB37" s="54">
        <v>50.565734999999997</v>
      </c>
      <c r="AC37" s="54">
        <v>50.535651999999999</v>
      </c>
      <c r="AD37" s="54">
        <v>50.739390999999998</v>
      </c>
      <c r="AE37" s="54">
        <v>50.721836000000003</v>
      </c>
      <c r="AF37" s="50">
        <v>1.2055E-2</v>
      </c>
      <c r="AG37" s="21"/>
    </row>
    <row r="38" spans="1:33">
      <c r="A38" s="39" t="s">
        <v>72</v>
      </c>
      <c r="B38" s="48" t="s">
        <v>71</v>
      </c>
      <c r="C38" s="54">
        <v>37.621077999999997</v>
      </c>
      <c r="D38" s="54">
        <v>38.382415999999999</v>
      </c>
      <c r="E38" s="54">
        <v>39.075671999999997</v>
      </c>
      <c r="F38" s="54">
        <v>40.794502000000001</v>
      </c>
      <c r="G38" s="54">
        <v>41.684994000000003</v>
      </c>
      <c r="H38" s="54">
        <v>42.387779000000002</v>
      </c>
      <c r="I38" s="54">
        <v>43.992404999999998</v>
      </c>
      <c r="J38" s="54">
        <v>44.482399000000001</v>
      </c>
      <c r="K38" s="54">
        <v>44.828845999999999</v>
      </c>
      <c r="L38" s="54">
        <v>45.012852000000002</v>
      </c>
      <c r="M38" s="54">
        <v>45.295108999999997</v>
      </c>
      <c r="N38" s="54">
        <v>45.549660000000003</v>
      </c>
      <c r="O38" s="54">
        <v>45.800465000000003</v>
      </c>
      <c r="P38" s="54">
        <v>46.072913999999997</v>
      </c>
      <c r="Q38" s="54">
        <v>46.308185999999999</v>
      </c>
      <c r="R38" s="54">
        <v>46.454895</v>
      </c>
      <c r="S38" s="54">
        <v>46.573441000000003</v>
      </c>
      <c r="T38" s="54">
        <v>46.763412000000002</v>
      </c>
      <c r="U38" s="54">
        <v>46.743324000000001</v>
      </c>
      <c r="V38" s="54">
        <v>46.781216000000001</v>
      </c>
      <c r="W38" s="54">
        <v>46.812752000000003</v>
      </c>
      <c r="X38" s="54">
        <v>46.781078000000001</v>
      </c>
      <c r="Y38" s="54">
        <v>46.720787000000001</v>
      </c>
      <c r="Z38" s="54">
        <v>46.649310999999997</v>
      </c>
      <c r="AA38" s="54">
        <v>46.812587999999998</v>
      </c>
      <c r="AB38" s="54">
        <v>46.721981</v>
      </c>
      <c r="AC38" s="54">
        <v>46.686661000000001</v>
      </c>
      <c r="AD38" s="54">
        <v>46.844208000000002</v>
      </c>
      <c r="AE38" s="54">
        <v>46.809134999999998</v>
      </c>
      <c r="AF38" s="50">
        <v>7.835E-3</v>
      </c>
      <c r="AG38" s="21"/>
    </row>
    <row r="39" spans="1:33">
      <c r="A39" s="39" t="s">
        <v>70</v>
      </c>
      <c r="B39" s="48" t="s">
        <v>69</v>
      </c>
      <c r="C39" s="54">
        <v>49.658656999999998</v>
      </c>
      <c r="D39" s="54">
        <v>50.63982</v>
      </c>
      <c r="E39" s="54">
        <v>51.418788999999997</v>
      </c>
      <c r="F39" s="54">
        <v>54.041266999999998</v>
      </c>
      <c r="G39" s="54">
        <v>54.808311000000003</v>
      </c>
      <c r="H39" s="54">
        <v>55.812793999999997</v>
      </c>
      <c r="I39" s="54">
        <v>58.414130999999998</v>
      </c>
      <c r="J39" s="54">
        <v>59.295653999999999</v>
      </c>
      <c r="K39" s="54">
        <v>59.885936999999998</v>
      </c>
      <c r="L39" s="54">
        <v>60.128425999999997</v>
      </c>
      <c r="M39" s="54">
        <v>60.482559000000002</v>
      </c>
      <c r="N39" s="54">
        <v>60.696911</v>
      </c>
      <c r="O39" s="54">
        <v>60.896141</v>
      </c>
      <c r="P39" s="54">
        <v>61.139969000000001</v>
      </c>
      <c r="Q39" s="54">
        <v>61.342109999999998</v>
      </c>
      <c r="R39" s="54">
        <v>61.456459000000002</v>
      </c>
      <c r="S39" s="54">
        <v>61.545490000000001</v>
      </c>
      <c r="T39" s="54">
        <v>61.791069</v>
      </c>
      <c r="U39" s="54">
        <v>61.720492999999998</v>
      </c>
      <c r="V39" s="54">
        <v>61.820892000000001</v>
      </c>
      <c r="W39" s="54">
        <v>61.909644999999998</v>
      </c>
      <c r="X39" s="54">
        <v>61.923454</v>
      </c>
      <c r="Y39" s="54">
        <v>61.848678999999997</v>
      </c>
      <c r="Z39" s="54">
        <v>61.762374999999999</v>
      </c>
      <c r="AA39" s="54">
        <v>62.120818999999997</v>
      </c>
      <c r="AB39" s="54">
        <v>61.989952000000002</v>
      </c>
      <c r="AC39" s="54">
        <v>61.932670999999999</v>
      </c>
      <c r="AD39" s="54">
        <v>62.331699</v>
      </c>
      <c r="AE39" s="54">
        <v>62.272804000000001</v>
      </c>
      <c r="AF39" s="50">
        <v>8.1169999999999992E-3</v>
      </c>
      <c r="AG39" s="21"/>
    </row>
    <row r="40" spans="1:33">
      <c r="A40" s="39" t="s">
        <v>68</v>
      </c>
      <c r="B40" s="48" t="s">
        <v>67</v>
      </c>
      <c r="C40" s="54">
        <v>32.951321</v>
      </c>
      <c r="D40" s="54">
        <v>33.825710000000001</v>
      </c>
      <c r="E40" s="54">
        <v>34.570250999999999</v>
      </c>
      <c r="F40" s="54">
        <v>36.235542000000002</v>
      </c>
      <c r="G40" s="54">
        <v>37.203814999999999</v>
      </c>
      <c r="H40" s="54">
        <v>37.859802000000002</v>
      </c>
      <c r="I40" s="54">
        <v>39.251300999999998</v>
      </c>
      <c r="J40" s="54">
        <v>39.654640000000001</v>
      </c>
      <c r="K40" s="54">
        <v>39.942870999999997</v>
      </c>
      <c r="L40" s="54">
        <v>40.123778999999999</v>
      </c>
      <c r="M40" s="54">
        <v>40.372107999999997</v>
      </c>
      <c r="N40" s="54">
        <v>40.635685000000002</v>
      </c>
      <c r="O40" s="54">
        <v>40.898228000000003</v>
      </c>
      <c r="P40" s="54">
        <v>41.187041999999998</v>
      </c>
      <c r="Q40" s="54">
        <v>41.415565000000001</v>
      </c>
      <c r="R40" s="54">
        <v>41.589336000000003</v>
      </c>
      <c r="S40" s="54">
        <v>41.735809000000003</v>
      </c>
      <c r="T40" s="54">
        <v>41.930031</v>
      </c>
      <c r="U40" s="54">
        <v>41.954326999999999</v>
      </c>
      <c r="V40" s="54">
        <v>42.014381</v>
      </c>
      <c r="W40" s="54">
        <v>42.070942000000002</v>
      </c>
      <c r="X40" s="54">
        <v>42.089371</v>
      </c>
      <c r="Y40" s="54">
        <v>42.062252000000001</v>
      </c>
      <c r="Z40" s="54">
        <v>42.034523</v>
      </c>
      <c r="AA40" s="54">
        <v>42.106945000000003</v>
      </c>
      <c r="AB40" s="54">
        <v>42.074627</v>
      </c>
      <c r="AC40" s="54">
        <v>42.053328999999998</v>
      </c>
      <c r="AD40" s="54">
        <v>42.192115999999999</v>
      </c>
      <c r="AE40" s="54">
        <v>42.175429999999999</v>
      </c>
      <c r="AF40" s="50">
        <v>8.8529999999999998E-3</v>
      </c>
      <c r="AG40" s="21"/>
    </row>
    <row r="41" spans="1:33">
      <c r="A41" s="39" t="s">
        <v>66</v>
      </c>
      <c r="B41" s="48" t="s">
        <v>65</v>
      </c>
      <c r="C41" s="54">
        <v>30.687853</v>
      </c>
      <c r="D41" s="54">
        <v>31.308468000000001</v>
      </c>
      <c r="E41" s="54">
        <v>31.873774999999998</v>
      </c>
      <c r="F41" s="54">
        <v>33.275241999999999</v>
      </c>
      <c r="G41" s="54">
        <v>34.001517999999997</v>
      </c>
      <c r="H41" s="54">
        <v>34.574638</v>
      </c>
      <c r="I41" s="54">
        <v>35.883228000000003</v>
      </c>
      <c r="J41" s="54">
        <v>36.282809999999998</v>
      </c>
      <c r="K41" s="54">
        <v>36.565350000000002</v>
      </c>
      <c r="L41" s="54">
        <v>36.715401</v>
      </c>
      <c r="M41" s="54">
        <v>36.945652000000003</v>
      </c>
      <c r="N41" s="54">
        <v>37.153278</v>
      </c>
      <c r="O41" s="54">
        <v>37.357868000000003</v>
      </c>
      <c r="P41" s="54">
        <v>37.580081999999997</v>
      </c>
      <c r="Q41" s="54">
        <v>37.772025999999997</v>
      </c>
      <c r="R41" s="54">
        <v>37.891651000000003</v>
      </c>
      <c r="S41" s="54">
        <v>37.988308000000004</v>
      </c>
      <c r="T41" s="54">
        <v>38.143211000000001</v>
      </c>
      <c r="U41" s="54">
        <v>38.126759</v>
      </c>
      <c r="V41" s="54">
        <v>38.157573999999997</v>
      </c>
      <c r="W41" s="54">
        <v>38.183200999999997</v>
      </c>
      <c r="X41" s="54">
        <v>38.157218999999998</v>
      </c>
      <c r="Y41" s="54">
        <v>38.107975000000003</v>
      </c>
      <c r="Z41" s="54">
        <v>38.049587000000002</v>
      </c>
      <c r="AA41" s="54">
        <v>38.182837999999997</v>
      </c>
      <c r="AB41" s="54">
        <v>38.108822000000004</v>
      </c>
      <c r="AC41" s="54">
        <v>38.080002</v>
      </c>
      <c r="AD41" s="54">
        <v>38.208388999999997</v>
      </c>
      <c r="AE41" s="54">
        <v>38.179749000000001</v>
      </c>
      <c r="AF41" s="50">
        <v>7.8320000000000004E-3</v>
      </c>
      <c r="AG41" s="21"/>
    </row>
    <row r="42" spans="1:33">
      <c r="A42" s="39" t="s">
        <v>64</v>
      </c>
      <c r="B42" s="48" t="s">
        <v>63</v>
      </c>
      <c r="C42" s="54">
        <v>40.552002000000002</v>
      </c>
      <c r="D42" s="54">
        <v>41.353237</v>
      </c>
      <c r="E42" s="54">
        <v>41.989353000000001</v>
      </c>
      <c r="F42" s="54">
        <v>44.130909000000003</v>
      </c>
      <c r="G42" s="54">
        <v>44.757289999999998</v>
      </c>
      <c r="H42" s="54">
        <v>45.577564000000002</v>
      </c>
      <c r="I42" s="54">
        <v>47.701855000000002</v>
      </c>
      <c r="J42" s="54">
        <v>48.421719000000003</v>
      </c>
      <c r="K42" s="54">
        <v>48.903754999999997</v>
      </c>
      <c r="L42" s="54">
        <v>49.101771999999997</v>
      </c>
      <c r="M42" s="54">
        <v>49.390965000000001</v>
      </c>
      <c r="N42" s="54">
        <v>49.566006000000002</v>
      </c>
      <c r="O42" s="54">
        <v>49.728703000000003</v>
      </c>
      <c r="P42" s="54">
        <v>49.927813999999998</v>
      </c>
      <c r="Q42" s="54">
        <v>50.092888000000002</v>
      </c>
      <c r="R42" s="54">
        <v>50.186264000000001</v>
      </c>
      <c r="S42" s="54">
        <v>50.258968000000003</v>
      </c>
      <c r="T42" s="54">
        <v>50.459515000000003</v>
      </c>
      <c r="U42" s="54">
        <v>50.401878000000004</v>
      </c>
      <c r="V42" s="54">
        <v>50.483868000000001</v>
      </c>
      <c r="W42" s="54">
        <v>50.556342999999998</v>
      </c>
      <c r="X42" s="54">
        <v>50.567619000000001</v>
      </c>
      <c r="Y42" s="54">
        <v>50.506557000000001</v>
      </c>
      <c r="Z42" s="54">
        <v>50.436081000000001</v>
      </c>
      <c r="AA42" s="54">
        <v>50.728789999999996</v>
      </c>
      <c r="AB42" s="54">
        <v>50.621924999999997</v>
      </c>
      <c r="AC42" s="54">
        <v>50.575145999999997</v>
      </c>
      <c r="AD42" s="54">
        <v>50.901001000000001</v>
      </c>
      <c r="AE42" s="54">
        <v>50.852905</v>
      </c>
      <c r="AF42" s="50">
        <v>8.1169999999999992E-3</v>
      </c>
      <c r="AG42" s="21"/>
    </row>
    <row r="43" spans="1:33">
      <c r="A43" s="39" t="s">
        <v>62</v>
      </c>
      <c r="B43" s="48" t="s">
        <v>61</v>
      </c>
      <c r="C43" s="54">
        <v>26.867122999999999</v>
      </c>
      <c r="D43" s="54">
        <v>27.580062999999999</v>
      </c>
      <c r="E43" s="54">
        <v>28.18713</v>
      </c>
      <c r="F43" s="54">
        <v>29.544938999999999</v>
      </c>
      <c r="G43" s="54">
        <v>30.334429</v>
      </c>
      <c r="H43" s="54">
        <v>30.869291</v>
      </c>
      <c r="I43" s="54">
        <v>32.003860000000003</v>
      </c>
      <c r="J43" s="54">
        <v>32.332729</v>
      </c>
      <c r="K43" s="54">
        <v>32.567737999999999</v>
      </c>
      <c r="L43" s="54">
        <v>32.715243999999998</v>
      </c>
      <c r="M43" s="54">
        <v>32.917721</v>
      </c>
      <c r="N43" s="54">
        <v>33.132629000000001</v>
      </c>
      <c r="O43" s="54">
        <v>33.346694999999997</v>
      </c>
      <c r="P43" s="54">
        <v>33.582183999999998</v>
      </c>
      <c r="Q43" s="54">
        <v>33.768512999999999</v>
      </c>
      <c r="R43" s="54">
        <v>33.910198000000001</v>
      </c>
      <c r="S43" s="54">
        <v>34.029625000000003</v>
      </c>
      <c r="T43" s="54">
        <v>34.187984</v>
      </c>
      <c r="U43" s="54">
        <v>34.207794</v>
      </c>
      <c r="V43" s="54">
        <v>34.25676</v>
      </c>
      <c r="W43" s="54">
        <v>34.302878999999997</v>
      </c>
      <c r="X43" s="54">
        <v>34.317905000000003</v>
      </c>
      <c r="Y43" s="54">
        <v>34.295791999999999</v>
      </c>
      <c r="Z43" s="54">
        <v>34.273186000000003</v>
      </c>
      <c r="AA43" s="54">
        <v>34.332233000000002</v>
      </c>
      <c r="AB43" s="54">
        <v>34.305881999999997</v>
      </c>
      <c r="AC43" s="54">
        <v>34.288516999999999</v>
      </c>
      <c r="AD43" s="54">
        <v>34.401679999999999</v>
      </c>
      <c r="AE43" s="54">
        <v>34.388072999999999</v>
      </c>
      <c r="AF43" s="50">
        <v>8.8529999999999998E-3</v>
      </c>
      <c r="AG43" s="21"/>
    </row>
    <row r="44" spans="1:33">
      <c r="A44" s="39" t="s">
        <v>60</v>
      </c>
      <c r="B44" s="48" t="s">
        <v>59</v>
      </c>
      <c r="C44" s="54">
        <v>24.416388999999999</v>
      </c>
      <c r="D44" s="54">
        <v>24.836956000000001</v>
      </c>
      <c r="E44" s="54">
        <v>25.286928</v>
      </c>
      <c r="F44" s="54">
        <v>25.785551000000002</v>
      </c>
      <c r="G44" s="54">
        <v>26.309719000000001</v>
      </c>
      <c r="H44" s="54">
        <v>26.853071</v>
      </c>
      <c r="I44" s="54">
        <v>27.439551999999999</v>
      </c>
      <c r="J44" s="54">
        <v>28.039261</v>
      </c>
      <c r="K44" s="54">
        <v>28.645572999999999</v>
      </c>
      <c r="L44" s="54">
        <v>29.223606</v>
      </c>
      <c r="M44" s="54">
        <v>29.795773000000001</v>
      </c>
      <c r="N44" s="54">
        <v>30.329742</v>
      </c>
      <c r="O44" s="54">
        <v>30.858115999999999</v>
      </c>
      <c r="P44" s="54">
        <v>31.383734</v>
      </c>
      <c r="Q44" s="54">
        <v>31.896933000000001</v>
      </c>
      <c r="R44" s="54">
        <v>32.386234000000002</v>
      </c>
      <c r="S44" s="54">
        <v>32.857269000000002</v>
      </c>
      <c r="T44" s="54">
        <v>33.317824999999999</v>
      </c>
      <c r="U44" s="54">
        <v>33.744926</v>
      </c>
      <c r="V44" s="54">
        <v>34.150565999999998</v>
      </c>
      <c r="W44" s="54">
        <v>34.526347999999999</v>
      </c>
      <c r="X44" s="54">
        <v>34.855293000000003</v>
      </c>
      <c r="Y44" s="54">
        <v>35.133709000000003</v>
      </c>
      <c r="Z44" s="54">
        <v>35.376598000000001</v>
      </c>
      <c r="AA44" s="54">
        <v>35.587673000000002</v>
      </c>
      <c r="AB44" s="54">
        <v>35.763168</v>
      </c>
      <c r="AC44" s="54">
        <v>35.911662999999997</v>
      </c>
      <c r="AD44" s="54">
        <v>36.041504000000003</v>
      </c>
      <c r="AE44" s="54">
        <v>36.145099999999999</v>
      </c>
      <c r="AF44" s="50">
        <v>1.4109E-2</v>
      </c>
      <c r="AG44" s="21"/>
    </row>
    <row r="45" spans="1:33">
      <c r="A45" s="39" t="s">
        <v>58</v>
      </c>
      <c r="B45" s="48" t="s">
        <v>57</v>
      </c>
      <c r="C45" s="54">
        <v>15.821263</v>
      </c>
      <c r="D45" s="54">
        <v>16.131247999999999</v>
      </c>
      <c r="E45" s="54">
        <v>16.678804</v>
      </c>
      <c r="F45" s="54">
        <v>17.193453000000002</v>
      </c>
      <c r="G45" s="54">
        <v>17.382670999999998</v>
      </c>
      <c r="H45" s="54">
        <v>17.655719999999999</v>
      </c>
      <c r="I45" s="54">
        <v>17.641428000000001</v>
      </c>
      <c r="J45" s="54">
        <v>17.714843999999999</v>
      </c>
      <c r="K45" s="54">
        <v>17.746100999999999</v>
      </c>
      <c r="L45" s="54">
        <v>17.752108</v>
      </c>
      <c r="M45" s="54">
        <v>17.726762999999998</v>
      </c>
      <c r="N45" s="54">
        <v>17.703925999999999</v>
      </c>
      <c r="O45" s="54">
        <v>17.685976</v>
      </c>
      <c r="P45" s="54">
        <v>17.669809000000001</v>
      </c>
      <c r="Q45" s="54">
        <v>17.656127999999999</v>
      </c>
      <c r="R45" s="54">
        <v>17.644224000000001</v>
      </c>
      <c r="S45" s="54">
        <v>17.635103000000001</v>
      </c>
      <c r="T45" s="54">
        <v>17.627134000000002</v>
      </c>
      <c r="U45" s="54">
        <v>17.621216</v>
      </c>
      <c r="V45" s="54">
        <v>17.615825999999998</v>
      </c>
      <c r="W45" s="54">
        <v>17.612106000000001</v>
      </c>
      <c r="X45" s="54">
        <v>17.608646</v>
      </c>
      <c r="Y45" s="54">
        <v>17.607035</v>
      </c>
      <c r="Z45" s="54">
        <v>17.606117000000001</v>
      </c>
      <c r="AA45" s="54">
        <v>17.607099999999999</v>
      </c>
      <c r="AB45" s="54">
        <v>17.455801000000001</v>
      </c>
      <c r="AC45" s="54">
        <v>17.469227</v>
      </c>
      <c r="AD45" s="54">
        <v>17.484673999999998</v>
      </c>
      <c r="AE45" s="54">
        <v>17.514999</v>
      </c>
      <c r="AF45" s="50">
        <v>3.6389999999999999E-3</v>
      </c>
      <c r="AG45" s="21"/>
    </row>
    <row r="46" spans="1:33">
      <c r="A46" s="39" t="s">
        <v>56</v>
      </c>
      <c r="B46" s="48" t="s">
        <v>55</v>
      </c>
      <c r="C46" s="54">
        <v>13.428094</v>
      </c>
      <c r="D46" s="54">
        <v>13.70518</v>
      </c>
      <c r="E46" s="54">
        <v>13.988607999999999</v>
      </c>
      <c r="F46" s="54">
        <v>14.298017</v>
      </c>
      <c r="G46" s="54">
        <v>14.623931000000001</v>
      </c>
      <c r="H46" s="54">
        <v>14.947717000000001</v>
      </c>
      <c r="I46" s="54">
        <v>15.224836</v>
      </c>
      <c r="J46" s="54">
        <v>15.477124999999999</v>
      </c>
      <c r="K46" s="54">
        <v>15.708449999999999</v>
      </c>
      <c r="L46" s="54">
        <v>15.906402999999999</v>
      </c>
      <c r="M46" s="54">
        <v>16.084123999999999</v>
      </c>
      <c r="N46" s="54">
        <v>16.239180000000001</v>
      </c>
      <c r="O46" s="54">
        <v>16.374127999999999</v>
      </c>
      <c r="P46" s="54">
        <v>16.504307000000001</v>
      </c>
      <c r="Q46" s="54">
        <v>16.623000999999999</v>
      </c>
      <c r="R46" s="54">
        <v>16.732641000000001</v>
      </c>
      <c r="S46" s="54">
        <v>16.834803000000001</v>
      </c>
      <c r="T46" s="54">
        <v>16.930444999999999</v>
      </c>
      <c r="U46" s="54">
        <v>17.012526000000001</v>
      </c>
      <c r="V46" s="54">
        <v>17.084282000000002</v>
      </c>
      <c r="W46" s="54">
        <v>17.141766000000001</v>
      </c>
      <c r="X46" s="54">
        <v>17.21096</v>
      </c>
      <c r="Y46" s="54">
        <v>17.279800000000002</v>
      </c>
      <c r="Z46" s="54">
        <v>17.324511999999999</v>
      </c>
      <c r="AA46" s="54">
        <v>17.374506</v>
      </c>
      <c r="AB46" s="54">
        <v>17.402925</v>
      </c>
      <c r="AC46" s="54">
        <v>17.441884999999999</v>
      </c>
      <c r="AD46" s="54">
        <v>17.468942999999999</v>
      </c>
      <c r="AE46" s="54">
        <v>17.502464</v>
      </c>
      <c r="AF46" s="50">
        <v>9.5090000000000001E-3</v>
      </c>
      <c r="AG46" s="21"/>
    </row>
    <row r="47" spans="1:33">
      <c r="A47" s="39" t="s">
        <v>54</v>
      </c>
      <c r="B47" s="48" t="s">
        <v>53</v>
      </c>
      <c r="C47" s="54">
        <v>7.4724060000000003</v>
      </c>
      <c r="D47" s="54">
        <v>7.5785289999999996</v>
      </c>
      <c r="E47" s="54">
        <v>7.7053229999999999</v>
      </c>
      <c r="F47" s="54">
        <v>7.8485899999999997</v>
      </c>
      <c r="G47" s="54">
        <v>8.002383</v>
      </c>
      <c r="H47" s="54">
        <v>8.1636769999999999</v>
      </c>
      <c r="I47" s="54">
        <v>8.3212849999999996</v>
      </c>
      <c r="J47" s="54">
        <v>8.4797550000000008</v>
      </c>
      <c r="K47" s="54">
        <v>8.6382940000000001</v>
      </c>
      <c r="L47" s="54">
        <v>8.7959300000000002</v>
      </c>
      <c r="M47" s="54">
        <v>8.9485489999999999</v>
      </c>
      <c r="N47" s="54">
        <v>9.0909969999999998</v>
      </c>
      <c r="O47" s="54">
        <v>9.2225160000000006</v>
      </c>
      <c r="P47" s="54">
        <v>9.3430680000000006</v>
      </c>
      <c r="Q47" s="54">
        <v>9.4533149999999999</v>
      </c>
      <c r="R47" s="54">
        <v>9.5530629999999999</v>
      </c>
      <c r="S47" s="54">
        <v>9.6434440000000006</v>
      </c>
      <c r="T47" s="54">
        <v>9.7267100000000006</v>
      </c>
      <c r="U47" s="54">
        <v>9.8045930000000006</v>
      </c>
      <c r="V47" s="54">
        <v>9.8772749999999991</v>
      </c>
      <c r="W47" s="54">
        <v>9.9424309999999991</v>
      </c>
      <c r="X47" s="54">
        <v>10.001567</v>
      </c>
      <c r="Y47" s="54">
        <v>10.055840999999999</v>
      </c>
      <c r="Z47" s="54">
        <v>10.108454</v>
      </c>
      <c r="AA47" s="54">
        <v>10.161227999999999</v>
      </c>
      <c r="AB47" s="54">
        <v>10.213310999999999</v>
      </c>
      <c r="AC47" s="54">
        <v>10.263764</v>
      </c>
      <c r="AD47" s="54">
        <v>10.314513</v>
      </c>
      <c r="AE47" s="54">
        <v>10.365861000000001</v>
      </c>
      <c r="AF47" s="50">
        <v>1.1757999999999999E-2</v>
      </c>
      <c r="AG47" s="21"/>
    </row>
    <row r="48" spans="1:33">
      <c r="A48" s="9"/>
      <c r="B48" s="47" t="s">
        <v>52</v>
      </c>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row>
    <row r="49" spans="1:33">
      <c r="A49" s="39" t="s">
        <v>51</v>
      </c>
      <c r="B49" s="48" t="s">
        <v>50</v>
      </c>
      <c r="C49" s="54">
        <v>72.717087000000006</v>
      </c>
      <c r="D49" s="54">
        <v>73.091971999999998</v>
      </c>
      <c r="E49" s="54">
        <v>73.492531</v>
      </c>
      <c r="F49" s="54">
        <v>74.018456</v>
      </c>
      <c r="G49" s="54">
        <v>74.683121</v>
      </c>
      <c r="H49" s="54">
        <v>75.131766999999996</v>
      </c>
      <c r="I49" s="54">
        <v>75.592140000000001</v>
      </c>
      <c r="J49" s="54">
        <v>76.024017000000001</v>
      </c>
      <c r="K49" s="54">
        <v>76.492362999999997</v>
      </c>
      <c r="L49" s="54">
        <v>77.014213999999996</v>
      </c>
      <c r="M49" s="54">
        <v>77.600960000000001</v>
      </c>
      <c r="N49" s="54">
        <v>78.266677999999999</v>
      </c>
      <c r="O49" s="54">
        <v>78.981505999999996</v>
      </c>
      <c r="P49" s="54">
        <v>79.730591000000004</v>
      </c>
      <c r="Q49" s="54">
        <v>80.489220000000003</v>
      </c>
      <c r="R49" s="54">
        <v>81.260979000000006</v>
      </c>
      <c r="S49" s="54">
        <v>82.048454000000007</v>
      </c>
      <c r="T49" s="54">
        <v>82.814575000000005</v>
      </c>
      <c r="U49" s="54">
        <v>83.594772000000006</v>
      </c>
      <c r="V49" s="54">
        <v>84.382309000000006</v>
      </c>
      <c r="W49" s="54">
        <v>85.171204000000003</v>
      </c>
      <c r="X49" s="54">
        <v>85.974022000000005</v>
      </c>
      <c r="Y49" s="54">
        <v>86.764037999999999</v>
      </c>
      <c r="Z49" s="54">
        <v>87.549926999999997</v>
      </c>
      <c r="AA49" s="54">
        <v>88.321090999999996</v>
      </c>
      <c r="AB49" s="54">
        <v>89.091155999999998</v>
      </c>
      <c r="AC49" s="54">
        <v>89.849761999999998</v>
      </c>
      <c r="AD49" s="54">
        <v>90.593376000000006</v>
      </c>
      <c r="AE49" s="54">
        <v>91.328147999999999</v>
      </c>
      <c r="AF49" s="50">
        <v>8.1720000000000004E-3</v>
      </c>
      <c r="AG49" s="21"/>
    </row>
    <row r="50" spans="1:33" ht="15" customHeight="1">
      <c r="A50" s="9"/>
      <c r="B50" s="47" t="s">
        <v>49</v>
      </c>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row>
    <row r="51" spans="1:33" ht="15" customHeight="1">
      <c r="A51" s="39" t="s">
        <v>48</v>
      </c>
      <c r="B51" s="48" t="s">
        <v>47</v>
      </c>
      <c r="C51" s="54">
        <v>3.3663400000000001</v>
      </c>
      <c r="D51" s="54">
        <v>3.3698929999999998</v>
      </c>
      <c r="E51" s="54">
        <v>3.3734500000000001</v>
      </c>
      <c r="F51" s="54">
        <v>3.3770099999999998</v>
      </c>
      <c r="G51" s="54">
        <v>3.3805740000000002</v>
      </c>
      <c r="H51" s="54">
        <v>3.3841420000000002</v>
      </c>
      <c r="I51" s="54">
        <v>3.3877130000000002</v>
      </c>
      <c r="J51" s="54">
        <v>3.391289</v>
      </c>
      <c r="K51" s="54">
        <v>3.3948680000000002</v>
      </c>
      <c r="L51" s="54">
        <v>3.3984510000000001</v>
      </c>
      <c r="M51" s="54">
        <v>3.402037</v>
      </c>
      <c r="N51" s="54">
        <v>3.4056280000000001</v>
      </c>
      <c r="O51" s="54">
        <v>3.4092220000000002</v>
      </c>
      <c r="P51" s="54">
        <v>3.41282</v>
      </c>
      <c r="Q51" s="54">
        <v>3.4164219999999998</v>
      </c>
      <c r="R51" s="54">
        <v>3.4200270000000002</v>
      </c>
      <c r="S51" s="54">
        <v>3.4236369999999998</v>
      </c>
      <c r="T51" s="54">
        <v>3.4272499999999999</v>
      </c>
      <c r="U51" s="54">
        <v>3.4308670000000001</v>
      </c>
      <c r="V51" s="54">
        <v>3.434488</v>
      </c>
      <c r="W51" s="54">
        <v>3.438113</v>
      </c>
      <c r="X51" s="54">
        <v>3.4417409999999999</v>
      </c>
      <c r="Y51" s="54">
        <v>3.445373</v>
      </c>
      <c r="Z51" s="54">
        <v>3.4490099999999999</v>
      </c>
      <c r="AA51" s="54">
        <v>3.4526490000000001</v>
      </c>
      <c r="AB51" s="54">
        <v>3.4562930000000001</v>
      </c>
      <c r="AC51" s="54">
        <v>3.4599410000000002</v>
      </c>
      <c r="AD51" s="54">
        <v>3.4635929999999999</v>
      </c>
      <c r="AE51" s="54">
        <v>3.4672480000000001</v>
      </c>
      <c r="AF51" s="50">
        <v>1.0549999999999999E-3</v>
      </c>
      <c r="AG51" s="21"/>
    </row>
    <row r="52" spans="1:33" ht="15" customHeight="1">
      <c r="A52" s="39" t="s">
        <v>46</v>
      </c>
      <c r="B52" s="48" t="s">
        <v>45</v>
      </c>
      <c r="C52" s="54">
        <v>4.8202259999999999</v>
      </c>
      <c r="D52" s="54">
        <v>4.8389660000000001</v>
      </c>
      <c r="E52" s="54">
        <v>4.8577789999999998</v>
      </c>
      <c r="F52" s="54">
        <v>4.876665</v>
      </c>
      <c r="G52" s="54">
        <v>4.8956239999999998</v>
      </c>
      <c r="H52" s="54">
        <v>4.9146570000000001</v>
      </c>
      <c r="I52" s="54">
        <v>4.933764</v>
      </c>
      <c r="J52" s="54">
        <v>4.9529449999999997</v>
      </c>
      <c r="K52" s="54">
        <v>4.9722</v>
      </c>
      <c r="L52" s="54">
        <v>4.9915310000000002</v>
      </c>
      <c r="M52" s="54">
        <v>5.0109370000000002</v>
      </c>
      <c r="N52" s="54">
        <v>5.0304180000000001</v>
      </c>
      <c r="O52" s="54">
        <v>5.0499749999999999</v>
      </c>
      <c r="P52" s="54">
        <v>5.0696079999999997</v>
      </c>
      <c r="Q52" s="54">
        <v>5.0893170000000003</v>
      </c>
      <c r="R52" s="54">
        <v>5.1091030000000002</v>
      </c>
      <c r="S52" s="54">
        <v>5.1289660000000001</v>
      </c>
      <c r="T52" s="54">
        <v>5.1489060000000002</v>
      </c>
      <c r="U52" s="54">
        <v>5.1689230000000004</v>
      </c>
      <c r="V52" s="54">
        <v>5.189019</v>
      </c>
      <c r="W52" s="54">
        <v>5.2091919999999998</v>
      </c>
      <c r="X52" s="54">
        <v>5.2294450000000001</v>
      </c>
      <c r="Y52" s="54">
        <v>5.2497749999999996</v>
      </c>
      <c r="Z52" s="54">
        <v>5.2701849999999997</v>
      </c>
      <c r="AA52" s="54">
        <v>5.2906740000000001</v>
      </c>
      <c r="AB52" s="54">
        <v>5.3112430000000002</v>
      </c>
      <c r="AC52" s="54">
        <v>5.3318919999999999</v>
      </c>
      <c r="AD52" s="54">
        <v>5.3526210000000001</v>
      </c>
      <c r="AE52" s="54">
        <v>5.3734299999999999</v>
      </c>
      <c r="AF52" s="50">
        <v>3.888E-3</v>
      </c>
      <c r="AG52" s="21"/>
    </row>
    <row r="53" spans="1:33" ht="15" customHeight="1">
      <c r="A53" s="9"/>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row>
    <row r="54" spans="1:33" ht="15" customHeight="1">
      <c r="A54" s="9"/>
      <c r="B54" s="47" t="s">
        <v>44</v>
      </c>
      <c r="C54" s="21"/>
      <c r="D54" s="21">
        <f>D65/$C$65</f>
        <v>1.0732693784233525</v>
      </c>
      <c r="E54" s="21">
        <f t="shared" ref="E54:AE54" si="0">E65/$C$65</f>
        <v>1.0886236231664816</v>
      </c>
      <c r="F54" s="21">
        <f t="shared" si="0"/>
        <v>1.0907315092578584</v>
      </c>
      <c r="G54" s="21">
        <f t="shared" si="0"/>
        <v>1.1045701310970997</v>
      </c>
      <c r="H54" s="21">
        <f t="shared" si="0"/>
        <v>1.1182453453822023</v>
      </c>
      <c r="I54" s="21">
        <f t="shared" si="0"/>
        <v>1.1290648521054598</v>
      </c>
      <c r="J54" s="21">
        <f t="shared" si="0"/>
        <v>1.1371124957542578</v>
      </c>
      <c r="K54" s="21">
        <f t="shared" si="0"/>
        <v>1.1427604031385667</v>
      </c>
      <c r="L54" s="21">
        <f t="shared" si="0"/>
        <v>1.1484136622986663</v>
      </c>
      <c r="M54" s="21">
        <f t="shared" si="0"/>
        <v>1.1573882335143897</v>
      </c>
      <c r="N54" s="21">
        <f t="shared" si="0"/>
        <v>1.1668469620466331</v>
      </c>
      <c r="O54" s="21">
        <f t="shared" si="0"/>
        <v>1.1753937479841643</v>
      </c>
      <c r="P54" s="21">
        <f t="shared" si="0"/>
        <v>1.1855696144723433</v>
      </c>
      <c r="Q54" s="21">
        <f t="shared" si="0"/>
        <v>1.1987353397021843</v>
      </c>
      <c r="R54" s="21">
        <f t="shared" si="0"/>
        <v>1.2144588569748622</v>
      </c>
      <c r="S54" s="21">
        <f t="shared" si="0"/>
        <v>1.2309697988588586</v>
      </c>
      <c r="T54" s="21">
        <f t="shared" si="0"/>
        <v>1.2482082254653191</v>
      </c>
      <c r="U54" s="21">
        <f t="shared" si="0"/>
        <v>1.268243846884981</v>
      </c>
      <c r="V54" s="21">
        <f t="shared" si="0"/>
        <v>1.2874242545333108</v>
      </c>
      <c r="W54" s="21">
        <f t="shared" si="0"/>
        <v>1.3069386129909719</v>
      </c>
      <c r="X54" s="21">
        <f t="shared" si="0"/>
        <v>1.3267498166124827</v>
      </c>
      <c r="Y54" s="21">
        <f t="shared" si="0"/>
        <v>1.3465103567565098</v>
      </c>
      <c r="Z54" s="21">
        <f t="shared" si="0"/>
        <v>1.3657442821627452</v>
      </c>
      <c r="AA54" s="21">
        <f t="shared" si="0"/>
        <v>1.384480849205511</v>
      </c>
      <c r="AB54" s="21">
        <f t="shared" si="0"/>
        <v>1.4045692748129732</v>
      </c>
      <c r="AC54" s="21">
        <f t="shared" si="0"/>
        <v>1.4248582136200552</v>
      </c>
      <c r="AD54" s="21">
        <f t="shared" si="0"/>
        <v>1.4448549454689723</v>
      </c>
      <c r="AE54" s="21">
        <f t="shared" si="0"/>
        <v>1.4671565087583593</v>
      </c>
      <c r="AF54" s="21"/>
      <c r="AG54" s="21"/>
    </row>
    <row r="55" spans="1:33" ht="15" customHeight="1">
      <c r="A55" s="9"/>
      <c r="B55" s="47" t="s">
        <v>43</v>
      </c>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row>
    <row r="56" spans="1:33" ht="15" customHeight="1">
      <c r="A56" s="39" t="s">
        <v>42</v>
      </c>
      <c r="B56" s="48" t="s">
        <v>26</v>
      </c>
      <c r="C56" s="49">
        <v>14.541973</v>
      </c>
      <c r="D56" s="49">
        <v>14.586114</v>
      </c>
      <c r="E56" s="49">
        <v>14.429691999999999</v>
      </c>
      <c r="F56" s="49">
        <v>14.201924999999999</v>
      </c>
      <c r="G56" s="49">
        <v>14.016909</v>
      </c>
      <c r="H56" s="49">
        <v>13.860763</v>
      </c>
      <c r="I56" s="49">
        <v>13.679087000000001</v>
      </c>
      <c r="J56" s="49">
        <v>13.473832</v>
      </c>
      <c r="K56" s="49">
        <v>13.253083</v>
      </c>
      <c r="L56" s="49">
        <v>13.044086</v>
      </c>
      <c r="M56" s="49">
        <v>12.836978</v>
      </c>
      <c r="N56" s="49">
        <v>12.674039</v>
      </c>
      <c r="O56" s="49">
        <v>12.534656</v>
      </c>
      <c r="P56" s="49">
        <v>12.394664000000001</v>
      </c>
      <c r="Q56" s="49">
        <v>12.251548</v>
      </c>
      <c r="R56" s="49">
        <v>12.130822</v>
      </c>
      <c r="S56" s="49">
        <v>12.028416</v>
      </c>
      <c r="T56" s="49">
        <v>11.933923</v>
      </c>
      <c r="U56" s="49">
        <v>11.864001</v>
      </c>
      <c r="V56" s="49">
        <v>11.805396</v>
      </c>
      <c r="W56" s="49">
        <v>11.762741999999999</v>
      </c>
      <c r="X56" s="49">
        <v>11.733644</v>
      </c>
      <c r="Y56" s="49">
        <v>11.725387</v>
      </c>
      <c r="Z56" s="49">
        <v>11.735775</v>
      </c>
      <c r="AA56" s="49">
        <v>11.770763000000001</v>
      </c>
      <c r="AB56" s="49">
        <v>11.824349</v>
      </c>
      <c r="AC56" s="49">
        <v>11.889715000000001</v>
      </c>
      <c r="AD56" s="49">
        <v>11.962910000000001</v>
      </c>
      <c r="AE56" s="49">
        <v>12.054455000000001</v>
      </c>
      <c r="AF56" s="50">
        <v>-6.6779999999999999E-3</v>
      </c>
      <c r="AG56" s="21"/>
    </row>
    <row r="57" spans="1:33" ht="15" customHeight="1">
      <c r="A57" s="39" t="s">
        <v>41</v>
      </c>
      <c r="B57" s="48" t="s">
        <v>24</v>
      </c>
      <c r="C57" s="49">
        <v>0.95150299999999999</v>
      </c>
      <c r="D57" s="49">
        <v>0.94255800000000001</v>
      </c>
      <c r="E57" s="49">
        <v>0.92534000000000005</v>
      </c>
      <c r="F57" s="49">
        <v>0.91245200000000004</v>
      </c>
      <c r="G57" s="49">
        <v>0.903111</v>
      </c>
      <c r="H57" s="49">
        <v>0.89480700000000002</v>
      </c>
      <c r="I57" s="49">
        <v>0.88838499999999998</v>
      </c>
      <c r="J57" s="49">
        <v>0.88299499999999997</v>
      </c>
      <c r="K57" s="49">
        <v>0.87703299999999995</v>
      </c>
      <c r="L57" s="49">
        <v>0.87279099999999998</v>
      </c>
      <c r="M57" s="49">
        <v>0.87179099999999998</v>
      </c>
      <c r="N57" s="49">
        <v>0.87186799999999998</v>
      </c>
      <c r="O57" s="49">
        <v>0.87303399999999998</v>
      </c>
      <c r="P57" s="49">
        <v>0.87507400000000002</v>
      </c>
      <c r="Q57" s="49">
        <v>0.87749999999999995</v>
      </c>
      <c r="R57" s="49">
        <v>0.881023</v>
      </c>
      <c r="S57" s="49">
        <v>0.88554100000000002</v>
      </c>
      <c r="T57" s="49">
        <v>0.88979600000000003</v>
      </c>
      <c r="U57" s="49">
        <v>0.896146</v>
      </c>
      <c r="V57" s="49">
        <v>0.90392399999999995</v>
      </c>
      <c r="W57" s="49">
        <v>0.91192099999999998</v>
      </c>
      <c r="X57" s="49">
        <v>0.91867500000000002</v>
      </c>
      <c r="Y57" s="49">
        <v>0.92472100000000002</v>
      </c>
      <c r="Z57" s="49">
        <v>0.93183000000000005</v>
      </c>
      <c r="AA57" s="49">
        <v>0.93994</v>
      </c>
      <c r="AB57" s="49">
        <v>0.94994999999999996</v>
      </c>
      <c r="AC57" s="49">
        <v>0.95831999999999995</v>
      </c>
      <c r="AD57" s="49">
        <v>0.96721000000000001</v>
      </c>
      <c r="AE57" s="49">
        <v>0.97889800000000005</v>
      </c>
      <c r="AF57" s="50">
        <v>1.0139999999999999E-3</v>
      </c>
      <c r="AG57" s="21"/>
    </row>
    <row r="58" spans="1:33" ht="15" customHeight="1">
      <c r="A58" s="39" t="s">
        <v>40</v>
      </c>
      <c r="B58" s="48" t="s">
        <v>22</v>
      </c>
      <c r="C58" s="49">
        <v>0.21216299999999999</v>
      </c>
      <c r="D58" s="49">
        <v>0.22231200000000001</v>
      </c>
      <c r="E58" s="49">
        <v>0.22695699999999999</v>
      </c>
      <c r="F58" s="49">
        <v>0.22801299999999999</v>
      </c>
      <c r="G58" s="49">
        <v>0.228798</v>
      </c>
      <c r="H58" s="49">
        <v>0.229238</v>
      </c>
      <c r="I58" s="49">
        <v>0.229403</v>
      </c>
      <c r="J58" s="49">
        <v>0.229156</v>
      </c>
      <c r="K58" s="49">
        <v>0.228548</v>
      </c>
      <c r="L58" s="49">
        <v>0.22755600000000001</v>
      </c>
      <c r="M58" s="49">
        <v>0.22653000000000001</v>
      </c>
      <c r="N58" s="49">
        <v>0.22600500000000001</v>
      </c>
      <c r="O58" s="49">
        <v>0.22533600000000001</v>
      </c>
      <c r="P58" s="49">
        <v>0.22447300000000001</v>
      </c>
      <c r="Q58" s="49">
        <v>0.223496</v>
      </c>
      <c r="R58" s="49">
        <v>0.22194</v>
      </c>
      <c r="S58" s="49">
        <v>0.22057599999999999</v>
      </c>
      <c r="T58" s="49">
        <v>0.21909899999999999</v>
      </c>
      <c r="U58" s="49">
        <v>0.2175</v>
      </c>
      <c r="V58" s="49">
        <v>0.215784</v>
      </c>
      <c r="W58" s="49">
        <v>0.214032</v>
      </c>
      <c r="X58" s="49">
        <v>0.21201700000000001</v>
      </c>
      <c r="Y58" s="49">
        <v>0.21015400000000001</v>
      </c>
      <c r="Z58" s="49">
        <v>0.20821500000000001</v>
      </c>
      <c r="AA58" s="49">
        <v>0.206535</v>
      </c>
      <c r="AB58" s="49">
        <v>0.20446300000000001</v>
      </c>
      <c r="AC58" s="49">
        <v>0.20246</v>
      </c>
      <c r="AD58" s="49">
        <v>0.20028199999999999</v>
      </c>
      <c r="AE58" s="49">
        <v>0.198183</v>
      </c>
      <c r="AF58" s="50">
        <v>-2.4320000000000001E-3</v>
      </c>
      <c r="AG58" s="21"/>
    </row>
    <row r="59" spans="1:33" ht="15" customHeight="1">
      <c r="A59" s="39" t="s">
        <v>39</v>
      </c>
      <c r="B59" s="48" t="s">
        <v>20</v>
      </c>
      <c r="C59" s="49">
        <v>5.9211260000000001</v>
      </c>
      <c r="D59" s="49">
        <v>5.8150050000000002</v>
      </c>
      <c r="E59" s="49">
        <v>5.7261790000000001</v>
      </c>
      <c r="F59" s="49">
        <v>5.6708869999999996</v>
      </c>
      <c r="G59" s="49">
        <v>5.6364150000000004</v>
      </c>
      <c r="H59" s="49">
        <v>5.5889559999999996</v>
      </c>
      <c r="I59" s="49">
        <v>5.5406930000000001</v>
      </c>
      <c r="J59" s="49">
        <v>5.4803899999999999</v>
      </c>
      <c r="K59" s="49">
        <v>5.4188489999999998</v>
      </c>
      <c r="L59" s="49">
        <v>5.3674910000000002</v>
      </c>
      <c r="M59" s="49">
        <v>5.3360620000000001</v>
      </c>
      <c r="N59" s="49">
        <v>5.3021260000000003</v>
      </c>
      <c r="O59" s="49">
        <v>5.2741230000000003</v>
      </c>
      <c r="P59" s="49">
        <v>5.25631</v>
      </c>
      <c r="Q59" s="49">
        <v>5.2378020000000003</v>
      </c>
      <c r="R59" s="49">
        <v>5.2322259999999998</v>
      </c>
      <c r="S59" s="49">
        <v>5.2306210000000002</v>
      </c>
      <c r="T59" s="49">
        <v>5.2322899999999999</v>
      </c>
      <c r="U59" s="49">
        <v>5.2416010000000002</v>
      </c>
      <c r="V59" s="49">
        <v>5.2565660000000003</v>
      </c>
      <c r="W59" s="49">
        <v>5.2744609999999996</v>
      </c>
      <c r="X59" s="49">
        <v>5.2923179999999999</v>
      </c>
      <c r="Y59" s="49">
        <v>5.3090260000000002</v>
      </c>
      <c r="Z59" s="49">
        <v>5.323563</v>
      </c>
      <c r="AA59" s="49">
        <v>5.3446429999999996</v>
      </c>
      <c r="AB59" s="49">
        <v>5.367305</v>
      </c>
      <c r="AC59" s="49">
        <v>5.3838540000000004</v>
      </c>
      <c r="AD59" s="49">
        <v>5.4034690000000003</v>
      </c>
      <c r="AE59" s="49">
        <v>5.43954</v>
      </c>
      <c r="AF59" s="50">
        <v>-3.0249999999999999E-3</v>
      </c>
      <c r="AG59" s="21"/>
    </row>
    <row r="60" spans="1:33" ht="15" customHeight="1">
      <c r="A60" s="39" t="s">
        <v>38</v>
      </c>
      <c r="B60" s="48" t="s">
        <v>18</v>
      </c>
      <c r="C60" s="49">
        <v>4.3913000000000001E-2</v>
      </c>
      <c r="D60" s="49">
        <v>4.5564E-2</v>
      </c>
      <c r="E60" s="49">
        <v>4.6540999999999999E-2</v>
      </c>
      <c r="F60" s="49">
        <v>4.7204999999999997E-2</v>
      </c>
      <c r="G60" s="49">
        <v>4.7899999999999998E-2</v>
      </c>
      <c r="H60" s="49">
        <v>4.8571000000000003E-2</v>
      </c>
      <c r="I60" s="49">
        <v>4.9133000000000003E-2</v>
      </c>
      <c r="J60" s="49">
        <v>4.9707000000000001E-2</v>
      </c>
      <c r="K60" s="49">
        <v>5.015E-2</v>
      </c>
      <c r="L60" s="49">
        <v>5.0598999999999998E-2</v>
      </c>
      <c r="M60" s="49">
        <v>5.1139999999999998E-2</v>
      </c>
      <c r="N60" s="49">
        <v>5.1727000000000002E-2</v>
      </c>
      <c r="O60" s="49">
        <v>5.2368999999999999E-2</v>
      </c>
      <c r="P60" s="49">
        <v>5.2923999999999999E-2</v>
      </c>
      <c r="Q60" s="49">
        <v>5.3456999999999998E-2</v>
      </c>
      <c r="R60" s="49">
        <v>5.3973E-2</v>
      </c>
      <c r="S60" s="49">
        <v>5.4510000000000003E-2</v>
      </c>
      <c r="T60" s="49">
        <v>5.5034E-2</v>
      </c>
      <c r="U60" s="49">
        <v>5.5627000000000003E-2</v>
      </c>
      <c r="V60" s="49">
        <v>5.6181000000000002E-2</v>
      </c>
      <c r="W60" s="49">
        <v>5.6753999999999999E-2</v>
      </c>
      <c r="X60" s="49">
        <v>5.7258000000000003E-2</v>
      </c>
      <c r="Y60" s="49">
        <v>5.7815999999999999E-2</v>
      </c>
      <c r="Z60" s="49">
        <v>5.8367000000000002E-2</v>
      </c>
      <c r="AA60" s="49">
        <v>5.9116000000000002E-2</v>
      </c>
      <c r="AB60" s="49">
        <v>5.9750999999999999E-2</v>
      </c>
      <c r="AC60" s="49">
        <v>6.0444999999999999E-2</v>
      </c>
      <c r="AD60" s="49">
        <v>6.1081000000000003E-2</v>
      </c>
      <c r="AE60" s="49">
        <v>6.1848E-2</v>
      </c>
      <c r="AF60" s="50">
        <v>1.2305999999999999E-2</v>
      </c>
      <c r="AG60" s="21"/>
    </row>
    <row r="61" spans="1:33" ht="15" customHeight="1">
      <c r="A61" s="39" t="s">
        <v>37</v>
      </c>
      <c r="B61" s="48" t="s">
        <v>16</v>
      </c>
      <c r="C61" s="49">
        <v>0.48138199999999998</v>
      </c>
      <c r="D61" s="49">
        <v>0.47482200000000002</v>
      </c>
      <c r="E61" s="49">
        <v>0.49412899999999998</v>
      </c>
      <c r="F61" s="49">
        <v>0.48220400000000002</v>
      </c>
      <c r="G61" s="49">
        <v>0.46188000000000001</v>
      </c>
      <c r="H61" s="49">
        <v>0.44609500000000002</v>
      </c>
      <c r="I61" s="49">
        <v>0.439745</v>
      </c>
      <c r="J61" s="49">
        <v>0.44452599999999998</v>
      </c>
      <c r="K61" s="49">
        <v>0.44189200000000001</v>
      </c>
      <c r="L61" s="49">
        <v>0.44342300000000001</v>
      </c>
      <c r="M61" s="49">
        <v>0.44743699999999997</v>
      </c>
      <c r="N61" s="49">
        <v>0.45064799999999999</v>
      </c>
      <c r="O61" s="49">
        <v>0.45266600000000001</v>
      </c>
      <c r="P61" s="49">
        <v>0.455515</v>
      </c>
      <c r="Q61" s="49">
        <v>0.45589400000000002</v>
      </c>
      <c r="R61" s="49">
        <v>0.45686199999999999</v>
      </c>
      <c r="S61" s="49">
        <v>0.45827499999999999</v>
      </c>
      <c r="T61" s="49">
        <v>0.45760899999999999</v>
      </c>
      <c r="U61" s="49">
        <v>0.45812799999999998</v>
      </c>
      <c r="V61" s="49">
        <v>0.461673</v>
      </c>
      <c r="W61" s="49">
        <v>0.464588</v>
      </c>
      <c r="X61" s="49">
        <v>0.46493699999999999</v>
      </c>
      <c r="Y61" s="49">
        <v>0.46492299999999998</v>
      </c>
      <c r="Z61" s="49">
        <v>0.46477099999999999</v>
      </c>
      <c r="AA61" s="49">
        <v>0.46576699999999999</v>
      </c>
      <c r="AB61" s="49">
        <v>0.46815499999999999</v>
      </c>
      <c r="AC61" s="49">
        <v>0.47133999999999998</v>
      </c>
      <c r="AD61" s="49">
        <v>0.47259899999999999</v>
      </c>
      <c r="AE61" s="49">
        <v>0.47572900000000001</v>
      </c>
      <c r="AF61" s="50">
        <v>-4.2200000000000001E-4</v>
      </c>
      <c r="AG61" s="21"/>
    </row>
    <row r="62" spans="1:33" ht="15" customHeight="1">
      <c r="A62" s="39" t="s">
        <v>36</v>
      </c>
      <c r="B62" s="48" t="s">
        <v>14</v>
      </c>
      <c r="C62" s="49">
        <v>9.8239000000000007E-2</v>
      </c>
      <c r="D62" s="49">
        <v>9.8920999999999995E-2</v>
      </c>
      <c r="E62" s="49">
        <v>9.8114999999999994E-2</v>
      </c>
      <c r="F62" s="49">
        <v>9.7346000000000002E-2</v>
      </c>
      <c r="G62" s="49">
        <v>9.6685999999999994E-2</v>
      </c>
      <c r="H62" s="49">
        <v>9.5823000000000005E-2</v>
      </c>
      <c r="I62" s="49">
        <v>9.4964999999999994E-2</v>
      </c>
      <c r="J62" s="49">
        <v>9.3891000000000002E-2</v>
      </c>
      <c r="K62" s="49">
        <v>9.2919000000000002E-2</v>
      </c>
      <c r="L62" s="49">
        <v>9.2030000000000001E-2</v>
      </c>
      <c r="M62" s="49">
        <v>9.1400999999999996E-2</v>
      </c>
      <c r="N62" s="49">
        <v>9.0674000000000005E-2</v>
      </c>
      <c r="O62" s="49">
        <v>8.9934E-2</v>
      </c>
      <c r="P62" s="49">
        <v>8.9168999999999998E-2</v>
      </c>
      <c r="Q62" s="49">
        <v>8.8332999999999995E-2</v>
      </c>
      <c r="R62" s="49">
        <v>8.7614999999999998E-2</v>
      </c>
      <c r="S62" s="49">
        <v>8.6832999999999994E-2</v>
      </c>
      <c r="T62" s="49">
        <v>8.6156999999999997E-2</v>
      </c>
      <c r="U62" s="49">
        <v>8.5473999999999994E-2</v>
      </c>
      <c r="V62" s="49">
        <v>8.4846000000000005E-2</v>
      </c>
      <c r="W62" s="49">
        <v>8.4274000000000002E-2</v>
      </c>
      <c r="X62" s="49">
        <v>8.3705000000000002E-2</v>
      </c>
      <c r="Y62" s="49">
        <v>8.3102999999999996E-2</v>
      </c>
      <c r="Z62" s="49">
        <v>8.2418000000000005E-2</v>
      </c>
      <c r="AA62" s="49">
        <v>8.1855999999999998E-2</v>
      </c>
      <c r="AB62" s="49">
        <v>8.1249000000000002E-2</v>
      </c>
      <c r="AC62" s="49">
        <v>8.0573000000000006E-2</v>
      </c>
      <c r="AD62" s="49">
        <v>7.9990000000000006E-2</v>
      </c>
      <c r="AE62" s="49">
        <v>7.9592999999999997E-2</v>
      </c>
      <c r="AF62" s="50">
        <v>-7.489E-3</v>
      </c>
      <c r="AG62" s="21"/>
    </row>
    <row r="63" spans="1:33" ht="15" customHeight="1">
      <c r="A63" s="39" t="s">
        <v>35</v>
      </c>
      <c r="B63" s="48" t="s">
        <v>12</v>
      </c>
      <c r="C63" s="49">
        <v>0.93502799999999997</v>
      </c>
      <c r="D63" s="49">
        <v>0.88183</v>
      </c>
      <c r="E63" s="49">
        <v>0.87772700000000003</v>
      </c>
      <c r="F63" s="49">
        <v>0.87860400000000005</v>
      </c>
      <c r="G63" s="49">
        <v>0.87124999999999997</v>
      </c>
      <c r="H63" s="49">
        <v>0.86844900000000003</v>
      </c>
      <c r="I63" s="49">
        <v>0.86268900000000004</v>
      </c>
      <c r="J63" s="49">
        <v>0.85914199999999996</v>
      </c>
      <c r="K63" s="49">
        <v>0.85663400000000001</v>
      </c>
      <c r="L63" s="49">
        <v>0.85713600000000001</v>
      </c>
      <c r="M63" s="49">
        <v>0.857437</v>
      </c>
      <c r="N63" s="49">
        <v>0.85799999999999998</v>
      </c>
      <c r="O63" s="49">
        <v>0.85775999999999997</v>
      </c>
      <c r="P63" s="49">
        <v>0.85821800000000004</v>
      </c>
      <c r="Q63" s="49">
        <v>0.85754699999999995</v>
      </c>
      <c r="R63" s="49">
        <v>0.85761399999999999</v>
      </c>
      <c r="S63" s="49">
        <v>0.85763500000000004</v>
      </c>
      <c r="T63" s="49">
        <v>0.85734999999999995</v>
      </c>
      <c r="U63" s="49">
        <v>0.85724500000000003</v>
      </c>
      <c r="V63" s="49">
        <v>0.85730099999999998</v>
      </c>
      <c r="W63" s="49">
        <v>0.85782999999999998</v>
      </c>
      <c r="X63" s="49">
        <v>0.85782000000000003</v>
      </c>
      <c r="Y63" s="49">
        <v>0.85804800000000003</v>
      </c>
      <c r="Z63" s="49">
        <v>0.85806800000000005</v>
      </c>
      <c r="AA63" s="49">
        <v>0.86063299999999998</v>
      </c>
      <c r="AB63" s="49">
        <v>0.86092400000000002</v>
      </c>
      <c r="AC63" s="49">
        <v>0.85983399999999999</v>
      </c>
      <c r="AD63" s="49">
        <v>0.85912200000000005</v>
      </c>
      <c r="AE63" s="49">
        <v>0.85809500000000005</v>
      </c>
      <c r="AF63" s="50">
        <v>-3.0620000000000001E-3</v>
      </c>
      <c r="AG63" s="21"/>
    </row>
    <row r="64" spans="1:33" ht="15" customHeight="1">
      <c r="A64" s="39" t="s">
        <v>34</v>
      </c>
      <c r="B64" s="48" t="s">
        <v>10</v>
      </c>
      <c r="C64" s="49">
        <v>0.20283699999999999</v>
      </c>
      <c r="D64" s="49">
        <v>0.19916300000000001</v>
      </c>
      <c r="E64" s="49">
        <v>0.19580500000000001</v>
      </c>
      <c r="F64" s="49">
        <v>0.19373699999999999</v>
      </c>
      <c r="G64" s="49">
        <v>0.19281300000000001</v>
      </c>
      <c r="H64" s="49">
        <v>0.19189700000000001</v>
      </c>
      <c r="I64" s="49">
        <v>0.19073399999999999</v>
      </c>
      <c r="J64" s="49">
        <v>0.18920999999999999</v>
      </c>
      <c r="K64" s="49">
        <v>0.18740399999999999</v>
      </c>
      <c r="L64" s="49">
        <v>0.18567700000000001</v>
      </c>
      <c r="M64" s="49">
        <v>0.18446699999999999</v>
      </c>
      <c r="N64" s="49">
        <v>0.18361</v>
      </c>
      <c r="O64" s="49">
        <v>0.182778</v>
      </c>
      <c r="P64" s="49">
        <v>0.18199799999999999</v>
      </c>
      <c r="Q64" s="49">
        <v>0.18145</v>
      </c>
      <c r="R64" s="49">
        <v>0.18110599999999999</v>
      </c>
      <c r="S64" s="49">
        <v>0.18074599999999999</v>
      </c>
      <c r="T64" s="49">
        <v>0.18038299999999999</v>
      </c>
      <c r="U64" s="49">
        <v>0.18029500000000001</v>
      </c>
      <c r="V64" s="49">
        <v>0.18016099999999999</v>
      </c>
      <c r="W64" s="49">
        <v>0.17998800000000001</v>
      </c>
      <c r="X64" s="49">
        <v>0.179814</v>
      </c>
      <c r="Y64" s="49">
        <v>0.17955699999999999</v>
      </c>
      <c r="Z64" s="49">
        <v>0.17924399999999999</v>
      </c>
      <c r="AA64" s="49">
        <v>0.17895</v>
      </c>
      <c r="AB64" s="49">
        <v>0.178728</v>
      </c>
      <c r="AC64" s="49">
        <v>0.17849100000000001</v>
      </c>
      <c r="AD64" s="49">
        <v>0.178228</v>
      </c>
      <c r="AE64" s="49">
        <v>0.17815600000000001</v>
      </c>
      <c r="AF64" s="50">
        <v>-4.6230000000000004E-3</v>
      </c>
      <c r="AG64" s="21"/>
    </row>
    <row r="65" spans="1:33" ht="15" customHeight="1">
      <c r="A65" s="39" t="s">
        <v>33</v>
      </c>
      <c r="B65" s="48" t="s">
        <v>8</v>
      </c>
      <c r="C65" s="49">
        <v>2.8028080000000002</v>
      </c>
      <c r="D65" s="49">
        <v>3.008168</v>
      </c>
      <c r="E65" s="49">
        <v>3.0512030000000001</v>
      </c>
      <c r="F65" s="49">
        <v>3.0571109999999999</v>
      </c>
      <c r="G65" s="49">
        <v>3.095898</v>
      </c>
      <c r="H65" s="49">
        <v>3.1342270000000001</v>
      </c>
      <c r="I65" s="49">
        <v>3.164552</v>
      </c>
      <c r="J65" s="49">
        <v>3.1871079999999998</v>
      </c>
      <c r="K65" s="49">
        <v>3.2029380000000001</v>
      </c>
      <c r="L65" s="49">
        <v>3.2187830000000002</v>
      </c>
      <c r="M65" s="49">
        <v>3.2439369999999998</v>
      </c>
      <c r="N65" s="49">
        <v>3.270448</v>
      </c>
      <c r="O65" s="49">
        <v>3.294403</v>
      </c>
      <c r="P65" s="49">
        <v>3.322924</v>
      </c>
      <c r="Q65" s="49">
        <v>3.3598249999999998</v>
      </c>
      <c r="R65" s="49">
        <v>3.4038949999999999</v>
      </c>
      <c r="S65" s="49">
        <v>3.4501719999999998</v>
      </c>
      <c r="T65" s="49">
        <v>3.498488</v>
      </c>
      <c r="U65" s="49">
        <v>3.5546440000000001</v>
      </c>
      <c r="V65" s="49">
        <v>3.608403</v>
      </c>
      <c r="W65" s="49">
        <v>3.6630980000000002</v>
      </c>
      <c r="X65" s="49">
        <v>3.7186249999999998</v>
      </c>
      <c r="Y65" s="49">
        <v>3.7740100000000001</v>
      </c>
      <c r="Z65" s="49">
        <v>3.8279190000000001</v>
      </c>
      <c r="AA65" s="49">
        <v>3.8804340000000002</v>
      </c>
      <c r="AB65" s="49">
        <v>3.9367380000000001</v>
      </c>
      <c r="AC65" s="49">
        <v>3.9936039999999999</v>
      </c>
      <c r="AD65" s="49">
        <v>4.0496509999999999</v>
      </c>
      <c r="AE65" s="49">
        <v>4.112158</v>
      </c>
      <c r="AF65" s="50">
        <v>1.3783999999999999E-2</v>
      </c>
      <c r="AG65" s="21"/>
    </row>
    <row r="66" spans="1:33" ht="15" customHeight="1">
      <c r="A66" s="39"/>
      <c r="B66" s="48"/>
      <c r="C66" s="49" t="e">
        <f>C65/#REF!</f>
        <v>#REF!</v>
      </c>
      <c r="D66" s="49" t="e">
        <f>D65/#REF!</f>
        <v>#REF!</v>
      </c>
      <c r="E66" s="49" t="e">
        <f>E65/#REF!</f>
        <v>#REF!</v>
      </c>
      <c r="F66" s="49" t="e">
        <f>F65/#REF!</f>
        <v>#REF!</v>
      </c>
      <c r="G66" s="49" t="e">
        <f>G65/#REF!</f>
        <v>#REF!</v>
      </c>
      <c r="H66" s="49" t="e">
        <f>H65/#REF!</f>
        <v>#REF!</v>
      </c>
      <c r="I66" s="49" t="e">
        <f>I65/#REF!</f>
        <v>#REF!</v>
      </c>
      <c r="J66" s="49" t="e">
        <f>J65/#REF!</f>
        <v>#REF!</v>
      </c>
      <c r="K66" s="49" t="e">
        <f>K65/#REF!</f>
        <v>#REF!</v>
      </c>
      <c r="L66" s="49" t="e">
        <f>L65/#REF!</f>
        <v>#REF!</v>
      </c>
      <c r="M66" s="49" t="e">
        <f>M65/#REF!</f>
        <v>#REF!</v>
      </c>
      <c r="N66" s="49" t="e">
        <f>N65/#REF!</f>
        <v>#REF!</v>
      </c>
      <c r="O66" s="49" t="e">
        <f>O65/#REF!</f>
        <v>#REF!</v>
      </c>
      <c r="P66" s="49" t="e">
        <f>P65/#REF!</f>
        <v>#REF!</v>
      </c>
      <c r="Q66" s="49" t="e">
        <f>Q65/#REF!</f>
        <v>#REF!</v>
      </c>
      <c r="R66" s="49" t="e">
        <f>R65/#REF!</f>
        <v>#REF!</v>
      </c>
      <c r="S66" s="49" t="e">
        <f>S65/#REF!</f>
        <v>#REF!</v>
      </c>
      <c r="T66" s="49" t="e">
        <f>T65/#REF!</f>
        <v>#REF!</v>
      </c>
      <c r="U66" s="49" t="e">
        <f>U65/#REF!</f>
        <v>#REF!</v>
      </c>
      <c r="V66" s="49" t="e">
        <f>V65/#REF!</f>
        <v>#REF!</v>
      </c>
      <c r="W66" s="49" t="e">
        <f>W65/#REF!</f>
        <v>#REF!</v>
      </c>
      <c r="X66" s="49" t="e">
        <f>X65/#REF!</f>
        <v>#REF!</v>
      </c>
      <c r="Y66" s="49" t="e">
        <f>Y65/#REF!</f>
        <v>#REF!</v>
      </c>
      <c r="Z66" s="49" t="e">
        <f>Z65/#REF!</f>
        <v>#REF!</v>
      </c>
      <c r="AA66" s="49" t="e">
        <f>AA65/#REF!</f>
        <v>#REF!</v>
      </c>
      <c r="AB66" s="49" t="e">
        <f>AB65/#REF!</f>
        <v>#REF!</v>
      </c>
      <c r="AC66" s="49" t="e">
        <f>AC65/#REF!</f>
        <v>#REF!</v>
      </c>
      <c r="AD66" s="49" t="e">
        <f>AD65/#REF!</f>
        <v>#REF!</v>
      </c>
      <c r="AE66" s="49" t="e">
        <f>AE65/#REF!</f>
        <v>#REF!</v>
      </c>
      <c r="AF66" s="49"/>
      <c r="AG66" s="21"/>
    </row>
    <row r="67" spans="1:33">
      <c r="A67" s="39" t="s">
        <v>32</v>
      </c>
      <c r="B67" s="48" t="s">
        <v>6</v>
      </c>
      <c r="C67" s="49">
        <v>0.43083199999999999</v>
      </c>
      <c r="D67" s="49">
        <v>0.43313099999999999</v>
      </c>
      <c r="E67" s="49">
        <v>0.43396800000000002</v>
      </c>
      <c r="F67" s="49">
        <v>0.43462800000000001</v>
      </c>
      <c r="G67" s="49">
        <v>0.43516199999999999</v>
      </c>
      <c r="H67" s="49">
        <v>0.43594699999999997</v>
      </c>
      <c r="I67" s="49">
        <v>0.43650600000000001</v>
      </c>
      <c r="J67" s="49">
        <v>0.43695099999999998</v>
      </c>
      <c r="K67" s="49">
        <v>0.437332</v>
      </c>
      <c r="L67" s="49">
        <v>0.43757600000000002</v>
      </c>
      <c r="M67" s="49">
        <v>0.43774400000000002</v>
      </c>
      <c r="N67" s="49">
        <v>0.43782700000000002</v>
      </c>
      <c r="O67" s="49">
        <v>0.43785800000000002</v>
      </c>
      <c r="P67" s="49">
        <v>0.43787900000000002</v>
      </c>
      <c r="Q67" s="49">
        <v>0.438004</v>
      </c>
      <c r="R67" s="49">
        <v>0.43820300000000001</v>
      </c>
      <c r="S67" s="49">
        <v>0.43841200000000002</v>
      </c>
      <c r="T67" s="49">
        <v>0.43863099999999999</v>
      </c>
      <c r="U67" s="49">
        <v>0.43885800000000003</v>
      </c>
      <c r="V67" s="49">
        <v>0.43909300000000001</v>
      </c>
      <c r="W67" s="49">
        <v>0.43933499999999998</v>
      </c>
      <c r="X67" s="49">
        <v>0.43958399999999997</v>
      </c>
      <c r="Y67" s="49">
        <v>0.43983899999999998</v>
      </c>
      <c r="Z67" s="49">
        <v>0.44009900000000002</v>
      </c>
      <c r="AA67" s="49">
        <v>0.44036399999999998</v>
      </c>
      <c r="AB67" s="49">
        <v>0.440633</v>
      </c>
      <c r="AC67" s="49">
        <v>0.44090699999999999</v>
      </c>
      <c r="AD67" s="49">
        <v>0.44118400000000002</v>
      </c>
      <c r="AE67" s="49">
        <v>0.441465</v>
      </c>
      <c r="AF67" s="50">
        <v>8.7100000000000003E-4</v>
      </c>
      <c r="AG67" s="21"/>
    </row>
    <row r="68" spans="1:33" ht="15" customHeight="1">
      <c r="A68" s="39" t="s">
        <v>31</v>
      </c>
      <c r="B68" s="48" t="s">
        <v>4</v>
      </c>
      <c r="C68" s="49">
        <v>0.125945</v>
      </c>
      <c r="D68" s="49">
        <v>0.12592500000000001</v>
      </c>
      <c r="E68" s="49">
        <v>0.12601200000000001</v>
      </c>
      <c r="F68" s="49">
        <v>0.12605</v>
      </c>
      <c r="G68" s="49">
        <v>0.126114</v>
      </c>
      <c r="H68" s="49">
        <v>0.12598400000000001</v>
      </c>
      <c r="I68" s="49">
        <v>0.12585299999999999</v>
      </c>
      <c r="J68" s="49">
        <v>0.12575500000000001</v>
      </c>
      <c r="K68" s="49">
        <v>0.12565200000000001</v>
      </c>
      <c r="L68" s="49">
        <v>0.12554599999999999</v>
      </c>
      <c r="M68" s="49">
        <v>0.12543899999999999</v>
      </c>
      <c r="N68" s="49">
        <v>0.12533</v>
      </c>
      <c r="O68" s="49">
        <v>0.12525</v>
      </c>
      <c r="P68" s="49">
        <v>0.125225</v>
      </c>
      <c r="Q68" s="49">
        <v>0.12525500000000001</v>
      </c>
      <c r="R68" s="49">
        <v>0.12531800000000001</v>
      </c>
      <c r="S68" s="49">
        <v>0.125412</v>
      </c>
      <c r="T68" s="49">
        <v>0.125527</v>
      </c>
      <c r="U68" s="49">
        <v>0.125667</v>
      </c>
      <c r="V68" s="49">
        <v>0.12579699999999999</v>
      </c>
      <c r="W68" s="49">
        <v>0.12592500000000001</v>
      </c>
      <c r="X68" s="49">
        <v>0.12604599999999999</v>
      </c>
      <c r="Y68" s="49">
        <v>0.126166</v>
      </c>
      <c r="Z68" s="49">
        <v>0.12631999999999999</v>
      </c>
      <c r="AA68" s="49">
        <v>0.12649199999999999</v>
      </c>
      <c r="AB68" s="49">
        <v>0.126661</v>
      </c>
      <c r="AC68" s="49">
        <v>0.12681100000000001</v>
      </c>
      <c r="AD68" s="49">
        <v>0.126974</v>
      </c>
      <c r="AE68" s="49">
        <v>0.12715899999999999</v>
      </c>
      <c r="AF68" s="50">
        <v>3.4200000000000002E-4</v>
      </c>
      <c r="AG68" s="21"/>
    </row>
    <row r="69" spans="1:33" ht="15" customHeight="1">
      <c r="A69" s="39" t="s">
        <v>30</v>
      </c>
      <c r="B69" s="48" t="s">
        <v>140</v>
      </c>
      <c r="C69" s="49">
        <v>0.90573199999999998</v>
      </c>
      <c r="D69" s="49">
        <v>0.82054300000000002</v>
      </c>
      <c r="E69" s="49">
        <v>0.76098200000000005</v>
      </c>
      <c r="F69" s="49">
        <v>0.72675199999999995</v>
      </c>
      <c r="G69" s="49">
        <v>0.69584999999999997</v>
      </c>
      <c r="H69" s="49">
        <v>0.65398500000000004</v>
      </c>
      <c r="I69" s="49">
        <v>0.61392800000000003</v>
      </c>
      <c r="J69" s="49">
        <v>0.61203300000000005</v>
      </c>
      <c r="K69" s="49">
        <v>0.61031599999999997</v>
      </c>
      <c r="L69" s="49">
        <v>0.61189700000000002</v>
      </c>
      <c r="M69" s="49">
        <v>0.61776399999999998</v>
      </c>
      <c r="N69" s="49">
        <v>0.62628499999999998</v>
      </c>
      <c r="O69" s="49">
        <v>0.63076699999999997</v>
      </c>
      <c r="P69" s="49">
        <v>0.63347699999999996</v>
      </c>
      <c r="Q69" s="49">
        <v>0.63400299999999998</v>
      </c>
      <c r="R69" s="49">
        <v>0.63296799999999998</v>
      </c>
      <c r="S69" s="49">
        <v>0.63783100000000004</v>
      </c>
      <c r="T69" s="49">
        <v>0.63666800000000001</v>
      </c>
      <c r="U69" s="49">
        <v>0.64580700000000002</v>
      </c>
      <c r="V69" s="49">
        <v>0.65242699999999998</v>
      </c>
      <c r="W69" s="49">
        <v>0.65816600000000003</v>
      </c>
      <c r="X69" s="49">
        <v>0.66099399999999997</v>
      </c>
      <c r="Y69" s="49">
        <v>0.66509499999999999</v>
      </c>
      <c r="Z69" s="49">
        <v>0.66920299999999999</v>
      </c>
      <c r="AA69" s="49">
        <v>0.67453399999999997</v>
      </c>
      <c r="AB69" s="49">
        <v>0.68213500000000005</v>
      </c>
      <c r="AC69" s="49">
        <v>0.68949099999999997</v>
      </c>
      <c r="AD69" s="49">
        <v>0.691882</v>
      </c>
      <c r="AE69" s="49">
        <v>0.69677699999999998</v>
      </c>
      <c r="AF69" s="50">
        <v>-9.3229999999999997E-3</v>
      </c>
      <c r="AG69" s="21"/>
    </row>
    <row r="70" spans="1:33" ht="15" customHeight="1">
      <c r="A70" s="39" t="s">
        <v>1032</v>
      </c>
      <c r="B70" s="48" t="s">
        <v>1033</v>
      </c>
      <c r="C70" s="49">
        <v>0.33252300000000001</v>
      </c>
      <c r="D70" s="49">
        <v>0.377971</v>
      </c>
      <c r="E70" s="49">
        <v>0.38400499999999999</v>
      </c>
      <c r="F70" s="49">
        <v>0.40878300000000001</v>
      </c>
      <c r="G70" s="49">
        <v>0.44626100000000002</v>
      </c>
      <c r="H70" s="49">
        <v>0.47717300000000001</v>
      </c>
      <c r="I70" s="49">
        <v>0.50361</v>
      </c>
      <c r="J70" s="49">
        <v>0.52757100000000001</v>
      </c>
      <c r="K70" s="49">
        <v>0.57796899999999996</v>
      </c>
      <c r="L70" s="49">
        <v>0.62836700000000001</v>
      </c>
      <c r="M70" s="49">
        <v>0.68000400000000005</v>
      </c>
      <c r="N70" s="49">
        <v>0.72916400000000003</v>
      </c>
      <c r="O70" s="49">
        <v>0.77116200000000001</v>
      </c>
      <c r="P70" s="49">
        <v>0.79636099999999999</v>
      </c>
      <c r="Q70" s="49">
        <v>0.81439899999999998</v>
      </c>
      <c r="R70" s="49">
        <v>0.82996000000000003</v>
      </c>
      <c r="S70" s="49">
        <v>0.83835999999999999</v>
      </c>
      <c r="T70" s="49">
        <v>0.83835999999999999</v>
      </c>
      <c r="U70" s="49">
        <v>0.83959799999999996</v>
      </c>
      <c r="V70" s="49">
        <v>0.83835999999999999</v>
      </c>
      <c r="W70" s="49">
        <v>0.83835999999999999</v>
      </c>
      <c r="X70" s="49">
        <v>0.83835999999999999</v>
      </c>
      <c r="Y70" s="49">
        <v>0.83959799999999996</v>
      </c>
      <c r="Z70" s="49">
        <v>0.83835999999999999</v>
      </c>
      <c r="AA70" s="49">
        <v>0.83835999999999999</v>
      </c>
      <c r="AB70" s="49">
        <v>0.83835999999999999</v>
      </c>
      <c r="AC70" s="49">
        <v>0.83959799999999996</v>
      </c>
      <c r="AD70" s="49">
        <v>0.83835999999999999</v>
      </c>
      <c r="AE70" s="49">
        <v>0.83835999999999999</v>
      </c>
      <c r="AF70" s="50">
        <v>3.3577999999999997E-2</v>
      </c>
      <c r="AG70" s="21"/>
    </row>
    <row r="71" spans="1:33" ht="15" customHeight="1">
      <c r="A71" s="39" t="s">
        <v>29</v>
      </c>
      <c r="B71" s="47" t="s">
        <v>1</v>
      </c>
      <c r="C71" s="51">
        <v>27.986006</v>
      </c>
      <c r="D71" s="51">
        <v>28.032028</v>
      </c>
      <c r="E71" s="51">
        <v>27.776655000000002</v>
      </c>
      <c r="F71" s="51">
        <v>27.465699999999998</v>
      </c>
      <c r="G71" s="51">
        <v>27.255044999999999</v>
      </c>
      <c r="H71" s="51">
        <v>27.051918000000001</v>
      </c>
      <c r="I71" s="51">
        <v>26.819282999999999</v>
      </c>
      <c r="J71" s="51">
        <v>26.592269999999999</v>
      </c>
      <c r="K71" s="51">
        <v>26.360721999999999</v>
      </c>
      <c r="L71" s="51">
        <v>26.162958</v>
      </c>
      <c r="M71" s="51">
        <v>26.008129</v>
      </c>
      <c r="N71" s="51">
        <v>25.897749000000001</v>
      </c>
      <c r="O71" s="51">
        <v>25.802094</v>
      </c>
      <c r="P71" s="51">
        <v>25.704211999999998</v>
      </c>
      <c r="Q71" s="51">
        <v>25.598514999999999</v>
      </c>
      <c r="R71" s="51">
        <v>25.533525000000001</v>
      </c>
      <c r="S71" s="51">
        <v>25.493338000000001</v>
      </c>
      <c r="T71" s="51">
        <v>25.449311999999999</v>
      </c>
      <c r="U71" s="51">
        <v>25.46059</v>
      </c>
      <c r="V71" s="51">
        <v>25.485914000000001</v>
      </c>
      <c r="W71" s="51">
        <v>25.531475</v>
      </c>
      <c r="X71" s="51">
        <v>25.583796</v>
      </c>
      <c r="Y71" s="51">
        <v>25.657437999999999</v>
      </c>
      <c r="Z71" s="51">
        <v>25.744152</v>
      </c>
      <c r="AA71" s="51">
        <v>25.868386999999998</v>
      </c>
      <c r="AB71" s="51">
        <v>26.019403000000001</v>
      </c>
      <c r="AC71" s="51">
        <v>26.175443999999999</v>
      </c>
      <c r="AD71" s="51">
        <v>26.332941000000002</v>
      </c>
      <c r="AE71" s="51">
        <v>26.540414999999999</v>
      </c>
      <c r="AF71" s="52">
        <v>-1.892E-3</v>
      </c>
      <c r="AG71" s="21"/>
    </row>
    <row r="72" spans="1:33" ht="15" customHeight="1">
      <c r="A72" s="9"/>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row>
    <row r="73" spans="1:33" ht="15" customHeight="1">
      <c r="A73" s="9"/>
      <c r="B73" s="47" t="s">
        <v>28</v>
      </c>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row>
    <row r="74" spans="1:33">
      <c r="A74" s="39" t="s">
        <v>27</v>
      </c>
      <c r="B74" s="48" t="s">
        <v>26</v>
      </c>
      <c r="C74" s="49">
        <v>7.8874019999999998</v>
      </c>
      <c r="D74" s="49">
        <v>7.9122269999999997</v>
      </c>
      <c r="E74" s="49">
        <v>7.8274340000000002</v>
      </c>
      <c r="F74" s="49">
        <v>7.7041750000000002</v>
      </c>
      <c r="G74" s="49">
        <v>7.6036460000000003</v>
      </c>
      <c r="H74" s="49">
        <v>7.5184980000000001</v>
      </c>
      <c r="I74" s="49">
        <v>7.419035</v>
      </c>
      <c r="J74" s="49">
        <v>7.3065249999999997</v>
      </c>
      <c r="K74" s="49">
        <v>7.1853569999999998</v>
      </c>
      <c r="L74" s="49">
        <v>7.0706910000000001</v>
      </c>
      <c r="M74" s="49">
        <v>6.9570160000000003</v>
      </c>
      <c r="N74" s="49">
        <v>6.8672800000000001</v>
      </c>
      <c r="O74" s="49">
        <v>6.7902670000000001</v>
      </c>
      <c r="P74" s="49">
        <v>6.712955</v>
      </c>
      <c r="Q74" s="49">
        <v>6.6337719999999996</v>
      </c>
      <c r="R74" s="49">
        <v>6.566808</v>
      </c>
      <c r="S74" s="49">
        <v>6.509881</v>
      </c>
      <c r="T74" s="49">
        <v>6.457382</v>
      </c>
      <c r="U74" s="49">
        <v>6.4183839999999996</v>
      </c>
      <c r="V74" s="49">
        <v>6.3855760000000004</v>
      </c>
      <c r="W74" s="49">
        <v>6.3615849999999998</v>
      </c>
      <c r="X74" s="49">
        <v>6.3450730000000002</v>
      </c>
      <c r="Y74" s="49">
        <v>6.3401059999999996</v>
      </c>
      <c r="Z74" s="49">
        <v>6.3454620000000004</v>
      </c>
      <c r="AA74" s="49">
        <v>6.3641899999999998</v>
      </c>
      <c r="AB74" s="49">
        <v>6.3931519999999997</v>
      </c>
      <c r="AC74" s="49">
        <v>6.428598</v>
      </c>
      <c r="AD74" s="49">
        <v>6.4683789999999997</v>
      </c>
      <c r="AE74" s="49">
        <v>6.5181990000000001</v>
      </c>
      <c r="AF74" s="50">
        <v>-6.7860000000000004E-3</v>
      </c>
      <c r="AG74" s="21"/>
    </row>
    <row r="75" spans="1:33" ht="15" customHeight="1">
      <c r="A75" s="39" t="s">
        <v>25</v>
      </c>
      <c r="B75" s="48" t="s">
        <v>24</v>
      </c>
      <c r="C75" s="49">
        <v>0.496809</v>
      </c>
      <c r="D75" s="49">
        <v>0.49219299999999999</v>
      </c>
      <c r="E75" s="49">
        <v>0.48331400000000002</v>
      </c>
      <c r="F75" s="49">
        <v>0.47684199999999999</v>
      </c>
      <c r="G75" s="49">
        <v>0.472221</v>
      </c>
      <c r="H75" s="49">
        <v>0.46793200000000001</v>
      </c>
      <c r="I75" s="49">
        <v>0.46471200000000001</v>
      </c>
      <c r="J75" s="49">
        <v>0.46205299999999999</v>
      </c>
      <c r="K75" s="49">
        <v>0.45911099999999999</v>
      </c>
      <c r="L75" s="49">
        <v>0.45708399999999999</v>
      </c>
      <c r="M75" s="49">
        <v>0.45675399999999999</v>
      </c>
      <c r="N75" s="49">
        <v>0.45698899999999998</v>
      </c>
      <c r="O75" s="49">
        <v>0.457814</v>
      </c>
      <c r="P75" s="49">
        <v>0.45909100000000003</v>
      </c>
      <c r="Q75" s="49">
        <v>0.46056399999999997</v>
      </c>
      <c r="R75" s="49">
        <v>0.462619</v>
      </c>
      <c r="S75" s="49">
        <v>0.46518900000000002</v>
      </c>
      <c r="T75" s="49">
        <v>0.46762300000000001</v>
      </c>
      <c r="U75" s="49">
        <v>0.47117599999999998</v>
      </c>
      <c r="V75" s="49">
        <v>0.47543600000000003</v>
      </c>
      <c r="W75" s="49">
        <v>0.47985299999999997</v>
      </c>
      <c r="X75" s="49">
        <v>0.48379299999999997</v>
      </c>
      <c r="Y75" s="49">
        <v>0.48735400000000001</v>
      </c>
      <c r="Z75" s="49">
        <v>0.49135299999999998</v>
      </c>
      <c r="AA75" s="49">
        <v>0.49600300000000003</v>
      </c>
      <c r="AB75" s="49">
        <v>0.50156500000000004</v>
      </c>
      <c r="AC75" s="49">
        <v>0.50649100000000002</v>
      </c>
      <c r="AD75" s="49">
        <v>0.51146199999999997</v>
      </c>
      <c r="AE75" s="49">
        <v>0.51798100000000002</v>
      </c>
      <c r="AF75" s="50">
        <v>1.4920000000000001E-3</v>
      </c>
      <c r="AG75" s="21"/>
    </row>
    <row r="76" spans="1:33" ht="15" customHeight="1">
      <c r="A76" s="39" t="s">
        <v>23</v>
      </c>
      <c r="B76" s="48" t="s">
        <v>22</v>
      </c>
      <c r="C76" s="49">
        <v>0.105213</v>
      </c>
      <c r="D76" s="49">
        <v>0.11029600000000001</v>
      </c>
      <c r="E76" s="49">
        <v>0.11259</v>
      </c>
      <c r="F76" s="49">
        <v>0.113083</v>
      </c>
      <c r="G76" s="49">
        <v>0.113492</v>
      </c>
      <c r="H76" s="49">
        <v>0.113737</v>
      </c>
      <c r="I76" s="49">
        <v>0.113843</v>
      </c>
      <c r="J76" s="49">
        <v>0.113729</v>
      </c>
      <c r="K76" s="49">
        <v>0.11343399999999999</v>
      </c>
      <c r="L76" s="49">
        <v>0.112917</v>
      </c>
      <c r="M76" s="49">
        <v>0.112403</v>
      </c>
      <c r="N76" s="49">
        <v>0.11212900000000001</v>
      </c>
      <c r="O76" s="49">
        <v>0.111806</v>
      </c>
      <c r="P76" s="49">
        <v>0.11138099999999999</v>
      </c>
      <c r="Q76" s="49">
        <v>0.110915</v>
      </c>
      <c r="R76" s="49">
        <v>0.110151</v>
      </c>
      <c r="S76" s="49">
        <v>0.109477</v>
      </c>
      <c r="T76" s="49">
        <v>0.108762</v>
      </c>
      <c r="U76" s="49">
        <v>0.107969</v>
      </c>
      <c r="V76" s="49">
        <v>0.107129</v>
      </c>
      <c r="W76" s="49">
        <v>0.10628799999999999</v>
      </c>
      <c r="X76" s="49">
        <v>0.105307</v>
      </c>
      <c r="Y76" s="49">
        <v>0.104391</v>
      </c>
      <c r="Z76" s="49">
        <v>0.103434</v>
      </c>
      <c r="AA76" s="49">
        <v>0.102605</v>
      </c>
      <c r="AB76" s="49">
        <v>0.101578</v>
      </c>
      <c r="AC76" s="49">
        <v>0.10058599999999999</v>
      </c>
      <c r="AD76" s="49">
        <v>9.9506999999999998E-2</v>
      </c>
      <c r="AE76" s="49">
        <v>9.8460000000000006E-2</v>
      </c>
      <c r="AF76" s="50">
        <v>-2.366E-3</v>
      </c>
      <c r="AG76" s="21"/>
    </row>
    <row r="77" spans="1:33" ht="15" customHeight="1">
      <c r="A77" s="39" t="s">
        <v>21</v>
      </c>
      <c r="B77" s="48" t="s">
        <v>20</v>
      </c>
      <c r="C77" s="49">
        <v>2.850965</v>
      </c>
      <c r="D77" s="49">
        <v>2.8004340000000001</v>
      </c>
      <c r="E77" s="49">
        <v>2.7581639999999998</v>
      </c>
      <c r="F77" s="49">
        <v>2.7321939999999998</v>
      </c>
      <c r="G77" s="49">
        <v>2.7161360000000001</v>
      </c>
      <c r="H77" s="49">
        <v>2.6936719999999998</v>
      </c>
      <c r="I77" s="49">
        <v>2.6712570000000002</v>
      </c>
      <c r="J77" s="49">
        <v>2.6429619999999998</v>
      </c>
      <c r="K77" s="49">
        <v>2.6141770000000002</v>
      </c>
      <c r="L77" s="49">
        <v>2.5901740000000002</v>
      </c>
      <c r="M77" s="49">
        <v>2.5759319999999999</v>
      </c>
      <c r="N77" s="49">
        <v>2.560368</v>
      </c>
      <c r="O77" s="49">
        <v>2.5477449999999999</v>
      </c>
      <c r="P77" s="49">
        <v>2.5398450000000001</v>
      </c>
      <c r="Q77" s="49">
        <v>2.5316429999999999</v>
      </c>
      <c r="R77" s="49">
        <v>2.5296340000000002</v>
      </c>
      <c r="S77" s="49">
        <v>2.5295000000000001</v>
      </c>
      <c r="T77" s="49">
        <v>2.5309710000000001</v>
      </c>
      <c r="U77" s="49">
        <v>2.536117</v>
      </c>
      <c r="V77" s="49">
        <v>2.5440339999999999</v>
      </c>
      <c r="W77" s="49">
        <v>2.553331</v>
      </c>
      <c r="X77" s="49">
        <v>2.5625979999999999</v>
      </c>
      <c r="Y77" s="49">
        <v>2.571348</v>
      </c>
      <c r="Z77" s="49">
        <v>2.5790220000000001</v>
      </c>
      <c r="AA77" s="49">
        <v>2.5899839999999998</v>
      </c>
      <c r="AB77" s="49">
        <v>2.6017070000000002</v>
      </c>
      <c r="AC77" s="49">
        <v>2.6103890000000001</v>
      </c>
      <c r="AD77" s="49">
        <v>2.6206119999999999</v>
      </c>
      <c r="AE77" s="49">
        <v>2.6388850000000001</v>
      </c>
      <c r="AF77" s="50">
        <v>-2.7569999999999999E-3</v>
      </c>
      <c r="AG77" s="21"/>
    </row>
    <row r="78" spans="1:33" ht="15" customHeight="1">
      <c r="A78" s="39" t="s">
        <v>19</v>
      </c>
      <c r="B78" s="48" t="s">
        <v>18</v>
      </c>
      <c r="C78" s="49">
        <v>2.0781000000000001E-2</v>
      </c>
      <c r="D78" s="49">
        <v>2.1562999999999999E-2</v>
      </c>
      <c r="E78" s="49">
        <v>2.2024999999999999E-2</v>
      </c>
      <c r="F78" s="49">
        <v>2.2339999999999999E-2</v>
      </c>
      <c r="G78" s="49">
        <v>2.2668000000000001E-2</v>
      </c>
      <c r="H78" s="49">
        <v>2.2984000000000001E-2</v>
      </c>
      <c r="I78" s="49">
        <v>2.3251000000000001E-2</v>
      </c>
      <c r="J78" s="49">
        <v>2.3522999999999999E-2</v>
      </c>
      <c r="K78" s="49">
        <v>2.3733000000000001E-2</v>
      </c>
      <c r="L78" s="49">
        <v>2.3945000000000001E-2</v>
      </c>
      <c r="M78" s="49">
        <v>2.4201E-2</v>
      </c>
      <c r="N78" s="49">
        <v>2.4479000000000001E-2</v>
      </c>
      <c r="O78" s="49">
        <v>2.4782999999999999E-2</v>
      </c>
      <c r="P78" s="49">
        <v>2.5045000000000001E-2</v>
      </c>
      <c r="Q78" s="49">
        <v>2.5298000000000001E-2</v>
      </c>
      <c r="R78" s="49">
        <v>2.5541999999999999E-2</v>
      </c>
      <c r="S78" s="49">
        <v>2.5795999999999999E-2</v>
      </c>
      <c r="T78" s="49">
        <v>2.6044000000000001E-2</v>
      </c>
      <c r="U78" s="49">
        <v>2.6325000000000001E-2</v>
      </c>
      <c r="V78" s="49">
        <v>2.6587E-2</v>
      </c>
      <c r="W78" s="49">
        <v>2.6858E-2</v>
      </c>
      <c r="X78" s="49">
        <v>2.7097E-2</v>
      </c>
      <c r="Y78" s="49">
        <v>2.7361E-2</v>
      </c>
      <c r="Z78" s="49">
        <v>2.7622000000000001E-2</v>
      </c>
      <c r="AA78" s="49">
        <v>2.7976999999999998E-2</v>
      </c>
      <c r="AB78" s="49">
        <v>2.8278000000000001E-2</v>
      </c>
      <c r="AC78" s="49">
        <v>2.8604999999999998E-2</v>
      </c>
      <c r="AD78" s="49">
        <v>2.8906000000000001E-2</v>
      </c>
      <c r="AE78" s="49">
        <v>2.9270000000000001E-2</v>
      </c>
      <c r="AF78" s="50">
        <v>1.2307999999999999E-2</v>
      </c>
      <c r="AG78" s="21"/>
    </row>
    <row r="79" spans="1:33" ht="15" customHeight="1">
      <c r="A79" s="39" t="s">
        <v>17</v>
      </c>
      <c r="B79" s="48" t="s">
        <v>16</v>
      </c>
      <c r="C79" s="49">
        <v>0.22834699999999999</v>
      </c>
      <c r="D79" s="49">
        <v>0.22523399999999999</v>
      </c>
      <c r="E79" s="49">
        <v>0.234373</v>
      </c>
      <c r="F79" s="49">
        <v>0.228717</v>
      </c>
      <c r="G79" s="49">
        <v>0.21906</v>
      </c>
      <c r="H79" s="49">
        <v>0.21154500000000001</v>
      </c>
      <c r="I79" s="49">
        <v>0.208541</v>
      </c>
      <c r="J79" s="49">
        <v>0.21080599999999999</v>
      </c>
      <c r="K79" s="49">
        <v>0.209559</v>
      </c>
      <c r="L79" s="49">
        <v>0.21027599999999999</v>
      </c>
      <c r="M79" s="49">
        <v>0.21217800000000001</v>
      </c>
      <c r="N79" s="49">
        <v>0.21369199999999999</v>
      </c>
      <c r="O79" s="49">
        <v>0.21465000000000001</v>
      </c>
      <c r="P79" s="49">
        <v>0.21598899999999999</v>
      </c>
      <c r="Q79" s="49">
        <v>0.216165</v>
      </c>
      <c r="R79" s="49">
        <v>0.216616</v>
      </c>
      <c r="S79" s="49">
        <v>0.21728</v>
      </c>
      <c r="T79" s="49">
        <v>0.21695600000000001</v>
      </c>
      <c r="U79" s="49">
        <v>0.217194</v>
      </c>
      <c r="V79" s="49">
        <v>0.218865</v>
      </c>
      <c r="W79" s="49">
        <v>0.22023400000000001</v>
      </c>
      <c r="X79" s="49">
        <v>0.220387</v>
      </c>
      <c r="Y79" s="49">
        <v>0.22037000000000001</v>
      </c>
      <c r="Z79" s="49">
        <v>0.22028300000000001</v>
      </c>
      <c r="AA79" s="49">
        <v>0.220747</v>
      </c>
      <c r="AB79" s="49">
        <v>0.22186600000000001</v>
      </c>
      <c r="AC79" s="49">
        <v>0.223355</v>
      </c>
      <c r="AD79" s="49">
        <v>0.223935</v>
      </c>
      <c r="AE79" s="49">
        <v>0.225407</v>
      </c>
      <c r="AF79" s="50">
        <v>-4.6299999999999998E-4</v>
      </c>
      <c r="AG79" s="21"/>
    </row>
    <row r="80" spans="1:33">
      <c r="A80" s="39" t="s">
        <v>15</v>
      </c>
      <c r="B80" s="48" t="s">
        <v>14</v>
      </c>
      <c r="C80" s="49">
        <v>4.6526999999999999E-2</v>
      </c>
      <c r="D80" s="49">
        <v>4.6852999999999999E-2</v>
      </c>
      <c r="E80" s="49">
        <v>4.6469999999999997E-2</v>
      </c>
      <c r="F80" s="49">
        <v>4.6109999999999998E-2</v>
      </c>
      <c r="G80" s="49">
        <v>4.5796000000000003E-2</v>
      </c>
      <c r="H80" s="49">
        <v>4.5385000000000002E-2</v>
      </c>
      <c r="I80" s="49">
        <v>4.4983000000000002E-2</v>
      </c>
      <c r="J80" s="49">
        <v>4.4476000000000002E-2</v>
      </c>
      <c r="K80" s="49">
        <v>4.4019999999999997E-2</v>
      </c>
      <c r="L80" s="49">
        <v>4.36E-2</v>
      </c>
      <c r="M80" s="49">
        <v>4.3305999999999997E-2</v>
      </c>
      <c r="N80" s="49">
        <v>4.2963000000000001E-2</v>
      </c>
      <c r="O80" s="49">
        <v>4.2617000000000002E-2</v>
      </c>
      <c r="P80" s="49">
        <v>4.2256000000000002E-2</v>
      </c>
      <c r="Q80" s="49">
        <v>4.1862999999999997E-2</v>
      </c>
      <c r="R80" s="49">
        <v>4.1524999999999999E-2</v>
      </c>
      <c r="S80" s="49">
        <v>4.1158E-2</v>
      </c>
      <c r="T80" s="49">
        <v>4.0840000000000001E-2</v>
      </c>
      <c r="U80" s="49">
        <v>4.0518999999999999E-2</v>
      </c>
      <c r="V80" s="49">
        <v>4.0222000000000001E-2</v>
      </c>
      <c r="W80" s="49">
        <v>3.9949999999999999E-2</v>
      </c>
      <c r="X80" s="49">
        <v>3.9681000000000001E-2</v>
      </c>
      <c r="Y80" s="49">
        <v>3.9394999999999999E-2</v>
      </c>
      <c r="Z80" s="49">
        <v>3.9070000000000001E-2</v>
      </c>
      <c r="AA80" s="49">
        <v>3.8804999999999999E-2</v>
      </c>
      <c r="AB80" s="49">
        <v>3.8517000000000003E-2</v>
      </c>
      <c r="AC80" s="49">
        <v>3.8196000000000001E-2</v>
      </c>
      <c r="AD80" s="49">
        <v>3.7919000000000001E-2</v>
      </c>
      <c r="AE80" s="49">
        <v>3.7732000000000002E-2</v>
      </c>
      <c r="AF80" s="50">
        <v>-7.4549999999999998E-3</v>
      </c>
      <c r="AG80" s="21"/>
    </row>
    <row r="81" spans="1:34" ht="15" customHeight="1">
      <c r="A81" s="39" t="s">
        <v>13</v>
      </c>
      <c r="B81" s="48" t="s">
        <v>12</v>
      </c>
      <c r="C81" s="49">
        <v>0.41703200000000001</v>
      </c>
      <c r="D81" s="49">
        <v>0.39771000000000001</v>
      </c>
      <c r="E81" s="49">
        <v>0.396229</v>
      </c>
      <c r="F81" s="49">
        <v>0.39661299999999999</v>
      </c>
      <c r="G81" s="49">
        <v>0.39397500000000002</v>
      </c>
      <c r="H81" s="49">
        <v>0.39299699999999999</v>
      </c>
      <c r="I81" s="49">
        <v>0.39095600000000003</v>
      </c>
      <c r="J81" s="49">
        <v>0.38970900000000003</v>
      </c>
      <c r="K81" s="49">
        <v>0.388847</v>
      </c>
      <c r="L81" s="49">
        <v>0.389075</v>
      </c>
      <c r="M81" s="49">
        <v>0.38924700000000001</v>
      </c>
      <c r="N81" s="49">
        <v>0.38950699999999999</v>
      </c>
      <c r="O81" s="49">
        <v>0.38948100000000002</v>
      </c>
      <c r="P81" s="49">
        <v>0.38969799999999999</v>
      </c>
      <c r="Q81" s="49">
        <v>0.38950499999999999</v>
      </c>
      <c r="R81" s="49">
        <v>0.389575</v>
      </c>
      <c r="S81" s="49">
        <v>0.38963399999999998</v>
      </c>
      <c r="T81" s="49">
        <v>0.38958100000000001</v>
      </c>
      <c r="U81" s="49">
        <v>0.38959700000000003</v>
      </c>
      <c r="V81" s="49">
        <v>0.38967000000000002</v>
      </c>
      <c r="W81" s="49">
        <v>0.38991700000000001</v>
      </c>
      <c r="X81" s="49">
        <v>0.38996900000000001</v>
      </c>
      <c r="Y81" s="49">
        <v>0.39011299999999999</v>
      </c>
      <c r="Z81" s="49">
        <v>0.39017800000000002</v>
      </c>
      <c r="AA81" s="49">
        <v>0.391183</v>
      </c>
      <c r="AB81" s="49">
        <v>0.391349</v>
      </c>
      <c r="AC81" s="49">
        <v>0.39100600000000002</v>
      </c>
      <c r="AD81" s="49">
        <v>0.39079999999999998</v>
      </c>
      <c r="AE81" s="49">
        <v>0.39048899999999998</v>
      </c>
      <c r="AF81" s="50">
        <v>-2.346E-3</v>
      </c>
      <c r="AG81" s="21"/>
    </row>
    <row r="82" spans="1:34">
      <c r="A82" s="39" t="s">
        <v>11</v>
      </c>
      <c r="B82" s="48" t="s">
        <v>10</v>
      </c>
      <c r="C82" s="49">
        <v>0.11000600000000001</v>
      </c>
      <c r="D82" s="49">
        <v>0.108038</v>
      </c>
      <c r="E82" s="49">
        <v>0.106242</v>
      </c>
      <c r="F82" s="49">
        <v>0.105144</v>
      </c>
      <c r="G82" s="49">
        <v>0.104667</v>
      </c>
      <c r="H82" s="49">
        <v>0.104195</v>
      </c>
      <c r="I82" s="49">
        <v>0.103587</v>
      </c>
      <c r="J82" s="49">
        <v>0.102784</v>
      </c>
      <c r="K82" s="49">
        <v>0.101827</v>
      </c>
      <c r="L82" s="49">
        <v>0.100913</v>
      </c>
      <c r="M82" s="49">
        <v>0.10027899999999999</v>
      </c>
      <c r="N82" s="49">
        <v>9.9837999999999996E-2</v>
      </c>
      <c r="O82" s="49">
        <v>9.9408999999999997E-2</v>
      </c>
      <c r="P82" s="49">
        <v>9.9009E-2</v>
      </c>
      <c r="Q82" s="49">
        <v>9.8730999999999999E-2</v>
      </c>
      <c r="R82" s="49">
        <v>9.8563999999999999E-2</v>
      </c>
      <c r="S82" s="49">
        <v>9.8387000000000002E-2</v>
      </c>
      <c r="T82" s="49">
        <v>9.8209000000000005E-2</v>
      </c>
      <c r="U82" s="49">
        <v>9.8181000000000004E-2</v>
      </c>
      <c r="V82" s="49">
        <v>9.8125000000000004E-2</v>
      </c>
      <c r="W82" s="49">
        <v>9.8048999999999997E-2</v>
      </c>
      <c r="X82" s="49">
        <v>9.7971000000000003E-2</v>
      </c>
      <c r="Y82" s="49">
        <v>9.7849000000000005E-2</v>
      </c>
      <c r="Z82" s="49">
        <v>9.7695000000000004E-2</v>
      </c>
      <c r="AA82" s="49">
        <v>9.7552E-2</v>
      </c>
      <c r="AB82" s="49">
        <v>9.7448000000000007E-2</v>
      </c>
      <c r="AC82" s="49">
        <v>9.7337000000000007E-2</v>
      </c>
      <c r="AD82" s="49">
        <v>9.7211000000000006E-2</v>
      </c>
      <c r="AE82" s="49">
        <v>9.7187999999999997E-2</v>
      </c>
      <c r="AF82" s="50">
        <v>-4.4149999999999997E-3</v>
      </c>
      <c r="AG82" s="21"/>
      <c r="AH82" s="9"/>
    </row>
    <row r="83" spans="1:34" ht="15" customHeight="1">
      <c r="A83" s="39" t="s">
        <v>9</v>
      </c>
      <c r="B83" s="48" t="s">
        <v>8</v>
      </c>
      <c r="C83" s="49">
        <v>1.355634</v>
      </c>
      <c r="D83" s="49">
        <v>1.4548650000000001</v>
      </c>
      <c r="E83" s="49">
        <v>1.475662</v>
      </c>
      <c r="F83" s="49">
        <v>1.4785189999999999</v>
      </c>
      <c r="G83" s="49">
        <v>1.497263</v>
      </c>
      <c r="H83" s="49">
        <v>1.5157860000000001</v>
      </c>
      <c r="I83" s="49">
        <v>1.5304420000000001</v>
      </c>
      <c r="J83" s="49">
        <v>1.541344</v>
      </c>
      <c r="K83" s="49">
        <v>1.5489949999999999</v>
      </c>
      <c r="L83" s="49">
        <v>1.556654</v>
      </c>
      <c r="M83" s="49">
        <v>1.568811</v>
      </c>
      <c r="N83" s="49">
        <v>1.5816239999999999</v>
      </c>
      <c r="O83" s="49">
        <v>1.593202</v>
      </c>
      <c r="P83" s="49">
        <v>1.606986</v>
      </c>
      <c r="Q83" s="49">
        <v>1.624819</v>
      </c>
      <c r="R83" s="49">
        <v>1.6461159999999999</v>
      </c>
      <c r="S83" s="49">
        <v>1.668479</v>
      </c>
      <c r="T83" s="49">
        <v>1.6918280000000001</v>
      </c>
      <c r="U83" s="49">
        <v>1.7189650000000001</v>
      </c>
      <c r="V83" s="49">
        <v>1.7449429999999999</v>
      </c>
      <c r="W83" s="49">
        <v>1.7713730000000001</v>
      </c>
      <c r="X83" s="49">
        <v>1.798206</v>
      </c>
      <c r="Y83" s="49">
        <v>1.82497</v>
      </c>
      <c r="Z83" s="49">
        <v>1.851021</v>
      </c>
      <c r="AA83" s="49">
        <v>1.876398</v>
      </c>
      <c r="AB83" s="49">
        <v>1.9036059999999999</v>
      </c>
      <c r="AC83" s="49">
        <v>1.9310860000000001</v>
      </c>
      <c r="AD83" s="49">
        <v>1.95817</v>
      </c>
      <c r="AE83" s="49">
        <v>1.988375</v>
      </c>
      <c r="AF83" s="50">
        <v>1.3774E-2</v>
      </c>
      <c r="AG83" s="21"/>
      <c r="AH83" s="9"/>
    </row>
    <row r="84" spans="1:34" ht="15" customHeight="1">
      <c r="A84" s="39" t="s">
        <v>7</v>
      </c>
      <c r="B84" s="48" t="s">
        <v>6</v>
      </c>
      <c r="C84" s="49">
        <v>0.20732500000000001</v>
      </c>
      <c r="D84" s="49">
        <v>0.20843100000000001</v>
      </c>
      <c r="E84" s="49">
        <v>0.20882999999999999</v>
      </c>
      <c r="F84" s="49">
        <v>0.209148</v>
      </c>
      <c r="G84" s="49">
        <v>0.209402</v>
      </c>
      <c r="H84" s="49">
        <v>0.20977399999999999</v>
      </c>
      <c r="I84" s="49">
        <v>0.21004500000000001</v>
      </c>
      <c r="J84" s="49">
        <v>0.210259</v>
      </c>
      <c r="K84" s="49">
        <v>0.21044299999999999</v>
      </c>
      <c r="L84" s="49">
        <v>0.21056</v>
      </c>
      <c r="M84" s="49">
        <v>0.21064099999999999</v>
      </c>
      <c r="N84" s="49">
        <v>0.21068000000000001</v>
      </c>
      <c r="O84" s="49">
        <v>0.210697</v>
      </c>
      <c r="P84" s="49">
        <v>0.210706</v>
      </c>
      <c r="Q84" s="49">
        <v>0.21076600000000001</v>
      </c>
      <c r="R84" s="49">
        <v>0.21086199999999999</v>
      </c>
      <c r="S84" s="49">
        <v>0.21096400000000001</v>
      </c>
      <c r="T84" s="49">
        <v>0.21106900000000001</v>
      </c>
      <c r="U84" s="49">
        <v>0.21117900000000001</v>
      </c>
      <c r="V84" s="49">
        <v>0.21129200000000001</v>
      </c>
      <c r="W84" s="49">
        <v>0.21140900000000001</v>
      </c>
      <c r="X84" s="49">
        <v>0.21152899999999999</v>
      </c>
      <c r="Y84" s="49">
        <v>0.21165200000000001</v>
      </c>
      <c r="Z84" s="49">
        <v>0.21177699999999999</v>
      </c>
      <c r="AA84" s="49">
        <v>0.21190600000000001</v>
      </c>
      <c r="AB84" s="49">
        <v>0.212036</v>
      </c>
      <c r="AC84" s="49">
        <v>0.21216699999999999</v>
      </c>
      <c r="AD84" s="49">
        <v>0.21229999999999999</v>
      </c>
      <c r="AE84" s="49">
        <v>0.21243699999999999</v>
      </c>
      <c r="AF84" s="50">
        <v>8.7000000000000001E-4</v>
      </c>
      <c r="AG84" s="21"/>
      <c r="AH84" s="9"/>
    </row>
    <row r="85" spans="1:34" ht="15" customHeight="1">
      <c r="A85" s="39" t="s">
        <v>5</v>
      </c>
      <c r="B85" s="48" t="s">
        <v>4</v>
      </c>
      <c r="C85" s="49">
        <v>5.9492000000000003E-2</v>
      </c>
      <c r="D85" s="49">
        <v>5.9483000000000001E-2</v>
      </c>
      <c r="E85" s="49">
        <v>5.9524000000000001E-2</v>
      </c>
      <c r="F85" s="49">
        <v>5.9541999999999998E-2</v>
      </c>
      <c r="G85" s="49">
        <v>5.9572E-2</v>
      </c>
      <c r="H85" s="49">
        <v>5.9511000000000001E-2</v>
      </c>
      <c r="I85" s="49">
        <v>5.9449000000000002E-2</v>
      </c>
      <c r="J85" s="49">
        <v>5.9402999999999997E-2</v>
      </c>
      <c r="K85" s="49">
        <v>5.9353999999999997E-2</v>
      </c>
      <c r="L85" s="49">
        <v>5.9304000000000003E-2</v>
      </c>
      <c r="M85" s="49">
        <v>5.9253E-2</v>
      </c>
      <c r="N85" s="49">
        <v>5.9201999999999998E-2</v>
      </c>
      <c r="O85" s="49">
        <v>5.9164000000000001E-2</v>
      </c>
      <c r="P85" s="49">
        <v>5.9152000000000003E-2</v>
      </c>
      <c r="Q85" s="49">
        <v>5.9166000000000003E-2</v>
      </c>
      <c r="R85" s="49">
        <v>5.9195999999999999E-2</v>
      </c>
      <c r="S85" s="49">
        <v>5.9240000000000001E-2</v>
      </c>
      <c r="T85" s="49">
        <v>5.9295E-2</v>
      </c>
      <c r="U85" s="49">
        <v>5.9360999999999997E-2</v>
      </c>
      <c r="V85" s="49">
        <v>5.9422000000000003E-2</v>
      </c>
      <c r="W85" s="49">
        <v>5.9483000000000001E-2</v>
      </c>
      <c r="X85" s="49">
        <v>5.9540000000000003E-2</v>
      </c>
      <c r="Y85" s="49">
        <v>5.9596999999999997E-2</v>
      </c>
      <c r="Z85" s="49">
        <v>5.9669E-2</v>
      </c>
      <c r="AA85" s="49">
        <v>5.9750999999999999E-2</v>
      </c>
      <c r="AB85" s="49">
        <v>5.9830000000000001E-2</v>
      </c>
      <c r="AC85" s="49">
        <v>5.9901000000000003E-2</v>
      </c>
      <c r="AD85" s="49">
        <v>5.9977999999999997E-2</v>
      </c>
      <c r="AE85" s="49">
        <v>6.0066000000000001E-2</v>
      </c>
      <c r="AF85" s="50">
        <v>3.4200000000000002E-4</v>
      </c>
      <c r="AG85" s="21"/>
      <c r="AH85" s="9"/>
    </row>
    <row r="86" spans="1:34" ht="15" customHeight="1">
      <c r="A86" s="39" t="s">
        <v>3</v>
      </c>
      <c r="B86" s="48" t="s">
        <v>140</v>
      </c>
      <c r="C86" s="49">
        <v>0.427838</v>
      </c>
      <c r="D86" s="49">
        <v>0.38759700000000002</v>
      </c>
      <c r="E86" s="49">
        <v>0.35946299999999998</v>
      </c>
      <c r="F86" s="49">
        <v>0.34329399999999999</v>
      </c>
      <c r="G86" s="49">
        <v>0.32869599999999999</v>
      </c>
      <c r="H86" s="49">
        <v>0.308921</v>
      </c>
      <c r="I86" s="49">
        <v>0.28999900000000001</v>
      </c>
      <c r="J86" s="49">
        <v>0.28910400000000003</v>
      </c>
      <c r="K86" s="49">
        <v>0.28829300000000002</v>
      </c>
      <c r="L86" s="49">
        <v>0.28903899999999999</v>
      </c>
      <c r="M86" s="49">
        <v>0.29181099999999999</v>
      </c>
      <c r="N86" s="49">
        <v>0.29583599999999999</v>
      </c>
      <c r="O86" s="49">
        <v>0.29795300000000002</v>
      </c>
      <c r="P86" s="49">
        <v>0.29923300000000003</v>
      </c>
      <c r="Q86" s="49">
        <v>0.29948200000000003</v>
      </c>
      <c r="R86" s="49">
        <v>0.29899300000000001</v>
      </c>
      <c r="S86" s="49">
        <v>0.30129</v>
      </c>
      <c r="T86" s="49">
        <v>0.30074099999999998</v>
      </c>
      <c r="U86" s="49">
        <v>0.305058</v>
      </c>
      <c r="V86" s="49">
        <v>0.30818499999999999</v>
      </c>
      <c r="W86" s="49">
        <v>0.31089600000000001</v>
      </c>
      <c r="X86" s="49">
        <v>0.31223099999999998</v>
      </c>
      <c r="Y86" s="49">
        <v>0.314168</v>
      </c>
      <c r="Z86" s="49">
        <v>0.31610899999999997</v>
      </c>
      <c r="AA86" s="49">
        <v>0.31862699999999999</v>
      </c>
      <c r="AB86" s="49">
        <v>0.322218</v>
      </c>
      <c r="AC86" s="49">
        <v>0.32569199999999998</v>
      </c>
      <c r="AD86" s="49">
        <v>0.326822</v>
      </c>
      <c r="AE86" s="49">
        <v>0.32913399999999998</v>
      </c>
      <c r="AF86" s="50">
        <v>-9.3229999999999997E-3</v>
      </c>
      <c r="AG86" s="21"/>
      <c r="AH86" s="9"/>
    </row>
    <row r="87" spans="1:34" ht="15" customHeight="1">
      <c r="A87" s="39" t="s">
        <v>1034</v>
      </c>
      <c r="B87" s="48" t="s">
        <v>1033</v>
      </c>
      <c r="C87" s="49">
        <v>0.15707299999999999</v>
      </c>
      <c r="D87" s="49">
        <v>0.17854100000000001</v>
      </c>
      <c r="E87" s="49">
        <v>0.181391</v>
      </c>
      <c r="F87" s="49">
        <v>0.19309499999999999</v>
      </c>
      <c r="G87" s="49">
        <v>0.21079899999999999</v>
      </c>
      <c r="H87" s="49">
        <v>0.22539999999999999</v>
      </c>
      <c r="I87" s="49">
        <v>0.23788899999999999</v>
      </c>
      <c r="J87" s="49">
        <v>0.24920700000000001</v>
      </c>
      <c r="K87" s="49">
        <v>0.27301300000000001</v>
      </c>
      <c r="L87" s="49">
        <v>0.29681999999999997</v>
      </c>
      <c r="M87" s="49">
        <v>0.32121100000000002</v>
      </c>
      <c r="N87" s="49">
        <v>0.34443299999999999</v>
      </c>
      <c r="O87" s="49">
        <v>0.36427100000000001</v>
      </c>
      <c r="P87" s="49">
        <v>0.37617400000000001</v>
      </c>
      <c r="Q87" s="49">
        <v>0.38469500000000001</v>
      </c>
      <c r="R87" s="49">
        <v>0.39204499999999998</v>
      </c>
      <c r="S87" s="49">
        <v>0.396013</v>
      </c>
      <c r="T87" s="49">
        <v>0.396013</v>
      </c>
      <c r="U87" s="49">
        <v>0.39659800000000001</v>
      </c>
      <c r="V87" s="49">
        <v>0.396013</v>
      </c>
      <c r="W87" s="49">
        <v>0.396013</v>
      </c>
      <c r="X87" s="49">
        <v>0.396013</v>
      </c>
      <c r="Y87" s="49">
        <v>0.39659800000000001</v>
      </c>
      <c r="Z87" s="49">
        <v>0.396013</v>
      </c>
      <c r="AA87" s="49">
        <v>0.396013</v>
      </c>
      <c r="AB87" s="49">
        <v>0.396013</v>
      </c>
      <c r="AC87" s="49">
        <v>0.39659800000000001</v>
      </c>
      <c r="AD87" s="49">
        <v>0.396013</v>
      </c>
      <c r="AE87" s="49">
        <v>0.396013</v>
      </c>
      <c r="AF87" s="50">
        <v>3.3577999999999997E-2</v>
      </c>
      <c r="AG87" s="21"/>
      <c r="AH87" s="9"/>
    </row>
    <row r="88" spans="1:34" ht="15" customHeight="1">
      <c r="A88" s="39" t="s">
        <v>2</v>
      </c>
      <c r="B88" s="47" t="s">
        <v>1</v>
      </c>
      <c r="C88" s="51">
        <v>14.370443</v>
      </c>
      <c r="D88" s="51">
        <v>14.403465000000001</v>
      </c>
      <c r="E88" s="51">
        <v>14.271711</v>
      </c>
      <c r="F88" s="51">
        <v>14.108815</v>
      </c>
      <c r="G88" s="51">
        <v>13.997396</v>
      </c>
      <c r="H88" s="51">
        <v>13.890337000000001</v>
      </c>
      <c r="I88" s="51">
        <v>13.767988000000001</v>
      </c>
      <c r="J88" s="51">
        <v>13.645885</v>
      </c>
      <c r="K88" s="51">
        <v>13.520163999999999</v>
      </c>
      <c r="L88" s="51">
        <v>13.411051</v>
      </c>
      <c r="M88" s="51">
        <v>13.323045</v>
      </c>
      <c r="N88" s="51">
        <v>13.25902</v>
      </c>
      <c r="O88" s="51">
        <v>13.203858</v>
      </c>
      <c r="P88" s="51">
        <v>13.147519000000001</v>
      </c>
      <c r="Q88" s="51">
        <v>13.087383000000001</v>
      </c>
      <c r="R88" s="51">
        <v>13.048246000000001</v>
      </c>
      <c r="S88" s="51">
        <v>13.022289000000001</v>
      </c>
      <c r="T88" s="51">
        <v>12.995312</v>
      </c>
      <c r="U88" s="51">
        <v>12.996620999999999</v>
      </c>
      <c r="V88" s="51">
        <v>13.0055</v>
      </c>
      <c r="W88" s="51">
        <v>13.025238999999999</v>
      </c>
      <c r="X88" s="51">
        <v>13.049395000000001</v>
      </c>
      <c r="Y88" s="51">
        <v>13.085273000000001</v>
      </c>
      <c r="Z88" s="51">
        <v>13.128707</v>
      </c>
      <c r="AA88" s="51">
        <v>13.191739999999999</v>
      </c>
      <c r="AB88" s="51">
        <v>13.269163000000001</v>
      </c>
      <c r="AC88" s="51">
        <v>13.350009</v>
      </c>
      <c r="AD88" s="51">
        <v>13.432016000000001</v>
      </c>
      <c r="AE88" s="51">
        <v>13.539635000000001</v>
      </c>
      <c r="AF88" s="52">
        <v>-2.1250000000000002E-3</v>
      </c>
      <c r="AG88" s="21"/>
      <c r="AH88" s="9"/>
    </row>
    <row r="89" spans="1:34" ht="15" customHeight="1" thickBot="1">
      <c r="A89" s="9"/>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9"/>
    </row>
    <row r="90" spans="1:34" ht="15" customHeight="1">
      <c r="A90" s="9"/>
      <c r="B90" s="80" t="s">
        <v>1035</v>
      </c>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c r="AD90" s="36"/>
      <c r="AE90" s="36"/>
      <c r="AF90" s="36"/>
      <c r="AG90" s="36"/>
      <c r="AH90" s="36"/>
    </row>
    <row r="91" spans="1:34" ht="15" customHeight="1">
      <c r="A91" s="9"/>
      <c r="B91" s="21" t="s">
        <v>152</v>
      </c>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9"/>
    </row>
    <row r="92" spans="1:34" ht="15" customHeight="1">
      <c r="A92" s="9"/>
      <c r="B92" s="21" t="s">
        <v>153</v>
      </c>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9"/>
    </row>
    <row r="93" spans="1:34">
      <c r="A93" s="9"/>
      <c r="B93" s="21" t="s">
        <v>1036</v>
      </c>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9"/>
    </row>
    <row r="94" spans="1:34" ht="15" customHeight="1">
      <c r="A94" s="9"/>
      <c r="B94" s="21" t="s">
        <v>154</v>
      </c>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9"/>
    </row>
    <row r="95" spans="1:34" ht="15" customHeight="1">
      <c r="A95" s="9"/>
      <c r="B95" s="21" t="s">
        <v>155</v>
      </c>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9"/>
    </row>
    <row r="96" spans="1:34" ht="15" customHeight="1">
      <c r="A96" s="9"/>
      <c r="B96" s="21" t="s">
        <v>1037</v>
      </c>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9"/>
    </row>
    <row r="97" spans="1:34" ht="15" customHeight="1">
      <c r="A97" s="9"/>
      <c r="B97" s="21" t="s">
        <v>156</v>
      </c>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9"/>
    </row>
    <row r="98" spans="1:34" ht="15" customHeight="1">
      <c r="B98" s="21" t="s">
        <v>157</v>
      </c>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c r="AG98" s="21"/>
    </row>
    <row r="99" spans="1:34" ht="15" customHeight="1">
      <c r="B99" s="21" t="s">
        <v>158</v>
      </c>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c r="AG99" s="21"/>
    </row>
    <row r="100" spans="1:34" ht="15" customHeight="1">
      <c r="B100" s="21" t="s">
        <v>1038</v>
      </c>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row>
    <row r="101" spans="1:34" ht="15" customHeight="1">
      <c r="B101" s="21" t="s">
        <v>1039</v>
      </c>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c r="AE101" s="21"/>
      <c r="AF101" s="21"/>
      <c r="AG101" s="21"/>
    </row>
    <row r="102" spans="1:34">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c r="AG102" s="21"/>
    </row>
    <row r="103" spans="1:34">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row>
    <row r="104" spans="1:34" ht="15" customHeight="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c r="AG104" s="21"/>
    </row>
    <row r="105" spans="1:34" ht="15" customHeight="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c r="AE105" s="21"/>
      <c r="AF105" s="21"/>
      <c r="AG105" s="21"/>
    </row>
    <row r="106" spans="1:34" ht="15" customHeight="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row>
    <row r="107" spans="1:34" ht="15" customHeight="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c r="AG107" s="21"/>
    </row>
    <row r="108" spans="1:34" ht="15" customHeight="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row>
    <row r="109" spans="1:34" ht="15" customHeight="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c r="AF109" s="21"/>
      <c r="AG109" s="21"/>
    </row>
    <row r="110" spans="1:34" ht="15" customHeight="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row>
    <row r="111" spans="1:34" ht="15" customHeight="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row>
    <row r="112" spans="1:34" ht="15" customHeight="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row>
    <row r="113" spans="2:33" ht="15" customHeight="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c r="AE113" s="21"/>
      <c r="AF113" s="21"/>
      <c r="AG113" s="21"/>
    </row>
    <row r="114" spans="2:33" ht="15" customHeight="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c r="AE114" s="21"/>
      <c r="AF114" s="21"/>
      <c r="AG114" s="21"/>
    </row>
    <row r="115" spans="2:33" ht="15" customHeight="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c r="AE115" s="21"/>
      <c r="AF115" s="21"/>
      <c r="AG115" s="21"/>
    </row>
    <row r="116" spans="2:33" ht="15" customHeight="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row>
    <row r="117" spans="2:33" ht="15" customHeight="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row>
    <row r="118" spans="2:33" ht="15" customHeight="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row>
    <row r="119" spans="2:33" ht="15" customHeight="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row>
    <row r="120" spans="2:33" ht="15" customHeight="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row>
    <row r="121" spans="2:33" ht="15" customHeight="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row>
    <row r="122" spans="2:33" ht="15" customHeight="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row>
    <row r="123" spans="2:33" ht="15" customHeight="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row>
    <row r="124" spans="2:33" ht="15" customHeight="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row>
    <row r="125" spans="2:33" ht="15" customHeight="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row>
    <row r="126" spans="2:33" ht="15" customHeight="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row>
    <row r="127" spans="2:33" ht="15" customHeight="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row>
    <row r="128" spans="2:33" ht="15" customHeight="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row>
    <row r="129" spans="2:33" ht="15" customHeight="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row>
    <row r="130" spans="2:33" ht="15" customHeight="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row>
    <row r="131" spans="2:33" ht="15" customHeight="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row>
    <row r="132" spans="2:33" ht="15" customHeight="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row>
    <row r="133" spans="2:33" ht="15" customHeight="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row>
    <row r="134" spans="2:33" ht="15" customHeight="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row>
    <row r="135" spans="2:33" ht="15" customHeight="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row>
    <row r="136" spans="2:33" ht="15" customHeight="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row>
    <row r="137" spans="2:33" ht="15" customHeight="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row>
    <row r="138" spans="2:33" ht="15" customHeight="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row>
    <row r="139" spans="2:33" ht="15" customHeight="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row>
    <row r="140" spans="2:33" ht="15" customHeight="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row>
    <row r="141" spans="2:33" ht="15" customHeight="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row>
    <row r="142" spans="2:33">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row>
    <row r="143" spans="2:33">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row>
    <row r="144" spans="2:33">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row>
    <row r="145" spans="2:33">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row>
    <row r="146" spans="2:33">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row>
    <row r="147" spans="2:33">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row>
    <row r="148" spans="2:33">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row>
    <row r="149" spans="2:33">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row>
    <row r="150" spans="2:33">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row>
    <row r="151" spans="2:33" ht="15" customHeight="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row>
    <row r="152" spans="2:33" ht="15" customHeight="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c r="AE152" s="21"/>
      <c r="AF152" s="21"/>
      <c r="AG152" s="21"/>
    </row>
    <row r="153" spans="2:33" ht="15" customHeight="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row>
    <row r="154" spans="2:33" ht="15" customHeight="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row>
    <row r="155" spans="2:33" ht="15" customHeight="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row>
    <row r="156" spans="2:33" ht="15" customHeight="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c r="AE156" s="21"/>
      <c r="AF156" s="21"/>
      <c r="AG156" s="21"/>
    </row>
    <row r="157" spans="2:33" ht="15" customHeight="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c r="AE157" s="21"/>
      <c r="AF157" s="21"/>
      <c r="AG157" s="21"/>
    </row>
    <row r="158" spans="2:33" ht="15" customHeight="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c r="AE158" s="21"/>
      <c r="AF158" s="21"/>
      <c r="AG158" s="21"/>
    </row>
    <row r="159" spans="2:33" ht="15" customHeight="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c r="AE159" s="21"/>
      <c r="AF159" s="21"/>
      <c r="AG159" s="21"/>
    </row>
    <row r="160" spans="2:33" ht="15" customHeight="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c r="AE160" s="21"/>
      <c r="AF160" s="21"/>
      <c r="AG160" s="21"/>
    </row>
    <row r="161" ht="15" customHeight="1"/>
    <row r="162" ht="15" customHeight="1"/>
    <row r="163" ht="15" customHeight="1"/>
    <row r="164" ht="15" customHeight="1"/>
    <row r="165"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5" ht="15" customHeight="1"/>
    <row r="226"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1" ht="15" customHeight="1"/>
    <row r="302" ht="15" customHeight="1"/>
    <row r="303" ht="15" customHeight="1"/>
    <row r="304" ht="15" customHeight="1"/>
    <row r="305" spans="2:32" ht="15" customHeight="1"/>
    <row r="306" spans="2:32" ht="15" customHeight="1"/>
    <row r="307" spans="2:32" ht="15" customHeight="1"/>
    <row r="308" spans="2:32" ht="15" customHeight="1">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row>
    <row r="309" spans="2:32" ht="15" customHeight="1">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row>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7" ht="15" customHeight="1"/>
    <row r="388" ht="15" customHeight="1"/>
    <row r="389" ht="15" customHeight="1"/>
    <row r="390" ht="15" customHeight="1"/>
    <row r="391" ht="15" customHeight="1"/>
    <row r="392" ht="15" customHeight="1"/>
    <row r="394" ht="15" customHeight="1"/>
    <row r="395" ht="15" customHeight="1"/>
    <row r="396" ht="15" customHeight="1"/>
    <row r="397" ht="15" customHeight="1"/>
    <row r="398" ht="15" customHeight="1"/>
    <row r="399" ht="15" customHeight="1"/>
    <row r="400" ht="15" customHeight="1"/>
    <row r="401" ht="15" customHeight="1"/>
    <row r="402" ht="15" customHeight="1"/>
    <row r="404" ht="15" customHeight="1"/>
    <row r="405" ht="15" customHeight="1"/>
    <row r="406" ht="15" customHeight="1"/>
    <row r="407" ht="15" customHeight="1"/>
    <row r="408" ht="15" customHeight="1"/>
    <row r="409" ht="15" customHeight="1"/>
    <row r="410" ht="15" customHeight="1"/>
    <row r="411" ht="15" customHeight="1"/>
    <row r="412" ht="15" customHeight="1"/>
    <row r="414" ht="15" customHeight="1"/>
    <row r="415" ht="15" customHeight="1"/>
    <row r="416" ht="15" customHeight="1"/>
    <row r="417" ht="15" customHeight="1"/>
    <row r="418" ht="15" customHeight="1"/>
    <row r="419"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5" ht="15" customHeight="1"/>
    <row r="436" ht="15" customHeight="1"/>
    <row r="437" ht="15" customHeight="1"/>
    <row r="438" ht="15" customHeight="1"/>
    <row r="439" ht="15" customHeight="1"/>
    <row r="440" ht="15" customHeight="1"/>
    <row r="441" ht="15" customHeight="1"/>
    <row r="442" ht="15" customHeight="1"/>
    <row r="443" ht="15" customHeight="1"/>
    <row r="446" ht="15" customHeight="1"/>
    <row r="447" ht="15" customHeight="1"/>
    <row r="448" ht="15" customHeight="1"/>
    <row r="449" ht="15" customHeight="1"/>
    <row r="450" ht="15" customHeight="1"/>
    <row r="451" ht="15" customHeight="1"/>
    <row r="453" ht="15" customHeight="1"/>
    <row r="454" ht="15" customHeight="1"/>
    <row r="455" ht="15" customHeight="1"/>
    <row r="456" ht="15" customHeight="1"/>
    <row r="457" ht="15" customHeight="1"/>
    <row r="458" ht="15" customHeight="1"/>
    <row r="460" ht="15" customHeight="1"/>
    <row r="461" ht="15" customHeight="1"/>
    <row r="462" ht="15" customHeight="1"/>
    <row r="463" ht="15" customHeight="1"/>
    <row r="464" ht="15" customHeight="1"/>
    <row r="465" ht="15" customHeight="1"/>
    <row r="466" ht="15" customHeight="1"/>
    <row r="467" ht="15" customHeight="1"/>
    <row r="468" ht="15" customHeight="1"/>
    <row r="471" ht="15" customHeight="1"/>
    <row r="472" ht="15" customHeight="1"/>
    <row r="473" ht="15" customHeight="1"/>
    <row r="474" ht="15" customHeight="1"/>
    <row r="475" ht="15" customHeight="1"/>
    <row r="476" ht="15" customHeight="1"/>
    <row r="477" ht="15" customHeight="1"/>
    <row r="478" ht="15" customHeight="1"/>
    <row r="479" ht="15" customHeight="1"/>
    <row r="481" ht="15" customHeight="1"/>
    <row r="482" ht="15" customHeight="1"/>
    <row r="483" ht="15" customHeight="1"/>
    <row r="484" ht="15" customHeight="1"/>
    <row r="485" ht="15" customHeight="1"/>
    <row r="486"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ht="15" customHeight="1"/>
    <row r="500" spans="2:32">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row>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ht="15" customHeight="1"/>
    <row r="510" spans="2:32">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row>
    <row r="511" spans="2:32" ht="15" customHeight="1">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row>
    <row r="512" spans="2:32" ht="15" customHeight="1">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row>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8" ht="15" customHeight="1"/>
    <row r="590" ht="15" customHeight="1"/>
    <row r="591" ht="15" customHeight="1"/>
    <row r="592" ht="15" customHeight="1"/>
    <row r="593" ht="15" customHeight="1"/>
    <row r="594" ht="15" customHeight="1"/>
    <row r="595" ht="15" customHeight="1"/>
    <row r="596"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8" ht="15" customHeight="1"/>
    <row r="619" ht="15" customHeight="1"/>
    <row r="620" ht="15" customHeight="1"/>
    <row r="621" ht="15" customHeight="1"/>
    <row r="622" ht="15" customHeight="1"/>
    <row r="623" ht="15" customHeight="1"/>
    <row r="624" ht="15" customHeight="1"/>
    <row r="625" ht="15" customHeight="1"/>
    <row r="627" ht="15" customHeight="1"/>
    <row r="628" ht="15" customHeight="1"/>
    <row r="629" ht="15" customHeight="1"/>
    <row r="630" ht="15" customHeight="1"/>
    <row r="631" ht="15" customHeight="1"/>
    <row r="633" ht="15" customHeight="1"/>
    <row r="634" ht="15" customHeight="1"/>
    <row r="635" ht="15" customHeight="1"/>
    <row r="636" ht="15" customHeight="1"/>
    <row r="637" ht="15" customHeight="1"/>
    <row r="638" ht="15" customHeight="1"/>
    <row r="640"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1"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2" ht="15" customHeight="1"/>
    <row r="683" ht="15" customHeight="1"/>
    <row r="684" ht="15" customHeight="1"/>
    <row r="685" ht="15" customHeight="1"/>
    <row r="686" ht="15" customHeight="1"/>
    <row r="687"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row r="712" spans="2:32" ht="15" customHeight="1">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row>
    <row r="713" spans="2:32" ht="15" customHeight="1">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row>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76" ht="15" customHeight="1"/>
    <row r="777" ht="15" customHeight="1"/>
    <row r="778" ht="15" customHeight="1"/>
    <row r="779" ht="15" customHeight="1"/>
    <row r="780" ht="15" customHeight="1"/>
    <row r="781" ht="15" customHeight="1"/>
    <row r="783" ht="15" customHeight="1"/>
    <row r="784" ht="15" customHeight="1"/>
    <row r="785" ht="15" customHeight="1"/>
    <row r="786" ht="15" customHeight="1"/>
    <row r="788" ht="15" customHeight="1"/>
    <row r="789" ht="15" customHeight="1"/>
    <row r="790" ht="15" customHeight="1"/>
    <row r="791"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9" ht="15" customHeight="1"/>
    <row r="810" ht="15" customHeight="1"/>
    <row r="811" ht="15" customHeight="1"/>
    <row r="812" ht="15" customHeight="1"/>
    <row r="813" ht="15" customHeight="1"/>
    <row r="814" ht="15" customHeight="1"/>
    <row r="815" ht="15" customHeight="1"/>
    <row r="817" ht="15" customHeight="1"/>
    <row r="818" ht="15" customHeight="1"/>
    <row r="819" ht="15" customHeight="1"/>
    <row r="820" ht="15" customHeight="1"/>
    <row r="821" ht="15" customHeight="1"/>
    <row r="823" ht="15" customHeight="1"/>
    <row r="824"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1"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8" ht="15" customHeight="1"/>
    <row r="859" ht="15" customHeight="1"/>
    <row r="860" ht="15" customHeight="1"/>
    <row r="861" ht="15" customHeight="1"/>
    <row r="862"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row r="887" spans="2:32" ht="15" customHeight="1">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row>
    <row r="888" spans="2:32" ht="15" customHeight="1">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row>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7" spans="2:32" ht="15" customHeight="1">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row>
    <row r="1098" spans="2:32" ht="15" customHeight="1"/>
    <row r="1099" spans="2:32" ht="15" customHeight="1"/>
    <row r="1100" spans="2:32" ht="15" customHeight="1"/>
    <row r="1101" spans="2:32" ht="15" customHeight="1">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row>
    <row r="1102" spans="2:32" ht="15" customHeight="1">
      <c r="B1102" s="9"/>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row>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12"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row r="1229" spans="2:32" ht="15" customHeight="1">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row>
    <row r="1230" spans="2:32" ht="15" customHeight="1">
      <c r="B1230" s="9"/>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row>
    <row r="1231" spans="2:32" ht="15" customHeight="1"/>
    <row r="1232" spans="2:32" ht="15" customHeight="1"/>
    <row r="1233" ht="15" customHeight="1"/>
    <row r="1234" ht="15" customHeight="1"/>
    <row r="1235" ht="15" customHeight="1"/>
    <row r="1236" ht="15" customHeight="1"/>
    <row r="1237" ht="15" customHeight="1"/>
    <row r="1238" ht="15" customHeight="1"/>
    <row r="1301" ht="15" customHeight="1"/>
    <row r="1302" ht="15" customHeight="1"/>
    <row r="1303" ht="15" customHeight="1"/>
    <row r="1304" ht="15" customHeight="1"/>
    <row r="1305" ht="15" customHeight="1"/>
    <row r="1306"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8"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1" ht="15" customHeight="1"/>
    <row r="1353" ht="15" customHeight="1"/>
    <row r="1354" ht="15" customHeight="1"/>
    <row r="1355" ht="15" customHeight="1"/>
    <row r="1356" ht="15" customHeight="1"/>
    <row r="1357" ht="15" customHeight="1"/>
    <row r="1358" ht="15" customHeight="1"/>
    <row r="1359" ht="15" customHeight="1"/>
    <row r="1360"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ht="15" customHeight="1"/>
    <row r="1385" spans="2:32">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row>
    <row r="1386" spans="2:32" ht="15" customHeight="1"/>
    <row r="1387" spans="2:32" ht="15" customHeight="1"/>
    <row r="1388" spans="2:32" ht="15" customHeight="1"/>
    <row r="1389" spans="2:32" ht="15" customHeight="1"/>
    <row r="1390" spans="2:32" ht="15" customHeight="1">
      <c r="B1390" s="9"/>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row>
    <row r="1391" spans="2:32" ht="15" customHeight="1">
      <c r="B1391" s="9"/>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row>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90" spans="2:32" ht="15" customHeight="1"/>
    <row r="1491" spans="2:32">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row>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ht="15" customHeight="1"/>
    <row r="1500" spans="2:32">
      <c r="B1500" s="9"/>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c r="AA1500" s="9"/>
      <c r="AB1500" s="9"/>
      <c r="AC1500" s="9"/>
      <c r="AD1500" s="9"/>
      <c r="AE1500" s="9"/>
      <c r="AF1500" s="9"/>
    </row>
    <row r="1501" spans="2:32" ht="15" customHeight="1"/>
    <row r="1502" spans="2:32" ht="15" customHeight="1">
      <c r="B1502" s="9"/>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c r="AA1502" s="9"/>
      <c r="AB1502" s="9"/>
      <c r="AC1502" s="9"/>
      <c r="AD1502" s="9"/>
      <c r="AE1502" s="9"/>
      <c r="AF1502" s="9"/>
    </row>
    <row r="1503" spans="2:32" ht="15" customHeight="1">
      <c r="B1503" s="9"/>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c r="AA1503" s="9"/>
      <c r="AB1503" s="9"/>
      <c r="AC1503" s="9"/>
      <c r="AD1503" s="9"/>
      <c r="AE1503" s="9"/>
      <c r="AF1503" s="9"/>
    </row>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76" ht="15" customHeight="1"/>
    <row r="1577" ht="15" customHeight="1"/>
    <row r="1578" ht="15" customHeight="1"/>
    <row r="1579" ht="15" customHeight="1"/>
    <row r="1580" ht="15" customHeight="1"/>
    <row r="1581" ht="15" customHeight="1"/>
    <row r="1583" ht="15" customHeight="1"/>
    <row r="1584" ht="15" customHeight="1"/>
    <row r="1585" ht="15" customHeight="1"/>
    <row r="1586" ht="15" customHeight="1"/>
    <row r="1588" ht="15" customHeight="1"/>
    <row r="1589" ht="15" customHeight="1"/>
    <row r="1590" ht="15" customHeight="1"/>
    <row r="1591" ht="15" customHeight="1"/>
    <row r="1593" ht="15" customHeight="1"/>
    <row r="1595" ht="15" customHeight="1"/>
    <row r="1596" ht="15" customHeight="1"/>
    <row r="1597" ht="15" customHeight="1"/>
    <row r="1598" ht="15" customHeight="1"/>
    <row r="1600" ht="15" customHeight="1"/>
    <row r="1601" spans="2:32" ht="15" customHeight="1"/>
    <row r="1602" spans="2:32" ht="15" customHeight="1"/>
    <row r="1603" spans="2:32" ht="15" customHeight="1"/>
    <row r="1604" spans="2:32" ht="15" customHeight="1">
      <c r="B1604" s="9"/>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row>
    <row r="1605" spans="2:32" ht="15" customHeight="1">
      <c r="B1605" s="9"/>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row>
    <row r="1606" spans="2:32" ht="15" customHeight="1"/>
    <row r="1607" spans="2:32" ht="15" customHeight="1"/>
    <row r="1608" spans="2:32" ht="15" customHeight="1"/>
    <row r="1609" spans="2:32" ht="15" customHeight="1"/>
    <row r="1610" spans="2:32" ht="15" customHeight="1"/>
    <row r="1611" spans="2:32" ht="15" customHeight="1"/>
    <row r="1613" spans="2:32">
      <c r="B1613" s="9"/>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c r="AA1613" s="9"/>
      <c r="AB1613" s="9"/>
      <c r="AC1613" s="9"/>
      <c r="AD1613" s="9"/>
      <c r="AE1613" s="9"/>
      <c r="AF1613" s="9"/>
    </row>
    <row r="1614" spans="2:32">
      <c r="B1614" s="9"/>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c r="AA1614" s="9"/>
      <c r="AB1614" s="9"/>
      <c r="AC1614" s="9"/>
      <c r="AD1614" s="9"/>
      <c r="AE1614" s="9"/>
      <c r="AF1614" s="9"/>
    </row>
    <row r="1615" spans="2:32">
      <c r="B1615" s="9"/>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c r="AA1615" s="9"/>
      <c r="AB1615" s="9"/>
      <c r="AC1615" s="9"/>
      <c r="AD1615" s="9"/>
      <c r="AE1615" s="9"/>
      <c r="AF1615" s="9"/>
    </row>
    <row r="1616" spans="2:32">
      <c r="B1616" s="9"/>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c r="AA1616" s="9"/>
      <c r="AB1616" s="9"/>
      <c r="AC1616" s="9"/>
      <c r="AD1616" s="9"/>
      <c r="AE1616" s="9"/>
      <c r="AF1616" s="9"/>
    </row>
    <row r="1617" spans="2:32">
      <c r="B1617" s="9"/>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c r="AA1617" s="9"/>
      <c r="AB1617" s="9"/>
      <c r="AC1617" s="9"/>
      <c r="AD1617" s="9"/>
      <c r="AE1617" s="9"/>
      <c r="AF1617" s="9"/>
    </row>
    <row r="1626" spans="2:32" ht="15" customHeight="1"/>
    <row r="1627" spans="2:32" ht="15" customHeight="1"/>
    <row r="1628" spans="2:32" ht="15" customHeight="1"/>
    <row r="1629" spans="2:32" ht="15" customHeight="1"/>
    <row r="1630" spans="2:32" ht="15" customHeight="1"/>
    <row r="1631" spans="2:32" ht="15" customHeight="1"/>
    <row r="1632" spans="2:32" ht="15" customHeight="1"/>
    <row r="1633" ht="15" customHeight="1"/>
    <row r="1634" ht="15" customHeight="1"/>
    <row r="1635" ht="15" customHeight="1"/>
    <row r="1636" ht="15" customHeight="1"/>
    <row r="1637" ht="15" customHeight="1"/>
    <row r="1638" ht="15" customHeight="1"/>
    <row r="1639"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6"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7" ht="15" customHeight="1"/>
    <row r="1689" ht="15" customHeight="1"/>
    <row r="1690" ht="15" customHeight="1"/>
    <row r="1691" ht="15" customHeight="1"/>
    <row r="1692" ht="15" customHeight="1"/>
    <row r="1693" ht="15" customHeight="1"/>
    <row r="1694" ht="15" customHeight="1"/>
    <row r="1695" ht="15" customHeight="1"/>
    <row r="1696" ht="15" customHeight="1"/>
    <row r="1698" spans="2:32" ht="15" customHeight="1">
      <c r="B1698" s="9"/>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c r="AA1698" s="9"/>
      <c r="AB1698" s="9"/>
      <c r="AC1698" s="9"/>
      <c r="AD1698" s="9"/>
      <c r="AE1698" s="9"/>
      <c r="AF1698" s="9"/>
    </row>
    <row r="1699" spans="2:32" ht="15" customHeight="1">
      <c r="B1699" s="9"/>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c r="AA1699" s="9"/>
      <c r="AB1699" s="9"/>
      <c r="AC1699" s="9"/>
      <c r="AD1699" s="9"/>
      <c r="AE1699" s="9"/>
      <c r="AF1699" s="9"/>
    </row>
    <row r="1700" spans="2:32" ht="15" customHeight="1">
      <c r="B1700" s="9"/>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c r="AA1700" s="9"/>
      <c r="AB1700" s="9"/>
      <c r="AC1700" s="9"/>
      <c r="AD1700" s="9"/>
      <c r="AE1700" s="9"/>
      <c r="AF1700" s="9"/>
    </row>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2" ht="15" customHeight="1"/>
    <row r="1864" ht="15" customHeight="1"/>
    <row r="1865" ht="15" customHeight="1"/>
    <row r="1866" ht="15" customHeight="1"/>
    <row r="1868" ht="15" customHeight="1"/>
    <row r="1869" ht="15" customHeight="1"/>
    <row r="1870" ht="15" customHeight="1"/>
    <row r="1871" ht="15" customHeight="1"/>
    <row r="1873" ht="15" customHeight="1"/>
    <row r="1874" ht="15" customHeight="1"/>
    <row r="1875" ht="15" customHeight="1"/>
    <row r="1876" ht="15" customHeight="1"/>
    <row r="1877"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9" ht="15" customHeight="1"/>
    <row r="1890" ht="15" customHeight="1"/>
    <row r="1891" ht="15" customHeight="1"/>
    <row r="1892" ht="15" customHeight="1"/>
    <row r="1894" ht="15" customHeight="1"/>
    <row r="1895" ht="15" customHeight="1"/>
    <row r="1896" ht="15" customHeight="1"/>
    <row r="1897" ht="15" customHeight="1"/>
    <row r="1898" ht="15" customHeight="1"/>
    <row r="1899" ht="15" customHeight="1"/>
    <row r="1900" ht="15" customHeight="1"/>
    <row r="1901" ht="15" customHeight="1"/>
    <row r="1904" ht="15" customHeight="1"/>
    <row r="1905" ht="15" customHeight="1"/>
    <row r="1906" ht="15" customHeight="1"/>
    <row r="1907" ht="15" customHeight="1"/>
    <row r="1908" ht="15" customHeight="1"/>
    <row r="1910" ht="15" customHeight="1"/>
    <row r="1911" ht="15" customHeight="1"/>
    <row r="1912" ht="15" customHeight="1"/>
    <row r="1913" ht="15" customHeight="1"/>
    <row r="1914" ht="15" customHeight="1"/>
    <row r="1916" ht="15" customHeight="1"/>
    <row r="1917" ht="15" customHeight="1"/>
    <row r="1918" ht="15" customHeight="1"/>
    <row r="1920" ht="15" customHeight="1"/>
    <row r="1921" ht="15" customHeight="1"/>
    <row r="1922" ht="15" customHeight="1"/>
    <row r="1923" ht="15" customHeight="1"/>
    <row r="1925" ht="15" customHeight="1"/>
    <row r="1926" ht="15" customHeight="1"/>
    <row r="1927" ht="15" customHeight="1"/>
    <row r="1928" ht="15" customHeight="1"/>
    <row r="1929" ht="15" customHeight="1"/>
    <row r="1930" ht="15" customHeight="1"/>
    <row r="1931" ht="15" customHeight="1"/>
    <row r="1932" ht="15" customHeight="1"/>
    <row r="1934" ht="15" customHeight="1"/>
    <row r="1935" ht="15" customHeight="1"/>
    <row r="1936"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row r="1945" spans="2:32" ht="15" customHeight="1">
      <c r="B1945" s="9"/>
      <c r="C1945" s="9"/>
      <c r="D1945" s="9"/>
      <c r="E1945" s="9"/>
      <c r="F1945" s="9"/>
      <c r="G1945" s="9"/>
      <c r="H1945" s="9"/>
      <c r="I1945" s="9"/>
      <c r="J1945" s="9"/>
      <c r="K1945" s="9"/>
      <c r="L1945" s="9"/>
      <c r="M1945" s="9"/>
      <c r="N1945" s="9"/>
      <c r="O1945" s="9"/>
      <c r="P1945" s="9"/>
      <c r="Q1945" s="9"/>
      <c r="R1945" s="9"/>
      <c r="S1945" s="9"/>
      <c r="T1945" s="9"/>
      <c r="U1945" s="9"/>
      <c r="V1945" s="9"/>
      <c r="W1945" s="9"/>
      <c r="X1945" s="9"/>
      <c r="Y1945" s="9"/>
      <c r="Z1945" s="9"/>
      <c r="AA1945" s="9"/>
      <c r="AB1945" s="9"/>
      <c r="AC1945" s="9"/>
      <c r="AD1945" s="9"/>
      <c r="AE1945" s="9"/>
      <c r="AF1945" s="9"/>
    </row>
    <row r="1946" spans="2:32" ht="15" customHeight="1">
      <c r="B1946" s="9"/>
      <c r="C1946" s="9"/>
      <c r="D1946" s="9"/>
      <c r="E1946" s="9"/>
      <c r="F1946" s="9"/>
      <c r="G1946" s="9"/>
      <c r="H1946" s="9"/>
      <c r="I1946" s="9"/>
      <c r="J1946" s="9"/>
      <c r="K1946" s="9"/>
      <c r="L1946" s="9"/>
      <c r="M1946" s="9"/>
      <c r="N1946" s="9"/>
      <c r="O1946" s="9"/>
      <c r="P1946" s="9"/>
      <c r="Q1946" s="9"/>
      <c r="R1946" s="9"/>
      <c r="S1946" s="9"/>
      <c r="T1946" s="9"/>
      <c r="U1946" s="9"/>
      <c r="V1946" s="9"/>
      <c r="W1946" s="9"/>
      <c r="X1946" s="9"/>
      <c r="Y1946" s="9"/>
      <c r="Z1946" s="9"/>
      <c r="AA1946" s="9"/>
      <c r="AB1946" s="9"/>
      <c r="AC1946" s="9"/>
      <c r="AD1946" s="9"/>
      <c r="AE1946" s="9"/>
      <c r="AF1946" s="9"/>
    </row>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56" ht="15" customHeight="1"/>
    <row r="1976" ht="15" customHeight="1"/>
    <row r="1977" ht="15" customHeight="1"/>
    <row r="1978" ht="15" customHeight="1"/>
    <row r="1979" ht="15" customHeight="1"/>
    <row r="1980" ht="15" customHeight="1"/>
    <row r="1981" ht="15" customHeight="1"/>
    <row r="1982" ht="15" customHeight="1"/>
    <row r="1983" ht="15" customHeight="1"/>
    <row r="1985" ht="15" customHeight="1"/>
    <row r="1986" ht="15" customHeight="1"/>
    <row r="1987" ht="15" customHeight="1"/>
    <row r="1989"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5" ht="15" customHeight="1"/>
    <row r="2007" ht="15" customHeight="1"/>
    <row r="2009" ht="15" customHeight="1"/>
    <row r="2010"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ht="15" customHeight="1"/>
    <row r="2022" spans="2:32">
      <c r="B2022" s="9"/>
      <c r="C2022" s="9"/>
      <c r="D2022" s="9"/>
      <c r="E2022" s="9"/>
      <c r="F2022" s="9"/>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row>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row r="2031" spans="2:32" ht="15" customHeight="1">
      <c r="B2031" s="9"/>
      <c r="C2031" s="9"/>
      <c r="D2031" s="9"/>
      <c r="E2031" s="9"/>
      <c r="F2031" s="9"/>
      <c r="G2031" s="9"/>
      <c r="H2031" s="9"/>
      <c r="I2031" s="9"/>
      <c r="J2031" s="9"/>
      <c r="K2031" s="9"/>
      <c r="L2031" s="9"/>
      <c r="M2031" s="9"/>
      <c r="N2031" s="9"/>
      <c r="O2031" s="9"/>
      <c r="P2031" s="9"/>
      <c r="Q2031" s="9"/>
      <c r="R2031" s="9"/>
      <c r="S2031" s="9"/>
      <c r="T2031" s="9"/>
      <c r="U2031" s="9"/>
      <c r="V2031" s="9"/>
      <c r="W2031" s="9"/>
      <c r="X2031" s="9"/>
      <c r="Y2031" s="9"/>
      <c r="Z2031" s="9"/>
      <c r="AA2031" s="9"/>
      <c r="AB2031" s="9"/>
      <c r="AC2031" s="9"/>
      <c r="AD2031" s="9"/>
      <c r="AE2031" s="9"/>
      <c r="AF2031" s="9"/>
    </row>
    <row r="2032" spans="2:32" ht="15" customHeight="1">
      <c r="B2032" s="9"/>
      <c r="C2032" s="9"/>
      <c r="D2032" s="9"/>
      <c r="E2032" s="9"/>
      <c r="F2032" s="9"/>
      <c r="G2032" s="9"/>
      <c r="H2032" s="9"/>
      <c r="I2032" s="9"/>
      <c r="J2032" s="9"/>
      <c r="K2032" s="9"/>
      <c r="L2032" s="9"/>
      <c r="M2032" s="9"/>
      <c r="N2032" s="9"/>
      <c r="O2032" s="9"/>
      <c r="P2032" s="9"/>
      <c r="Q2032" s="9"/>
      <c r="R2032" s="9"/>
      <c r="S2032" s="9"/>
      <c r="T2032" s="9"/>
      <c r="U2032" s="9"/>
      <c r="V2032" s="9"/>
      <c r="W2032" s="9"/>
      <c r="X2032" s="9"/>
      <c r="Y2032" s="9"/>
      <c r="Z2032" s="9"/>
      <c r="AA2032" s="9"/>
      <c r="AB2032" s="9"/>
      <c r="AC2032" s="9"/>
      <c r="AD2032" s="9"/>
      <c r="AE2032" s="9"/>
      <c r="AF2032" s="9"/>
    </row>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101" ht="15" customHeight="1"/>
    <row r="2102" ht="15" customHeight="1"/>
    <row r="2103" ht="15" customHeight="1"/>
    <row r="2104" ht="15" customHeight="1"/>
    <row r="2105" ht="15" customHeight="1"/>
    <row r="2106" ht="15" customHeight="1"/>
    <row r="2108" ht="15" customHeight="1"/>
    <row r="2109"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5" ht="15" customHeight="1"/>
    <row r="2126" ht="15" customHeight="1"/>
    <row r="2127" ht="15" customHeight="1"/>
    <row r="2128" ht="15" customHeight="1"/>
    <row r="2129" ht="15" customHeight="1"/>
    <row r="2130" ht="15" customHeight="1"/>
    <row r="2132" ht="15" customHeight="1"/>
    <row r="2134" ht="15" customHeight="1"/>
    <row r="2135"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ht="15" customHeight="1"/>
    <row r="2148" spans="2:32">
      <c r="B2148" s="9"/>
      <c r="C2148" s="9"/>
      <c r="D2148" s="9"/>
      <c r="E2148" s="9"/>
      <c r="F2148" s="9"/>
      <c r="G2148" s="9"/>
      <c r="H2148" s="9"/>
      <c r="I2148" s="9"/>
      <c r="J2148" s="9"/>
      <c r="K2148" s="9"/>
      <c r="L2148" s="9"/>
      <c r="M2148" s="9"/>
      <c r="N2148" s="9"/>
      <c r="O2148" s="9"/>
      <c r="P2148" s="9"/>
      <c r="Q2148" s="9"/>
      <c r="R2148" s="9"/>
      <c r="S2148" s="9"/>
      <c r="T2148" s="9"/>
      <c r="U2148" s="9"/>
      <c r="V2148" s="9"/>
      <c r="W2148" s="9"/>
      <c r="X2148" s="9"/>
      <c r="Y2148" s="9"/>
      <c r="Z2148" s="9"/>
      <c r="AA2148" s="9"/>
      <c r="AB2148" s="9"/>
      <c r="AC2148" s="9"/>
      <c r="AD2148" s="9"/>
      <c r="AE2148" s="9"/>
      <c r="AF2148" s="9"/>
    </row>
    <row r="2149" spans="2:32" ht="15" customHeight="1"/>
    <row r="2150" spans="2:32">
      <c r="B2150" s="9"/>
      <c r="C2150" s="9"/>
      <c r="D2150" s="9"/>
      <c r="E2150" s="9"/>
      <c r="F2150" s="9"/>
      <c r="G2150" s="9"/>
      <c r="H2150" s="9"/>
      <c r="I2150" s="9"/>
      <c r="J2150" s="9"/>
      <c r="K2150" s="9"/>
      <c r="L2150" s="9"/>
      <c r="M2150" s="9"/>
      <c r="N2150" s="9"/>
      <c r="O2150" s="9"/>
      <c r="P2150" s="9"/>
      <c r="Q2150" s="9"/>
      <c r="R2150" s="9"/>
      <c r="S2150" s="9"/>
      <c r="T2150" s="9"/>
      <c r="U2150" s="9"/>
      <c r="V2150" s="9"/>
      <c r="W2150" s="9"/>
      <c r="X2150" s="9"/>
      <c r="Y2150" s="9"/>
      <c r="Z2150" s="9"/>
      <c r="AA2150" s="9"/>
      <c r="AB2150" s="9"/>
      <c r="AC2150" s="9"/>
      <c r="AD2150" s="9"/>
      <c r="AE2150" s="9"/>
      <c r="AF2150" s="9"/>
    </row>
    <row r="2151" spans="2:32">
      <c r="B2151" s="9"/>
      <c r="C2151" s="9"/>
      <c r="D2151" s="9"/>
      <c r="E2151" s="9"/>
      <c r="F2151" s="9"/>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row>
    <row r="2152" spans="2:32" ht="15" customHeight="1"/>
    <row r="2153" spans="2:32" ht="15" customHeight="1">
      <c r="B2153" s="9"/>
      <c r="C2153" s="9"/>
      <c r="D2153" s="9"/>
      <c r="E2153" s="9"/>
      <c r="F2153" s="9"/>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row>
    <row r="2154" spans="2:32" ht="15" customHeight="1">
      <c r="B2154" s="9"/>
      <c r="C2154" s="9"/>
      <c r="D2154" s="9"/>
      <c r="E2154" s="9"/>
      <c r="F2154" s="9"/>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row>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163"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1" ht="15" customHeight="1"/>
    <row r="2262" ht="15" customHeight="1"/>
    <row r="2263" ht="15" customHeight="1"/>
    <row r="2265" ht="15" customHeight="1"/>
    <row r="2267" ht="15" customHeight="1"/>
    <row r="2268" ht="15" customHeight="1"/>
    <row r="2269" ht="15" customHeight="1"/>
    <row r="2270" ht="15" customHeight="1"/>
    <row r="2272" ht="15" customHeight="1"/>
    <row r="2274" ht="15" customHeight="1"/>
    <row r="2275" ht="15" customHeight="1"/>
    <row r="2276" ht="15" customHeight="1"/>
    <row r="2277" ht="15" customHeight="1"/>
    <row r="2278" ht="15" customHeight="1"/>
    <row r="2279" ht="15" customHeight="1"/>
    <row r="2280" ht="15" customHeight="1"/>
    <row r="2281" ht="15" customHeight="1"/>
    <row r="2283" ht="15" customHeight="1"/>
    <row r="2285" ht="15" customHeight="1"/>
    <row r="2286" ht="15" customHeight="1"/>
    <row r="2287"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2" ht="15" customHeight="1"/>
    <row r="2303" ht="15" customHeight="1"/>
    <row r="2304"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row r="2317" spans="2:32" ht="15" customHeight="1">
      <c r="B2317" s="9"/>
      <c r="C2317" s="9"/>
      <c r="D2317" s="9"/>
      <c r="E2317" s="9"/>
      <c r="F2317" s="9"/>
      <c r="G2317" s="9"/>
      <c r="H2317" s="9"/>
      <c r="I2317" s="9"/>
      <c r="J2317" s="9"/>
      <c r="K2317" s="9"/>
      <c r="L2317" s="9"/>
      <c r="M2317" s="9"/>
      <c r="N2317" s="9"/>
      <c r="O2317" s="9"/>
      <c r="P2317" s="9"/>
      <c r="Q2317" s="9"/>
      <c r="R2317" s="9"/>
      <c r="S2317" s="9"/>
      <c r="T2317" s="9"/>
      <c r="U2317" s="9"/>
      <c r="V2317" s="9"/>
      <c r="W2317" s="9"/>
      <c r="X2317" s="9"/>
      <c r="Y2317" s="9"/>
      <c r="Z2317" s="9"/>
      <c r="AA2317" s="9"/>
      <c r="AB2317" s="9"/>
      <c r="AC2317" s="9"/>
      <c r="AD2317" s="9"/>
      <c r="AE2317" s="9"/>
      <c r="AF2317" s="9"/>
    </row>
    <row r="2318" spans="2:32" ht="15" customHeight="1">
      <c r="B2318" s="9"/>
      <c r="C2318" s="9"/>
      <c r="D2318" s="9"/>
      <c r="E2318" s="9"/>
      <c r="F2318" s="9"/>
      <c r="G2318" s="9"/>
      <c r="H2318" s="9"/>
      <c r="I2318" s="9"/>
      <c r="J2318" s="9"/>
      <c r="K2318" s="9"/>
      <c r="L2318" s="9"/>
      <c r="M2318" s="9"/>
      <c r="N2318" s="9"/>
      <c r="O2318" s="9"/>
      <c r="P2318" s="9"/>
      <c r="Q2318" s="9"/>
      <c r="R2318" s="9"/>
      <c r="S2318" s="9"/>
      <c r="T2318" s="9"/>
      <c r="U2318" s="9"/>
      <c r="V2318" s="9"/>
      <c r="W2318" s="9"/>
      <c r="X2318" s="9"/>
      <c r="Y2318" s="9"/>
      <c r="Z2318" s="9"/>
      <c r="AA2318" s="9"/>
      <c r="AB2318" s="9"/>
      <c r="AC2318" s="9"/>
      <c r="AD2318" s="9"/>
      <c r="AE2318" s="9"/>
      <c r="AF2318" s="9"/>
    </row>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1" ht="15" customHeight="1"/>
    <row r="2392" ht="15" customHeight="1"/>
    <row r="2393" ht="15" customHeight="1"/>
    <row r="2394" ht="15" customHeight="1"/>
    <row r="2395" ht="15" customHeight="1"/>
    <row r="2396" ht="15" customHeight="1"/>
    <row r="2397" ht="15" customHeight="1"/>
    <row r="2398"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1" ht="15" customHeight="1"/>
    <row r="2412" ht="15" customHeight="1"/>
    <row r="2413" ht="15" customHeight="1"/>
    <row r="2414" ht="15" customHeight="1"/>
    <row r="2415" ht="15" customHeight="1"/>
    <row r="2416" ht="15" customHeight="1"/>
    <row r="2417" spans="2:32" ht="15" customHeight="1"/>
    <row r="2418" spans="2:32" ht="15" customHeight="1"/>
    <row r="2419" spans="2:32" ht="15" customHeight="1">
      <c r="B2419" s="9"/>
      <c r="C2419" s="9"/>
      <c r="D2419" s="9"/>
      <c r="E2419" s="9"/>
      <c r="F2419" s="9"/>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row>
    <row r="2420" spans="2:32" ht="15" customHeight="1">
      <c r="B2420" s="9"/>
      <c r="C2420" s="9"/>
      <c r="D2420" s="9"/>
      <c r="E2420" s="9"/>
      <c r="F2420" s="9"/>
      <c r="G2420" s="9"/>
      <c r="H2420" s="9"/>
      <c r="I2420" s="9"/>
      <c r="J2420" s="9"/>
      <c r="K2420" s="9"/>
      <c r="L2420" s="9"/>
      <c r="M2420" s="9"/>
      <c r="N2420" s="9"/>
      <c r="O2420" s="9"/>
      <c r="P2420" s="9"/>
      <c r="Q2420" s="9"/>
      <c r="R2420" s="9"/>
      <c r="S2420" s="9"/>
      <c r="T2420" s="9"/>
      <c r="U2420" s="9"/>
      <c r="V2420" s="9"/>
      <c r="W2420" s="9"/>
      <c r="X2420" s="9"/>
      <c r="Y2420" s="9"/>
      <c r="Z2420" s="9"/>
      <c r="AA2420" s="9"/>
      <c r="AB2420" s="9"/>
      <c r="AC2420" s="9"/>
      <c r="AD2420" s="9"/>
      <c r="AE2420" s="9"/>
      <c r="AF2420" s="9"/>
    </row>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38" ht="15" customHeight="1"/>
    <row r="2451" ht="15" customHeight="1"/>
    <row r="2452" ht="15" customHeight="1"/>
    <row r="2453" ht="15" customHeight="1"/>
    <row r="2454" ht="15" customHeight="1"/>
    <row r="2455" ht="15" customHeight="1"/>
    <row r="2456" ht="15" customHeight="1"/>
    <row r="2458" ht="15" customHeight="1"/>
    <row r="2460" ht="15" customHeight="1"/>
    <row r="2462" ht="15" customHeight="1"/>
    <row r="2463" ht="15" customHeight="1"/>
    <row r="2464" ht="15" customHeight="1"/>
    <row r="2465" ht="15" customHeight="1"/>
    <row r="2466" ht="15" customHeight="1"/>
    <row r="2468" ht="15" customHeight="1"/>
    <row r="2469" ht="15" customHeight="1"/>
    <row r="2470" ht="15" customHeight="1"/>
    <row r="2471" ht="15" customHeight="1"/>
    <row r="2472" ht="15" customHeight="1"/>
    <row r="2473" ht="15" customHeight="1"/>
    <row r="2474"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7" ht="15" customHeight="1"/>
    <row r="2489" ht="15" customHeight="1"/>
    <row r="2490" ht="15" customHeight="1"/>
    <row r="2491" ht="15" customHeight="1"/>
    <row r="2492" ht="15" customHeight="1"/>
    <row r="2493" ht="15" customHeight="1"/>
    <row r="2496" ht="15" customHeight="1"/>
    <row r="2497" spans="2:32" ht="15" customHeight="1"/>
    <row r="2498" spans="2:32">
      <c r="B2498" s="9"/>
      <c r="C2498" s="9"/>
      <c r="D2498" s="9"/>
      <c r="E2498" s="9"/>
      <c r="F2498" s="9"/>
      <c r="G2498" s="9"/>
      <c r="H2498" s="9"/>
      <c r="I2498" s="9"/>
      <c r="J2498" s="9"/>
      <c r="K2498" s="9"/>
      <c r="L2498" s="9"/>
      <c r="M2498" s="9"/>
      <c r="N2498" s="9"/>
      <c r="O2498" s="9"/>
      <c r="P2498" s="9"/>
      <c r="Q2498" s="9"/>
      <c r="R2498" s="9"/>
      <c r="S2498" s="9"/>
      <c r="T2498" s="9"/>
      <c r="U2498" s="9"/>
      <c r="V2498" s="9"/>
      <c r="W2498" s="9"/>
      <c r="X2498" s="9"/>
      <c r="Y2498" s="9"/>
      <c r="Z2498" s="9"/>
      <c r="AA2498" s="9"/>
      <c r="AB2498" s="9"/>
      <c r="AC2498" s="9"/>
      <c r="AD2498" s="9"/>
      <c r="AE2498" s="9"/>
      <c r="AF2498" s="9"/>
    </row>
    <row r="2499" spans="2:32" ht="15" customHeight="1"/>
    <row r="2500" spans="2:32" ht="15" customHeight="1"/>
    <row r="2501" spans="2:32" ht="15" customHeight="1"/>
    <row r="2502" spans="2:32" ht="15" customHeight="1"/>
    <row r="2503" spans="2:32" ht="15" customHeight="1"/>
    <row r="2504" spans="2:32">
      <c r="B2504" s="9"/>
      <c r="C2504" s="9"/>
      <c r="D2504" s="9"/>
      <c r="E2504" s="9"/>
      <c r="F2504" s="9"/>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row>
    <row r="2505" spans="2:32" ht="15" customHeight="1"/>
    <row r="2506" spans="2:32" ht="15" customHeight="1"/>
    <row r="2507" spans="2:32" ht="15" customHeight="1"/>
    <row r="2508" spans="2:32" ht="15" customHeight="1"/>
    <row r="2509" spans="2:32" ht="15" customHeight="1">
      <c r="B2509" s="9"/>
      <c r="C2509" s="9"/>
      <c r="D2509" s="9"/>
      <c r="E2509" s="9"/>
      <c r="F2509" s="9"/>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row>
    <row r="2510" spans="2:32" ht="15" customHeight="1">
      <c r="B2510" s="9"/>
      <c r="C2510" s="9"/>
      <c r="D2510" s="9"/>
      <c r="E2510" s="9"/>
      <c r="F2510" s="9"/>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row>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2" ht="15" customHeight="1"/>
    <row r="2563" ht="15" customHeight="1"/>
    <row r="2564" ht="15" customHeight="1"/>
    <row r="2565" ht="15" customHeight="1"/>
    <row r="2566" ht="15" customHeight="1"/>
    <row r="2567" ht="15" customHeight="1"/>
    <row r="2569" ht="15" customHeight="1"/>
    <row r="2570" ht="15" customHeight="1"/>
    <row r="2571" ht="15" customHeight="1"/>
    <row r="2572" ht="15" customHeight="1"/>
    <row r="2573" ht="15" customHeight="1"/>
    <row r="2574" ht="15" customHeight="1"/>
    <row r="2576" ht="15" customHeight="1"/>
    <row r="2577" ht="15" customHeight="1"/>
    <row r="2578" ht="15" customHeight="1"/>
    <row r="2579" ht="15" customHeight="1"/>
    <row r="2580" ht="15" customHeight="1"/>
    <row r="2582" ht="15" customHeight="1"/>
    <row r="2583" ht="15" customHeight="1"/>
    <row r="2584" ht="15" customHeight="1"/>
    <row r="2585" ht="15" customHeight="1"/>
    <row r="2586" ht="15" customHeight="1"/>
    <row r="2587" ht="15" customHeight="1"/>
    <row r="2589" ht="15" customHeight="1"/>
    <row r="2590" ht="15" customHeight="1"/>
    <row r="2591" ht="15" customHeight="1"/>
    <row r="2592" ht="15" customHeight="1"/>
    <row r="2593" spans="2:32" ht="15" customHeight="1"/>
    <row r="2594" spans="2:32" ht="15" customHeight="1"/>
    <row r="2595" spans="2:32">
      <c r="B2595" s="9"/>
      <c r="C2595" s="9"/>
      <c r="D2595" s="9"/>
      <c r="E2595" s="9"/>
      <c r="F2595" s="9"/>
      <c r="G2595" s="9"/>
      <c r="H2595" s="9"/>
      <c r="I2595" s="9"/>
      <c r="J2595" s="9"/>
      <c r="K2595" s="9"/>
      <c r="L2595" s="9"/>
      <c r="M2595" s="9"/>
      <c r="N2595" s="9"/>
      <c r="O2595" s="9"/>
      <c r="P2595" s="9"/>
      <c r="Q2595" s="9"/>
      <c r="R2595" s="9"/>
      <c r="S2595" s="9"/>
      <c r="T2595" s="9"/>
      <c r="U2595" s="9"/>
      <c r="V2595" s="9"/>
      <c r="W2595" s="9"/>
      <c r="X2595" s="9"/>
      <c r="Y2595" s="9"/>
      <c r="Z2595" s="9"/>
      <c r="AA2595" s="9"/>
      <c r="AB2595" s="9"/>
      <c r="AC2595" s="9"/>
      <c r="AD2595" s="9"/>
      <c r="AE2595" s="9"/>
      <c r="AF2595" s="9"/>
    </row>
    <row r="2596" spans="2:32" ht="15" customHeight="1"/>
    <row r="2597" spans="2:32" ht="15" customHeight="1"/>
    <row r="2598" spans="2:32" ht="15" customHeight="1">
      <c r="B2598" s="9"/>
      <c r="C2598" s="9"/>
      <c r="D2598" s="9"/>
      <c r="E2598" s="9"/>
      <c r="F2598" s="9"/>
      <c r="G2598" s="9"/>
      <c r="H2598" s="9"/>
      <c r="I2598" s="9"/>
      <c r="J2598" s="9"/>
      <c r="K2598" s="9"/>
      <c r="L2598" s="9"/>
      <c r="M2598" s="9"/>
      <c r="N2598" s="9"/>
      <c r="O2598" s="9"/>
      <c r="P2598" s="9"/>
      <c r="Q2598" s="9"/>
      <c r="R2598" s="9"/>
      <c r="S2598" s="9"/>
      <c r="T2598" s="9"/>
      <c r="U2598" s="9"/>
      <c r="V2598" s="9"/>
      <c r="W2598" s="9"/>
      <c r="X2598" s="9"/>
      <c r="Y2598" s="9"/>
      <c r="Z2598" s="9"/>
      <c r="AA2598" s="9"/>
      <c r="AB2598" s="9"/>
      <c r="AC2598" s="9"/>
      <c r="AD2598" s="9"/>
      <c r="AE2598" s="9"/>
      <c r="AF2598" s="9"/>
    </row>
    <row r="2599" spans="2:32" ht="15" customHeight="1">
      <c r="B2599" s="9"/>
      <c r="C2599" s="9"/>
      <c r="D2599" s="9"/>
      <c r="E2599" s="9"/>
      <c r="F2599" s="9"/>
      <c r="G2599" s="9"/>
      <c r="H2599" s="9"/>
      <c r="I2599" s="9"/>
      <c r="J2599" s="9"/>
      <c r="K2599" s="9"/>
      <c r="L2599" s="9"/>
      <c r="M2599" s="9"/>
      <c r="N2599" s="9"/>
      <c r="O2599" s="9"/>
      <c r="P2599" s="9"/>
      <c r="Q2599" s="9"/>
      <c r="R2599" s="9"/>
      <c r="S2599" s="9"/>
      <c r="T2599" s="9"/>
      <c r="U2599" s="9"/>
      <c r="V2599" s="9"/>
      <c r="W2599" s="9"/>
      <c r="X2599" s="9"/>
      <c r="Y2599" s="9"/>
      <c r="Z2599" s="9"/>
      <c r="AA2599" s="9"/>
      <c r="AB2599" s="9"/>
      <c r="AC2599" s="9"/>
      <c r="AD2599" s="9"/>
      <c r="AE2599" s="9"/>
      <c r="AF2599" s="9"/>
    </row>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16"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ht="15" customHeight="1"/>
    <row r="2706" spans="2:32">
      <c r="B2706" s="9"/>
      <c r="C2706" s="9"/>
      <c r="D2706" s="9"/>
      <c r="E2706" s="9"/>
      <c r="F2706" s="9"/>
      <c r="G2706" s="9"/>
      <c r="H2706" s="9"/>
      <c r="I2706" s="9"/>
      <c r="J2706" s="9"/>
      <c r="K2706" s="9"/>
      <c r="L2706" s="9"/>
      <c r="M2706" s="9"/>
      <c r="N2706" s="9"/>
      <c r="O2706" s="9"/>
      <c r="P2706" s="9"/>
      <c r="Q2706" s="9"/>
      <c r="R2706" s="9"/>
      <c r="S2706" s="9"/>
      <c r="T2706" s="9"/>
      <c r="U2706" s="9"/>
      <c r="V2706" s="9"/>
      <c r="W2706" s="9"/>
      <c r="X2706" s="9"/>
      <c r="Y2706" s="9"/>
      <c r="Z2706" s="9"/>
      <c r="AA2706" s="9"/>
      <c r="AB2706" s="9"/>
      <c r="AC2706" s="9"/>
      <c r="AD2706" s="9"/>
      <c r="AE2706" s="9"/>
      <c r="AF2706" s="9"/>
    </row>
    <row r="2707" spans="2:32">
      <c r="B2707" s="9"/>
      <c r="C2707" s="9"/>
      <c r="D2707" s="9"/>
      <c r="E2707" s="9"/>
      <c r="F2707" s="9"/>
      <c r="G2707" s="9"/>
      <c r="H2707" s="9"/>
      <c r="I2707" s="9"/>
      <c r="J2707" s="9"/>
      <c r="K2707" s="9"/>
      <c r="L2707" s="9"/>
      <c r="M2707" s="9"/>
      <c r="N2707" s="9"/>
      <c r="O2707" s="9"/>
      <c r="P2707" s="9"/>
      <c r="Q2707" s="9"/>
      <c r="R2707" s="9"/>
      <c r="S2707" s="9"/>
      <c r="T2707" s="9"/>
      <c r="U2707" s="9"/>
      <c r="V2707" s="9"/>
      <c r="W2707" s="9"/>
      <c r="X2707" s="9"/>
      <c r="Y2707" s="9"/>
      <c r="Z2707" s="9"/>
      <c r="AA2707" s="9"/>
      <c r="AB2707" s="9"/>
      <c r="AC2707" s="9"/>
      <c r="AD2707" s="9"/>
      <c r="AE2707" s="9"/>
      <c r="AF2707" s="9"/>
    </row>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row r="2719" spans="2:32" ht="15" customHeight="1">
      <c r="B2719" s="9"/>
      <c r="C2719" s="9"/>
      <c r="D2719" s="9"/>
      <c r="E2719" s="9"/>
      <c r="F2719" s="9"/>
      <c r="G2719" s="9"/>
      <c r="H2719" s="9"/>
      <c r="I2719" s="9"/>
      <c r="J2719" s="9"/>
      <c r="K2719" s="9"/>
      <c r="L2719" s="9"/>
      <c r="M2719" s="9"/>
      <c r="N2719" s="9"/>
      <c r="O2719" s="9"/>
      <c r="P2719" s="9"/>
      <c r="Q2719" s="9"/>
      <c r="R2719" s="9"/>
      <c r="S2719" s="9"/>
      <c r="T2719" s="9"/>
      <c r="U2719" s="9"/>
      <c r="V2719" s="9"/>
      <c r="W2719" s="9"/>
      <c r="X2719" s="9"/>
      <c r="Y2719" s="9"/>
      <c r="Z2719" s="9"/>
      <c r="AA2719" s="9"/>
      <c r="AB2719" s="9"/>
      <c r="AC2719" s="9"/>
      <c r="AD2719" s="9"/>
      <c r="AE2719" s="9"/>
      <c r="AF2719" s="9"/>
    </row>
    <row r="2720" spans="2:32" ht="15" customHeight="1">
      <c r="B2720" s="9"/>
      <c r="C2720" s="9"/>
      <c r="D2720" s="9"/>
      <c r="E2720" s="9"/>
      <c r="F2720" s="9"/>
      <c r="G2720" s="9"/>
      <c r="H2720" s="9"/>
      <c r="I2720" s="9"/>
      <c r="J2720" s="9"/>
      <c r="K2720" s="9"/>
      <c r="L2720" s="9"/>
      <c r="M2720" s="9"/>
      <c r="N2720" s="9"/>
      <c r="O2720" s="9"/>
      <c r="P2720" s="9"/>
      <c r="Q2720" s="9"/>
      <c r="R2720" s="9"/>
      <c r="S2720" s="9"/>
      <c r="T2720" s="9"/>
      <c r="U2720" s="9"/>
      <c r="V2720" s="9"/>
      <c r="W2720" s="9"/>
      <c r="X2720" s="9"/>
      <c r="Y2720" s="9"/>
      <c r="Z2720" s="9"/>
      <c r="AA2720" s="9"/>
      <c r="AB2720" s="9"/>
      <c r="AC2720" s="9"/>
      <c r="AD2720" s="9"/>
      <c r="AE2720" s="9"/>
      <c r="AF2720" s="9"/>
    </row>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9" ht="15" customHeight="1"/>
    <row r="2790" ht="15" customHeight="1"/>
    <row r="2791" ht="15" customHeight="1"/>
    <row r="2792"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5" ht="15" customHeight="1"/>
    <row r="2806" ht="15" customHeight="1"/>
    <row r="2807" ht="15" customHeight="1"/>
    <row r="2808" ht="15" customHeight="1"/>
    <row r="2810" ht="15" customHeight="1"/>
    <row r="2811" ht="15" customHeight="1"/>
    <row r="2812" ht="15" customHeight="1"/>
    <row r="2813" ht="15" customHeight="1"/>
    <row r="2814" ht="15" customHeight="1"/>
    <row r="2815" ht="15" customHeight="1"/>
    <row r="2816" ht="15" customHeight="1"/>
    <row r="2817" ht="15" customHeight="1"/>
    <row r="2819" ht="15" customHeight="1"/>
    <row r="2820" ht="15" customHeight="1"/>
    <row r="2821" ht="15" customHeight="1"/>
    <row r="2822" ht="15" customHeight="1"/>
    <row r="2823" ht="15" customHeight="1"/>
    <row r="2824" ht="15" customHeight="1"/>
    <row r="2826" ht="15" customHeight="1"/>
    <row r="2827" ht="15" customHeight="1"/>
    <row r="2828" ht="15" customHeight="1"/>
    <row r="2829" ht="15" customHeight="1"/>
    <row r="2832" ht="15" customHeight="1"/>
    <row r="2833" spans="2:32" ht="15" customHeight="1"/>
    <row r="2834" spans="2:32" ht="15" customHeight="1"/>
    <row r="2835" spans="2:32" ht="15" customHeight="1"/>
    <row r="2836" spans="2:32" ht="15" customHeight="1"/>
    <row r="2837" spans="2:32" ht="15" customHeight="1">
      <c r="B2837" s="9"/>
      <c r="C2837" s="9"/>
      <c r="D2837" s="9"/>
      <c r="E2837" s="9"/>
      <c r="F2837" s="9"/>
      <c r="G2837" s="9"/>
      <c r="H2837" s="9"/>
      <c r="I2837" s="9"/>
      <c r="J2837" s="9"/>
      <c r="K2837" s="9"/>
      <c r="L2837" s="9"/>
      <c r="M2837" s="9"/>
      <c r="N2837" s="9"/>
      <c r="O2837" s="9"/>
      <c r="P2837" s="9"/>
      <c r="Q2837" s="9"/>
      <c r="R2837" s="9"/>
      <c r="S2837" s="9"/>
      <c r="T2837" s="9"/>
      <c r="U2837" s="9"/>
      <c r="V2837" s="9"/>
      <c r="W2837" s="9"/>
      <c r="X2837" s="9"/>
      <c r="Y2837" s="9"/>
      <c r="Z2837" s="9"/>
      <c r="AA2837" s="9"/>
      <c r="AB2837" s="9"/>
      <c r="AC2837" s="9"/>
      <c r="AD2837" s="9"/>
      <c r="AE2837" s="9"/>
      <c r="AF2837" s="9"/>
    </row>
    <row r="2838" spans="2:32" ht="15" customHeight="1">
      <c r="B2838" s="9"/>
      <c r="C2838" s="9"/>
      <c r="D2838" s="9"/>
      <c r="E2838" s="9"/>
      <c r="F2838" s="9"/>
      <c r="G2838" s="9"/>
      <c r="H2838" s="9"/>
      <c r="I2838" s="9"/>
      <c r="J2838" s="9"/>
      <c r="K2838" s="9"/>
      <c r="L2838" s="9"/>
      <c r="M2838" s="9"/>
      <c r="N2838" s="9"/>
      <c r="O2838" s="9"/>
      <c r="P2838" s="9"/>
      <c r="Q2838" s="9"/>
      <c r="R2838" s="9"/>
      <c r="S2838" s="9"/>
      <c r="T2838" s="9"/>
      <c r="U2838" s="9"/>
      <c r="V2838" s="9"/>
      <c r="W2838" s="9"/>
      <c r="X2838" s="9"/>
      <c r="Y2838" s="9"/>
      <c r="Z2838" s="9"/>
      <c r="AA2838" s="9"/>
      <c r="AB2838" s="9"/>
      <c r="AC2838" s="9"/>
      <c r="AD2838" s="9"/>
      <c r="AE2838" s="9"/>
      <c r="AF2838" s="9"/>
    </row>
    <row r="2839" spans="2:32" ht="15" customHeight="1"/>
    <row r="2840" spans="2:32" ht="15" customHeight="1"/>
    <row r="2841" spans="2:32" ht="15" customHeight="1"/>
    <row r="2842" spans="2:32" ht="15"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I61"/>
  <sheetViews>
    <sheetView workbookViewId="0">
      <selection activeCell="J8" sqref="J8"/>
    </sheetView>
  </sheetViews>
  <sheetFormatPr defaultRowHeight="14.5"/>
  <cols>
    <col min="1" max="1" width="55.26953125" customWidth="1"/>
  </cols>
  <sheetData>
    <row r="1" spans="1:35">
      <c r="A1" t="s">
        <v>197</v>
      </c>
    </row>
    <row r="2" spans="1:35">
      <c r="A2" t="s">
        <v>1040</v>
      </c>
    </row>
    <row r="3" spans="1:35">
      <c r="A3" t="s">
        <v>1041</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44</v>
      </c>
    </row>
    <row r="7" spans="1:35">
      <c r="A7" t="s">
        <v>159</v>
      </c>
    </row>
    <row r="8" spans="1:35">
      <c r="A8" t="s">
        <v>160</v>
      </c>
      <c r="B8" t="s">
        <v>1043</v>
      </c>
      <c r="C8" t="s">
        <v>1044</v>
      </c>
      <c r="D8" t="s">
        <v>201</v>
      </c>
      <c r="F8">
        <v>14447.607421999999</v>
      </c>
      <c r="G8">
        <v>14313.319336</v>
      </c>
      <c r="H8">
        <v>14066.552734000001</v>
      </c>
      <c r="I8">
        <v>13778.573242</v>
      </c>
      <c r="J8">
        <v>13556.407227</v>
      </c>
      <c r="K8">
        <v>13380.132812</v>
      </c>
      <c r="L8">
        <v>13196.650390999999</v>
      </c>
      <c r="M8">
        <v>12994.242188</v>
      </c>
      <c r="N8">
        <v>12784.722656</v>
      </c>
      <c r="O8">
        <v>12592.303711</v>
      </c>
      <c r="P8">
        <v>12399.879883</v>
      </c>
      <c r="Q8">
        <v>12240.421875</v>
      </c>
      <c r="R8">
        <v>12080.273438</v>
      </c>
      <c r="S8">
        <v>11903.265625</v>
      </c>
      <c r="T8">
        <v>11716.102539</v>
      </c>
      <c r="U8">
        <v>11552.862305000001</v>
      </c>
      <c r="V8">
        <v>11414.745117</v>
      </c>
      <c r="W8">
        <v>11288.351562</v>
      </c>
      <c r="X8">
        <v>11182.738281</v>
      </c>
      <c r="Y8">
        <v>11082.567383</v>
      </c>
      <c r="Z8">
        <v>10999.316406</v>
      </c>
      <c r="AA8">
        <v>10931.280273</v>
      </c>
      <c r="AB8">
        <v>10885.708008</v>
      </c>
      <c r="AC8">
        <v>10860.390625</v>
      </c>
      <c r="AD8">
        <v>10859.199219</v>
      </c>
      <c r="AE8">
        <v>10884.042969</v>
      </c>
      <c r="AF8">
        <v>10923.398438</v>
      </c>
      <c r="AG8">
        <v>10975.913086</v>
      </c>
      <c r="AH8">
        <v>11046.507812</v>
      </c>
      <c r="AI8" s="22">
        <v>-0.01</v>
      </c>
    </row>
    <row r="9" spans="1:35">
      <c r="A9" t="s">
        <v>161</v>
      </c>
      <c r="B9" t="s">
        <v>1045</v>
      </c>
      <c r="C9" t="s">
        <v>1046</v>
      </c>
      <c r="D9" t="s">
        <v>201</v>
      </c>
      <c r="F9">
        <v>5617.2177730000003</v>
      </c>
      <c r="G9">
        <v>5428.5034180000002</v>
      </c>
      <c r="H9">
        <v>5191.189453</v>
      </c>
      <c r="I9">
        <v>4935.9736329999996</v>
      </c>
      <c r="J9">
        <v>4705.1977539999998</v>
      </c>
      <c r="K9">
        <v>4491.0893550000001</v>
      </c>
      <c r="L9">
        <v>4278.0898440000001</v>
      </c>
      <c r="M9">
        <v>4059.8388669999999</v>
      </c>
      <c r="N9">
        <v>3845.0900879999999</v>
      </c>
      <c r="O9">
        <v>3641.443115</v>
      </c>
      <c r="P9">
        <v>3447.7126459999999</v>
      </c>
      <c r="Q9">
        <v>3273.7714839999999</v>
      </c>
      <c r="R9">
        <v>3114.6992190000001</v>
      </c>
      <c r="S9">
        <v>2960.594482</v>
      </c>
      <c r="T9">
        <v>2817.6606449999999</v>
      </c>
      <c r="U9">
        <v>2695.3596189999998</v>
      </c>
      <c r="V9">
        <v>2595.155518</v>
      </c>
      <c r="W9">
        <v>2508.0722660000001</v>
      </c>
      <c r="X9">
        <v>2435.8085940000001</v>
      </c>
      <c r="Y9">
        <v>2374.1186520000001</v>
      </c>
      <c r="Z9">
        <v>2325.4736330000001</v>
      </c>
      <c r="AA9">
        <v>2285.9282229999999</v>
      </c>
      <c r="AB9">
        <v>2253.4345699999999</v>
      </c>
      <c r="AC9">
        <v>2228.44751</v>
      </c>
      <c r="AD9">
        <v>2209.461182</v>
      </c>
      <c r="AE9">
        <v>2197.0107419999999</v>
      </c>
      <c r="AF9">
        <v>2187.7121579999998</v>
      </c>
      <c r="AG9">
        <v>2180.7695309999999</v>
      </c>
      <c r="AH9">
        <v>2177.6904300000001</v>
      </c>
      <c r="AI9" s="22">
        <v>-3.3000000000000002E-2</v>
      </c>
    </row>
    <row r="10" spans="1:35">
      <c r="A10" t="s">
        <v>162</v>
      </c>
      <c r="B10" t="s">
        <v>1047</v>
      </c>
      <c r="C10" t="s">
        <v>1048</v>
      </c>
      <c r="D10" t="s">
        <v>201</v>
      </c>
      <c r="F10">
        <v>8814.2333980000003</v>
      </c>
      <c r="G10">
        <v>8869.2011719999991</v>
      </c>
      <c r="H10">
        <v>8860.4306639999995</v>
      </c>
      <c r="I10">
        <v>8828.4013670000004</v>
      </c>
      <c r="J10">
        <v>8837.6757809999999</v>
      </c>
      <c r="K10">
        <v>8876.1259769999997</v>
      </c>
      <c r="L10">
        <v>8906.2558590000008</v>
      </c>
      <c r="M10">
        <v>8922.7275389999995</v>
      </c>
      <c r="N10">
        <v>8928.5761719999991</v>
      </c>
      <c r="O10">
        <v>8940.390625</v>
      </c>
      <c r="P10">
        <v>8942.2568360000005</v>
      </c>
      <c r="Q10">
        <v>8957.2431639999995</v>
      </c>
      <c r="R10">
        <v>8956.6259769999997</v>
      </c>
      <c r="S10">
        <v>8934.1679690000001</v>
      </c>
      <c r="T10">
        <v>8890.3535159999992</v>
      </c>
      <c r="U10">
        <v>8849.7675780000009</v>
      </c>
      <c r="V10">
        <v>8812.1445309999999</v>
      </c>
      <c r="W10">
        <v>8773.0849610000005</v>
      </c>
      <c r="X10">
        <v>8739.9443360000005</v>
      </c>
      <c r="Y10">
        <v>8701.6416019999997</v>
      </c>
      <c r="Z10">
        <v>8667.1738280000009</v>
      </c>
      <c r="AA10">
        <v>8638.796875</v>
      </c>
      <c r="AB10">
        <v>8625.8105469999991</v>
      </c>
      <c r="AC10">
        <v>8625.5507809999999</v>
      </c>
      <c r="AD10">
        <v>8643.3994139999995</v>
      </c>
      <c r="AE10">
        <v>8680.7285159999992</v>
      </c>
      <c r="AF10">
        <v>8729.4082030000009</v>
      </c>
      <c r="AG10">
        <v>8788.8837889999995</v>
      </c>
      <c r="AH10">
        <v>8862.5654300000006</v>
      </c>
      <c r="AI10" s="22">
        <v>0</v>
      </c>
    </row>
    <row r="11" spans="1:35">
      <c r="A11" t="s">
        <v>163</v>
      </c>
      <c r="B11" t="s">
        <v>1049</v>
      </c>
      <c r="C11" t="s">
        <v>1050</v>
      </c>
      <c r="D11" t="s">
        <v>201</v>
      </c>
      <c r="F11">
        <v>16.156637</v>
      </c>
      <c r="G11">
        <v>15.614727</v>
      </c>
      <c r="H11">
        <v>14.932316999999999</v>
      </c>
      <c r="I11">
        <v>14.198518</v>
      </c>
      <c r="J11">
        <v>13.534452999999999</v>
      </c>
      <c r="K11">
        <v>12.917832000000001</v>
      </c>
      <c r="L11">
        <v>12.305018</v>
      </c>
      <c r="M11">
        <v>11.676231</v>
      </c>
      <c r="N11">
        <v>11.057055999999999</v>
      </c>
      <c r="O11">
        <v>10.469415</v>
      </c>
      <c r="P11">
        <v>9.9105530000000002</v>
      </c>
      <c r="Q11">
        <v>9.4076260000000005</v>
      </c>
      <c r="R11">
        <v>8.9483379999999997</v>
      </c>
      <c r="S11">
        <v>8.502955</v>
      </c>
      <c r="T11">
        <v>8.0892909999999993</v>
      </c>
      <c r="U11">
        <v>7.7350440000000003</v>
      </c>
      <c r="V11">
        <v>7.4453899999999997</v>
      </c>
      <c r="W11">
        <v>7.1939979999999997</v>
      </c>
      <c r="X11">
        <v>6.9856109999999996</v>
      </c>
      <c r="Y11">
        <v>6.807957</v>
      </c>
      <c r="Z11">
        <v>6.668526</v>
      </c>
      <c r="AA11">
        <v>6.5555320000000004</v>
      </c>
      <c r="AB11">
        <v>6.4628009999999998</v>
      </c>
      <c r="AC11">
        <v>6.3921140000000003</v>
      </c>
      <c r="AD11">
        <v>6.3387270000000004</v>
      </c>
      <c r="AE11">
        <v>6.3040330000000004</v>
      </c>
      <c r="AF11">
        <v>6.2782900000000001</v>
      </c>
      <c r="AG11">
        <v>6.2593569999999996</v>
      </c>
      <c r="AH11">
        <v>6.2514649999999996</v>
      </c>
      <c r="AI11" s="22">
        <v>-3.3000000000000002E-2</v>
      </c>
    </row>
    <row r="12" spans="1:35">
      <c r="A12" t="s">
        <v>164</v>
      </c>
      <c r="B12" t="s">
        <v>1051</v>
      </c>
      <c r="C12" t="s">
        <v>1052</v>
      </c>
      <c r="D12" t="s">
        <v>201</v>
      </c>
      <c r="F12">
        <v>950.06707800000004</v>
      </c>
      <c r="G12">
        <v>927.43151899999998</v>
      </c>
      <c r="H12">
        <v>901.69171100000005</v>
      </c>
      <c r="I12">
        <v>884.45953399999996</v>
      </c>
      <c r="J12">
        <v>871.48339799999997</v>
      </c>
      <c r="K12">
        <v>859.32513400000005</v>
      </c>
      <c r="L12">
        <v>849.26849400000003</v>
      </c>
      <c r="M12">
        <v>840.25915499999996</v>
      </c>
      <c r="N12">
        <v>831.36639400000001</v>
      </c>
      <c r="O12">
        <v>824.56054700000004</v>
      </c>
      <c r="P12">
        <v>821.34234600000002</v>
      </c>
      <c r="Q12">
        <v>818.52441399999998</v>
      </c>
      <c r="R12">
        <v>814.83673099999999</v>
      </c>
      <c r="S12">
        <v>811.95385699999997</v>
      </c>
      <c r="T12">
        <v>809.40844700000002</v>
      </c>
      <c r="U12">
        <v>808.91735800000004</v>
      </c>
      <c r="V12">
        <v>809.92602499999998</v>
      </c>
      <c r="W12">
        <v>810.87994400000002</v>
      </c>
      <c r="X12">
        <v>813.33953899999995</v>
      </c>
      <c r="Y12">
        <v>816.35626200000002</v>
      </c>
      <c r="Z12">
        <v>820.26946999999996</v>
      </c>
      <c r="AA12">
        <v>823.41033900000002</v>
      </c>
      <c r="AB12">
        <v>826.18591300000003</v>
      </c>
      <c r="AC12">
        <v>830.09173599999997</v>
      </c>
      <c r="AD12">
        <v>834.68682899999999</v>
      </c>
      <c r="AE12">
        <v>839.99987799999997</v>
      </c>
      <c r="AF12">
        <v>844.45477300000005</v>
      </c>
      <c r="AG12">
        <v>850.153503</v>
      </c>
      <c r="AH12">
        <v>857.44146699999999</v>
      </c>
      <c r="AI12" s="22">
        <v>-4.0000000000000001E-3</v>
      </c>
    </row>
    <row r="13" spans="1:35">
      <c r="A13" t="s">
        <v>165</v>
      </c>
      <c r="B13" t="s">
        <v>1053</v>
      </c>
      <c r="C13" t="s">
        <v>1054</v>
      </c>
      <c r="D13" t="s">
        <v>201</v>
      </c>
      <c r="F13">
        <v>211.79267899999999</v>
      </c>
      <c r="G13">
        <v>221.35264599999999</v>
      </c>
      <c r="H13">
        <v>226.360748</v>
      </c>
      <c r="I13">
        <v>226.85597200000001</v>
      </c>
      <c r="J13">
        <v>227.17091400000001</v>
      </c>
      <c r="K13">
        <v>227.42456100000001</v>
      </c>
      <c r="L13">
        <v>227.351181</v>
      </c>
      <c r="M13">
        <v>226.97782900000001</v>
      </c>
      <c r="N13">
        <v>226.290436</v>
      </c>
      <c r="O13">
        <v>225.171143</v>
      </c>
      <c r="P13">
        <v>224.09106399999999</v>
      </c>
      <c r="Q13">
        <v>223.555252</v>
      </c>
      <c r="R13">
        <v>222.82238799999999</v>
      </c>
      <c r="S13">
        <v>221.78663599999999</v>
      </c>
      <c r="T13">
        <v>220.55602999999999</v>
      </c>
      <c r="U13">
        <v>219.32922400000001</v>
      </c>
      <c r="V13">
        <v>217.81092799999999</v>
      </c>
      <c r="W13">
        <v>215.70451399999999</v>
      </c>
      <c r="X13">
        <v>213.86698899999999</v>
      </c>
      <c r="Y13">
        <v>212.02500900000001</v>
      </c>
      <c r="Z13">
        <v>210.17111199999999</v>
      </c>
      <c r="AA13">
        <v>208.09629799999999</v>
      </c>
      <c r="AB13">
        <v>205.94572400000001</v>
      </c>
      <c r="AC13">
        <v>203.864014</v>
      </c>
      <c r="AD13">
        <v>201.65756200000001</v>
      </c>
      <c r="AE13">
        <v>199.53419500000001</v>
      </c>
      <c r="AF13">
        <v>197.40910299999999</v>
      </c>
      <c r="AG13">
        <v>194.99052399999999</v>
      </c>
      <c r="AH13">
        <v>192.72607400000001</v>
      </c>
      <c r="AI13" s="22">
        <v>-3.0000000000000001E-3</v>
      </c>
    </row>
    <row r="14" spans="1:35">
      <c r="A14" t="s">
        <v>166</v>
      </c>
      <c r="B14" t="s">
        <v>1055</v>
      </c>
      <c r="C14" t="s">
        <v>1056</v>
      </c>
      <c r="D14" t="s">
        <v>201</v>
      </c>
      <c r="F14">
        <v>91.866462999999996</v>
      </c>
      <c r="G14">
        <v>95.047843999999998</v>
      </c>
      <c r="H14">
        <v>98.100082</v>
      </c>
      <c r="I14">
        <v>98.297370999999998</v>
      </c>
      <c r="J14">
        <v>99.015793000000002</v>
      </c>
      <c r="K14">
        <v>99.818306000000007</v>
      </c>
      <c r="L14">
        <v>100.435158</v>
      </c>
      <c r="M14">
        <v>100.902916</v>
      </c>
      <c r="N14">
        <v>101.160149</v>
      </c>
      <c r="O14">
        <v>101.078728</v>
      </c>
      <c r="P14">
        <v>101.03228</v>
      </c>
      <c r="Q14">
        <v>100.937263</v>
      </c>
      <c r="R14">
        <v>100.906296</v>
      </c>
      <c r="S14">
        <v>100.527382</v>
      </c>
      <c r="T14">
        <v>99.915215000000003</v>
      </c>
      <c r="U14">
        <v>99.245552000000004</v>
      </c>
      <c r="V14">
        <v>98.604225</v>
      </c>
      <c r="W14">
        <v>97.455551</v>
      </c>
      <c r="X14">
        <v>96.610405</v>
      </c>
      <c r="Y14">
        <v>95.781234999999995</v>
      </c>
      <c r="Z14">
        <v>95.010138999999995</v>
      </c>
      <c r="AA14">
        <v>94.064087000000001</v>
      </c>
      <c r="AB14">
        <v>93.072463999999997</v>
      </c>
      <c r="AC14">
        <v>92.183280999999994</v>
      </c>
      <c r="AD14">
        <v>91.261589000000001</v>
      </c>
      <c r="AE14">
        <v>90.434334000000007</v>
      </c>
      <c r="AF14">
        <v>89.623856000000004</v>
      </c>
      <c r="AG14">
        <v>88.543518000000006</v>
      </c>
      <c r="AH14">
        <v>87.624701999999999</v>
      </c>
      <c r="AI14" s="22">
        <v>-2E-3</v>
      </c>
    </row>
    <row r="15" spans="1:35">
      <c r="A15" t="s">
        <v>167</v>
      </c>
      <c r="B15" t="s">
        <v>1057</v>
      </c>
      <c r="C15" t="s">
        <v>1058</v>
      </c>
      <c r="D15" t="s">
        <v>201</v>
      </c>
      <c r="F15">
        <v>26.104420000000001</v>
      </c>
      <c r="G15">
        <v>27.958748</v>
      </c>
      <c r="H15">
        <v>29.360862999999998</v>
      </c>
      <c r="I15">
        <v>30.404257000000001</v>
      </c>
      <c r="J15">
        <v>31.176168000000001</v>
      </c>
      <c r="K15">
        <v>31.735724999999999</v>
      </c>
      <c r="L15">
        <v>32.137633999999998</v>
      </c>
      <c r="M15">
        <v>32.421238000000002</v>
      </c>
      <c r="N15">
        <v>32.616638000000002</v>
      </c>
      <c r="O15">
        <v>32.746367999999997</v>
      </c>
      <c r="P15">
        <v>32.823729999999998</v>
      </c>
      <c r="Q15">
        <v>32.850150999999997</v>
      </c>
      <c r="R15">
        <v>32.831726000000003</v>
      </c>
      <c r="S15">
        <v>32.779494999999997</v>
      </c>
      <c r="T15">
        <v>32.700462000000002</v>
      </c>
      <c r="U15">
        <v>32.598652000000001</v>
      </c>
      <c r="V15">
        <v>32.498699000000002</v>
      </c>
      <c r="W15">
        <v>32.391376000000001</v>
      </c>
      <c r="X15">
        <v>32.277873999999997</v>
      </c>
      <c r="Y15">
        <v>32.156567000000003</v>
      </c>
      <c r="Z15">
        <v>32.032176999999997</v>
      </c>
      <c r="AA15">
        <v>31.905846</v>
      </c>
      <c r="AB15">
        <v>31.778054999999998</v>
      </c>
      <c r="AC15">
        <v>31.647835000000001</v>
      </c>
      <c r="AD15">
        <v>31.517433</v>
      </c>
      <c r="AE15">
        <v>31.386583000000002</v>
      </c>
      <c r="AF15">
        <v>31.254867999999998</v>
      </c>
      <c r="AG15">
        <v>31.125091999999999</v>
      </c>
      <c r="AH15">
        <v>30.995487000000001</v>
      </c>
      <c r="AI15" s="22">
        <v>6.0000000000000001E-3</v>
      </c>
    </row>
    <row r="16" spans="1:35">
      <c r="A16" t="s">
        <v>168</v>
      </c>
      <c r="B16" t="s">
        <v>1059</v>
      </c>
      <c r="C16" t="s">
        <v>1060</v>
      </c>
      <c r="D16" t="s">
        <v>201</v>
      </c>
      <c r="F16">
        <v>93.821793</v>
      </c>
      <c r="G16">
        <v>98.346069</v>
      </c>
      <c r="H16">
        <v>98.899811</v>
      </c>
      <c r="I16">
        <v>98.154319999999998</v>
      </c>
      <c r="J16">
        <v>96.978966</v>
      </c>
      <c r="K16">
        <v>95.870536999999999</v>
      </c>
      <c r="L16">
        <v>94.778396999999998</v>
      </c>
      <c r="M16">
        <v>93.653671000000003</v>
      </c>
      <c r="N16">
        <v>92.513656999999995</v>
      </c>
      <c r="O16">
        <v>91.346046000000001</v>
      </c>
      <c r="P16">
        <v>90.235045999999997</v>
      </c>
      <c r="Q16">
        <v>89.767821999999995</v>
      </c>
      <c r="R16">
        <v>89.084404000000006</v>
      </c>
      <c r="S16">
        <v>88.479789999999994</v>
      </c>
      <c r="T16">
        <v>87.940360999999996</v>
      </c>
      <c r="U16">
        <v>87.485000999999997</v>
      </c>
      <c r="V16">
        <v>86.707999999999998</v>
      </c>
      <c r="W16">
        <v>85.857574</v>
      </c>
      <c r="X16">
        <v>84.978706000000003</v>
      </c>
      <c r="Y16">
        <v>84.087226999999999</v>
      </c>
      <c r="Z16">
        <v>83.128783999999996</v>
      </c>
      <c r="AA16">
        <v>82.126366000000004</v>
      </c>
      <c r="AB16">
        <v>81.095184000000003</v>
      </c>
      <c r="AC16">
        <v>80.032905999999997</v>
      </c>
      <c r="AD16">
        <v>78.878570999999994</v>
      </c>
      <c r="AE16">
        <v>77.713295000000002</v>
      </c>
      <c r="AF16">
        <v>76.530395999999996</v>
      </c>
      <c r="AG16">
        <v>75.321915000000004</v>
      </c>
      <c r="AH16">
        <v>74.105903999999995</v>
      </c>
      <c r="AI16" s="22">
        <v>-8.0000000000000002E-3</v>
      </c>
    </row>
    <row r="17" spans="1:35">
      <c r="A17" t="s">
        <v>169</v>
      </c>
      <c r="B17" t="s">
        <v>1061</v>
      </c>
      <c r="C17" t="s">
        <v>1062</v>
      </c>
      <c r="D17" t="s">
        <v>201</v>
      </c>
      <c r="F17">
        <v>5921.6064450000003</v>
      </c>
      <c r="G17">
        <v>5758.8461909999996</v>
      </c>
      <c r="H17">
        <v>5615.3227539999998</v>
      </c>
      <c r="I17">
        <v>5522.4594729999999</v>
      </c>
      <c r="J17">
        <v>5456.8017579999996</v>
      </c>
      <c r="K17">
        <v>5375.783203</v>
      </c>
      <c r="L17">
        <v>5295.0048829999996</v>
      </c>
      <c r="M17">
        <v>5208.1630859999996</v>
      </c>
      <c r="N17">
        <v>5129.4189450000003</v>
      </c>
      <c r="O17">
        <v>5059.7778319999998</v>
      </c>
      <c r="P17">
        <v>5009.6132809999999</v>
      </c>
      <c r="Q17">
        <v>4957.8959960000002</v>
      </c>
      <c r="R17">
        <v>4903.5463870000003</v>
      </c>
      <c r="S17">
        <v>4860.4370120000003</v>
      </c>
      <c r="T17">
        <v>4815.5263670000004</v>
      </c>
      <c r="U17">
        <v>4791.6870120000003</v>
      </c>
      <c r="V17">
        <v>4773.9067379999997</v>
      </c>
      <c r="W17">
        <v>4755.3203119999998</v>
      </c>
      <c r="X17">
        <v>4745.1215819999998</v>
      </c>
      <c r="Y17">
        <v>4736.1166990000002</v>
      </c>
      <c r="Z17">
        <v>4733.9057620000003</v>
      </c>
      <c r="AA17">
        <v>4732.7148440000001</v>
      </c>
      <c r="AB17">
        <v>4731.6547849999997</v>
      </c>
      <c r="AC17">
        <v>4729.873047</v>
      </c>
      <c r="AD17">
        <v>4730.2021480000003</v>
      </c>
      <c r="AE17">
        <v>4729.4658200000003</v>
      </c>
      <c r="AF17">
        <v>4727.9716799999997</v>
      </c>
      <c r="AG17">
        <v>4734.9438479999999</v>
      </c>
      <c r="AH17">
        <v>4747.1035160000001</v>
      </c>
      <c r="AI17" s="22">
        <v>-8.0000000000000002E-3</v>
      </c>
    </row>
    <row r="18" spans="1:35">
      <c r="A18" t="s">
        <v>170</v>
      </c>
      <c r="B18" t="s">
        <v>1063</v>
      </c>
      <c r="C18" t="s">
        <v>1064</v>
      </c>
      <c r="D18" t="s">
        <v>201</v>
      </c>
      <c r="F18">
        <v>748.63781700000004</v>
      </c>
      <c r="G18">
        <v>732.18176300000005</v>
      </c>
      <c r="H18">
        <v>720.222351</v>
      </c>
      <c r="I18">
        <v>712.26513699999998</v>
      </c>
      <c r="J18">
        <v>704.63708499999996</v>
      </c>
      <c r="K18">
        <v>693.10375999999997</v>
      </c>
      <c r="L18">
        <v>681.51898200000005</v>
      </c>
      <c r="M18">
        <v>670.97247300000004</v>
      </c>
      <c r="N18">
        <v>664.23034700000005</v>
      </c>
      <c r="O18">
        <v>660.79870600000004</v>
      </c>
      <c r="P18">
        <v>661.24517800000001</v>
      </c>
      <c r="Q18">
        <v>662.369507</v>
      </c>
      <c r="R18">
        <v>663.70324700000003</v>
      </c>
      <c r="S18">
        <v>666.36852999999996</v>
      </c>
      <c r="T18">
        <v>668.24157700000001</v>
      </c>
      <c r="U18">
        <v>672.17394999999999</v>
      </c>
      <c r="V18">
        <v>676.03515600000003</v>
      </c>
      <c r="W18">
        <v>679.41424600000005</v>
      </c>
      <c r="X18">
        <v>684.28772000000004</v>
      </c>
      <c r="Y18">
        <v>690.63830600000006</v>
      </c>
      <c r="Z18">
        <v>698.07110599999999</v>
      </c>
      <c r="AA18">
        <v>705.62060499999995</v>
      </c>
      <c r="AB18">
        <v>713.18573000000004</v>
      </c>
      <c r="AC18">
        <v>721.23553500000003</v>
      </c>
      <c r="AD18">
        <v>730.61541699999998</v>
      </c>
      <c r="AE18">
        <v>740.51544200000001</v>
      </c>
      <c r="AF18">
        <v>750.55602999999996</v>
      </c>
      <c r="AG18">
        <v>761.51873799999998</v>
      </c>
      <c r="AH18">
        <v>773.14770499999997</v>
      </c>
      <c r="AI18" s="22">
        <v>1E-3</v>
      </c>
    </row>
    <row r="19" spans="1:35">
      <c r="A19" t="s">
        <v>171</v>
      </c>
      <c r="B19" t="s">
        <v>1065</v>
      </c>
      <c r="C19" t="s">
        <v>1066</v>
      </c>
      <c r="D19" t="s">
        <v>201</v>
      </c>
      <c r="F19">
        <v>969.94122300000004</v>
      </c>
      <c r="G19">
        <v>940.81146200000001</v>
      </c>
      <c r="H19">
        <v>917.15948500000002</v>
      </c>
      <c r="I19">
        <v>901.62676999999996</v>
      </c>
      <c r="J19">
        <v>890.98638900000003</v>
      </c>
      <c r="K19">
        <v>878.49054000000001</v>
      </c>
      <c r="L19">
        <v>867.02569600000004</v>
      </c>
      <c r="M19">
        <v>854.45898399999999</v>
      </c>
      <c r="N19">
        <v>843.13281199999994</v>
      </c>
      <c r="O19">
        <v>833.16595500000005</v>
      </c>
      <c r="P19">
        <v>827.27282700000001</v>
      </c>
      <c r="Q19">
        <v>820.74212599999998</v>
      </c>
      <c r="R19">
        <v>813.97699</v>
      </c>
      <c r="S19">
        <v>809.44824200000005</v>
      </c>
      <c r="T19">
        <v>804.86688200000003</v>
      </c>
      <c r="U19">
        <v>804.27398700000003</v>
      </c>
      <c r="V19">
        <v>803.65295400000002</v>
      </c>
      <c r="W19">
        <v>803.74804700000004</v>
      </c>
      <c r="X19">
        <v>804.90454099999999</v>
      </c>
      <c r="Y19">
        <v>806.42034899999999</v>
      </c>
      <c r="Z19">
        <v>809.15716599999996</v>
      </c>
      <c r="AA19">
        <v>813.02770999999996</v>
      </c>
      <c r="AB19">
        <v>817.48461899999995</v>
      </c>
      <c r="AC19">
        <v>821.82110599999999</v>
      </c>
      <c r="AD19">
        <v>826.55474900000002</v>
      </c>
      <c r="AE19">
        <v>831.33819600000004</v>
      </c>
      <c r="AF19">
        <v>836.18957499999999</v>
      </c>
      <c r="AG19">
        <v>842.79058799999996</v>
      </c>
      <c r="AH19">
        <v>850.25329599999998</v>
      </c>
      <c r="AI19" s="22">
        <v>-5.0000000000000001E-3</v>
      </c>
    </row>
    <row r="20" spans="1:35">
      <c r="A20" t="s">
        <v>1067</v>
      </c>
      <c r="B20" t="s">
        <v>1068</v>
      </c>
      <c r="C20" t="s">
        <v>1069</v>
      </c>
      <c r="D20" t="s">
        <v>201</v>
      </c>
      <c r="F20">
        <v>4203.0278319999998</v>
      </c>
      <c r="G20">
        <v>4085.8527829999998</v>
      </c>
      <c r="H20">
        <v>3977.9411620000001</v>
      </c>
      <c r="I20">
        <v>3908.5668949999999</v>
      </c>
      <c r="J20">
        <v>3861.1782229999999</v>
      </c>
      <c r="K20">
        <v>3804.1892090000001</v>
      </c>
      <c r="L20">
        <v>3746.4604490000002</v>
      </c>
      <c r="M20">
        <v>3682.7316890000002</v>
      </c>
      <c r="N20">
        <v>3622.055664</v>
      </c>
      <c r="O20">
        <v>3565.8127439999998</v>
      </c>
      <c r="P20">
        <v>3521.0952149999998</v>
      </c>
      <c r="Q20">
        <v>3474.7841800000001</v>
      </c>
      <c r="R20">
        <v>3425.8664549999999</v>
      </c>
      <c r="S20">
        <v>3384.6206050000001</v>
      </c>
      <c r="T20">
        <v>3342.4177249999998</v>
      </c>
      <c r="U20">
        <v>3315.2387699999999</v>
      </c>
      <c r="V20">
        <v>3294.2185060000002</v>
      </c>
      <c r="W20">
        <v>3272.158203</v>
      </c>
      <c r="X20">
        <v>3255.9291990000002</v>
      </c>
      <c r="Y20">
        <v>3239.0583499999998</v>
      </c>
      <c r="Z20">
        <v>3226.6767580000001</v>
      </c>
      <c r="AA20">
        <v>3214.0668949999999</v>
      </c>
      <c r="AB20">
        <v>3200.9846189999998</v>
      </c>
      <c r="AC20">
        <v>3186.8171390000002</v>
      </c>
      <c r="AD20">
        <v>3173.031982</v>
      </c>
      <c r="AE20">
        <v>3157.6123050000001</v>
      </c>
      <c r="AF20">
        <v>3141.226318</v>
      </c>
      <c r="AG20">
        <v>3130.6345209999999</v>
      </c>
      <c r="AH20">
        <v>3123.703125</v>
      </c>
      <c r="AI20" s="22">
        <v>-1.0999999999999999E-2</v>
      </c>
    </row>
    <row r="21" spans="1:35">
      <c r="A21" t="s">
        <v>172</v>
      </c>
    </row>
    <row r="22" spans="1:35">
      <c r="A22" t="s">
        <v>173</v>
      </c>
      <c r="B22" t="s">
        <v>1070</v>
      </c>
      <c r="C22" t="s">
        <v>1071</v>
      </c>
      <c r="D22" t="s">
        <v>201</v>
      </c>
      <c r="F22">
        <v>2795.655029</v>
      </c>
      <c r="G22">
        <v>2985.946289</v>
      </c>
      <c r="H22">
        <v>3004.0117190000001</v>
      </c>
      <c r="I22">
        <v>2994.3767090000001</v>
      </c>
      <c r="J22">
        <v>3010.1215820000002</v>
      </c>
      <c r="K22">
        <v>3024.310547</v>
      </c>
      <c r="L22">
        <v>3036.461914</v>
      </c>
      <c r="M22">
        <v>3042.4677729999999</v>
      </c>
      <c r="N22">
        <v>3043.4104000000002</v>
      </c>
      <c r="O22">
        <v>3046.782471</v>
      </c>
      <c r="P22">
        <v>3061.0747070000002</v>
      </c>
      <c r="Q22">
        <v>3070.6218260000001</v>
      </c>
      <c r="R22">
        <v>3069.8415530000002</v>
      </c>
      <c r="S22">
        <v>3072.1235350000002</v>
      </c>
      <c r="T22">
        <v>3082.9067380000001</v>
      </c>
      <c r="U22">
        <v>3102.0864259999998</v>
      </c>
      <c r="V22">
        <v>3127.588135</v>
      </c>
      <c r="W22">
        <v>3157.076904</v>
      </c>
      <c r="X22">
        <v>3191.8100589999999</v>
      </c>
      <c r="Y22">
        <v>3222.9575199999999</v>
      </c>
      <c r="Z22">
        <v>3255.5627439999998</v>
      </c>
      <c r="AA22">
        <v>3288.5258789999998</v>
      </c>
      <c r="AB22">
        <v>3323.1064449999999</v>
      </c>
      <c r="AC22">
        <v>3357.5683589999999</v>
      </c>
      <c r="AD22">
        <v>3392.8244629999999</v>
      </c>
      <c r="AE22">
        <v>3430.6352539999998</v>
      </c>
      <c r="AF22">
        <v>3471.3813479999999</v>
      </c>
      <c r="AG22">
        <v>3513.5590820000002</v>
      </c>
      <c r="AH22">
        <v>3560.3764649999998</v>
      </c>
      <c r="AI22" s="22">
        <v>8.9999999999999993E-3</v>
      </c>
    </row>
    <row r="23" spans="1:35">
      <c r="A23" t="s">
        <v>174</v>
      </c>
      <c r="B23" t="s">
        <v>1072</v>
      </c>
      <c r="C23" t="s">
        <v>1073</v>
      </c>
      <c r="D23" t="s">
        <v>201</v>
      </c>
      <c r="F23">
        <v>154.480209</v>
      </c>
      <c r="G23">
        <v>163.53123500000001</v>
      </c>
      <c r="H23">
        <v>164.38275100000001</v>
      </c>
      <c r="I23">
        <v>163.916977</v>
      </c>
      <c r="J23">
        <v>164.66076699999999</v>
      </c>
      <c r="K23">
        <v>165.33139</v>
      </c>
      <c r="L23">
        <v>165.905991</v>
      </c>
      <c r="M23">
        <v>166.18859900000001</v>
      </c>
      <c r="N23">
        <v>166.23085</v>
      </c>
      <c r="O23">
        <v>166.389084</v>
      </c>
      <c r="P23">
        <v>167.06776400000001</v>
      </c>
      <c r="Q23">
        <v>167.52093500000001</v>
      </c>
      <c r="R23">
        <v>167.48246800000001</v>
      </c>
      <c r="S23">
        <v>167.58998099999999</v>
      </c>
      <c r="T23">
        <v>168.10247799999999</v>
      </c>
      <c r="U23">
        <v>169.01503</v>
      </c>
      <c r="V23">
        <v>170.22898900000001</v>
      </c>
      <c r="W23">
        <v>171.632507</v>
      </c>
      <c r="X23">
        <v>173.28613300000001</v>
      </c>
      <c r="Y23">
        <v>174.76892100000001</v>
      </c>
      <c r="Z23">
        <v>176.32135</v>
      </c>
      <c r="AA23">
        <v>177.89068599999999</v>
      </c>
      <c r="AB23">
        <v>179.53720100000001</v>
      </c>
      <c r="AC23">
        <v>181.178146</v>
      </c>
      <c r="AD23">
        <v>182.856964</v>
      </c>
      <c r="AE23">
        <v>184.65737899999999</v>
      </c>
      <c r="AF23">
        <v>186.59747300000001</v>
      </c>
      <c r="AG23">
        <v>188.605942</v>
      </c>
      <c r="AH23">
        <v>190.835114</v>
      </c>
      <c r="AI23" s="22">
        <v>8.0000000000000002E-3</v>
      </c>
    </row>
    <row r="24" spans="1:35">
      <c r="A24" t="s">
        <v>203</v>
      </c>
      <c r="B24" t="s">
        <v>1074</v>
      </c>
      <c r="C24" t="s">
        <v>1075</v>
      </c>
      <c r="D24" t="s">
        <v>201</v>
      </c>
      <c r="F24">
        <v>1525.0932620000001</v>
      </c>
      <c r="G24">
        <v>1567.8680420000001</v>
      </c>
      <c r="H24">
        <v>1526.7360839999999</v>
      </c>
      <c r="I24">
        <v>1508.541504</v>
      </c>
      <c r="J24">
        <v>1515.349121</v>
      </c>
      <c r="K24">
        <v>1520.4882809999999</v>
      </c>
      <c r="L24">
        <v>1524.98938</v>
      </c>
      <c r="M24">
        <v>1525.926025</v>
      </c>
      <c r="N24">
        <v>1523.0429690000001</v>
      </c>
      <c r="O24">
        <v>1521.2917480000001</v>
      </c>
      <c r="P24">
        <v>1525.9873050000001</v>
      </c>
      <c r="Q24">
        <v>1531.2928469999999</v>
      </c>
      <c r="R24">
        <v>1530.815918</v>
      </c>
      <c r="S24">
        <v>1529.8126219999999</v>
      </c>
      <c r="T24">
        <v>1532.0532229999999</v>
      </c>
      <c r="U24">
        <v>1538.0153809999999</v>
      </c>
      <c r="V24">
        <v>1547.7210689999999</v>
      </c>
      <c r="W24">
        <v>1559.256592</v>
      </c>
      <c r="X24">
        <v>1573.825317</v>
      </c>
      <c r="Y24">
        <v>1586.3063959999999</v>
      </c>
      <c r="Z24">
        <v>1599.5791019999999</v>
      </c>
      <c r="AA24">
        <v>1613.908447</v>
      </c>
      <c r="AB24">
        <v>1628.809814</v>
      </c>
      <c r="AC24">
        <v>1643.376831</v>
      </c>
      <c r="AD24">
        <v>1658.938232</v>
      </c>
      <c r="AE24">
        <v>1676.1137699999999</v>
      </c>
      <c r="AF24">
        <v>1694.779663</v>
      </c>
      <c r="AG24">
        <v>1714.7982179999999</v>
      </c>
      <c r="AH24">
        <v>1736.7991939999999</v>
      </c>
      <c r="AI24" s="22">
        <v>5.0000000000000001E-3</v>
      </c>
    </row>
    <row r="25" spans="1:35">
      <c r="A25" t="s">
        <v>204</v>
      </c>
      <c r="B25" t="s">
        <v>1076</v>
      </c>
      <c r="C25" t="s">
        <v>1077</v>
      </c>
      <c r="D25" t="s">
        <v>201</v>
      </c>
      <c r="F25">
        <v>585.55181900000002</v>
      </c>
      <c r="G25">
        <v>750.91198699999995</v>
      </c>
      <c r="H25">
        <v>819.919983</v>
      </c>
      <c r="I25">
        <v>830.230591</v>
      </c>
      <c r="J25">
        <v>837.06994599999996</v>
      </c>
      <c r="K25">
        <v>843.648865</v>
      </c>
      <c r="L25">
        <v>849.23260500000004</v>
      </c>
      <c r="M25">
        <v>853.01031499999999</v>
      </c>
      <c r="N25">
        <v>855.76171899999997</v>
      </c>
      <c r="O25">
        <v>859.20422399999995</v>
      </c>
      <c r="P25">
        <v>865.41162099999997</v>
      </c>
      <c r="Q25">
        <v>868.69140600000003</v>
      </c>
      <c r="R25">
        <v>869.10211200000003</v>
      </c>
      <c r="S25">
        <v>871.32574499999998</v>
      </c>
      <c r="T25">
        <v>876.51696800000002</v>
      </c>
      <c r="U25">
        <v>884.41485599999999</v>
      </c>
      <c r="V25">
        <v>893.89855999999997</v>
      </c>
      <c r="W25">
        <v>904.61901899999998</v>
      </c>
      <c r="X25">
        <v>916.72100799999998</v>
      </c>
      <c r="Y25">
        <v>927.89562999999998</v>
      </c>
      <c r="Z25">
        <v>939.45696999999996</v>
      </c>
      <c r="AA25">
        <v>950.67779499999995</v>
      </c>
      <c r="AB25">
        <v>962.48809800000004</v>
      </c>
      <c r="AC25">
        <v>974.37261999999998</v>
      </c>
      <c r="AD25">
        <v>986.22100799999998</v>
      </c>
      <c r="AE25">
        <v>998.68841599999996</v>
      </c>
      <c r="AF25">
        <v>1012.037231</v>
      </c>
      <c r="AG25">
        <v>1025.5076899999999</v>
      </c>
      <c r="AH25">
        <v>1040.55603</v>
      </c>
      <c r="AI25" s="22">
        <v>2.1000000000000001E-2</v>
      </c>
    </row>
    <row r="26" spans="1:35">
      <c r="A26" t="s">
        <v>205</v>
      </c>
      <c r="B26" t="s">
        <v>1078</v>
      </c>
      <c r="C26" t="s">
        <v>1079</v>
      </c>
      <c r="D26" t="s">
        <v>201</v>
      </c>
      <c r="F26">
        <v>530.52978499999995</v>
      </c>
      <c r="G26">
        <v>503.63491800000003</v>
      </c>
      <c r="H26">
        <v>492.97289999999998</v>
      </c>
      <c r="I26">
        <v>491.68774400000001</v>
      </c>
      <c r="J26">
        <v>493.04165599999999</v>
      </c>
      <c r="K26">
        <v>494.84197999999998</v>
      </c>
      <c r="L26">
        <v>496.33401500000002</v>
      </c>
      <c r="M26">
        <v>497.34268200000002</v>
      </c>
      <c r="N26">
        <v>498.37484699999999</v>
      </c>
      <c r="O26">
        <v>499.89736900000003</v>
      </c>
      <c r="P26">
        <v>502.60791</v>
      </c>
      <c r="Q26">
        <v>503.11676</v>
      </c>
      <c r="R26">
        <v>502.44113199999998</v>
      </c>
      <c r="S26">
        <v>503.39532500000001</v>
      </c>
      <c r="T26">
        <v>506.23397799999998</v>
      </c>
      <c r="U26">
        <v>510.641052</v>
      </c>
      <c r="V26">
        <v>515.73944100000006</v>
      </c>
      <c r="W26">
        <v>521.56854199999998</v>
      </c>
      <c r="X26">
        <v>527.97747800000002</v>
      </c>
      <c r="Y26">
        <v>533.98669400000006</v>
      </c>
      <c r="Z26">
        <v>540.20526099999995</v>
      </c>
      <c r="AA26">
        <v>546.04901099999995</v>
      </c>
      <c r="AB26">
        <v>552.27117899999996</v>
      </c>
      <c r="AC26">
        <v>558.64074700000003</v>
      </c>
      <c r="AD26">
        <v>564.80841099999998</v>
      </c>
      <c r="AE26">
        <v>571.17590299999995</v>
      </c>
      <c r="AF26">
        <v>577.96679700000004</v>
      </c>
      <c r="AG26">
        <v>584.64727800000003</v>
      </c>
      <c r="AH26">
        <v>592.18615699999998</v>
      </c>
      <c r="AI26" s="22">
        <v>4.0000000000000001E-3</v>
      </c>
    </row>
    <row r="27" spans="1:35">
      <c r="A27" t="s">
        <v>175</v>
      </c>
      <c r="B27" t="s">
        <v>1080</v>
      </c>
      <c r="C27" t="s">
        <v>1081</v>
      </c>
      <c r="D27" t="s">
        <v>201</v>
      </c>
      <c r="F27">
        <v>1234.088135</v>
      </c>
      <c r="G27">
        <v>1173.2438959999999</v>
      </c>
      <c r="H27">
        <v>1163.399048</v>
      </c>
      <c r="I27">
        <v>1161.1793210000001</v>
      </c>
      <c r="J27">
        <v>1150.975586</v>
      </c>
      <c r="K27">
        <v>1146.247437</v>
      </c>
      <c r="L27">
        <v>1136.9453120000001</v>
      </c>
      <c r="M27">
        <v>1130.1513669999999</v>
      </c>
      <c r="N27">
        <v>1124.275024</v>
      </c>
      <c r="O27">
        <v>1121.1164550000001</v>
      </c>
      <c r="P27">
        <v>1118.7803960000001</v>
      </c>
      <c r="Q27">
        <v>1116.8857419999999</v>
      </c>
      <c r="R27">
        <v>1114.0074460000001</v>
      </c>
      <c r="S27">
        <v>1111.151611</v>
      </c>
      <c r="T27">
        <v>1107.9022219999999</v>
      </c>
      <c r="U27">
        <v>1105.9880370000001</v>
      </c>
      <c r="V27">
        <v>1104.0131839999999</v>
      </c>
      <c r="W27">
        <v>1102.27124</v>
      </c>
      <c r="X27">
        <v>1101.5563959999999</v>
      </c>
      <c r="Y27">
        <v>1099.544922</v>
      </c>
      <c r="Z27">
        <v>1097.713745</v>
      </c>
      <c r="AA27">
        <v>1096.149414</v>
      </c>
      <c r="AB27">
        <v>1094.751953</v>
      </c>
      <c r="AC27">
        <v>1093.028564</v>
      </c>
      <c r="AD27">
        <v>1091.962158</v>
      </c>
      <c r="AE27">
        <v>1090.536499</v>
      </c>
      <c r="AF27">
        <v>1087.4643550000001</v>
      </c>
      <c r="AG27">
        <v>1086.8054199999999</v>
      </c>
      <c r="AH27">
        <v>1085.915283</v>
      </c>
      <c r="AI27" s="22">
        <v>-5.0000000000000001E-3</v>
      </c>
    </row>
    <row r="28" spans="1:35">
      <c r="A28" t="s">
        <v>176</v>
      </c>
      <c r="B28" t="s">
        <v>1082</v>
      </c>
      <c r="C28" t="s">
        <v>1083</v>
      </c>
      <c r="D28" t="s">
        <v>201</v>
      </c>
      <c r="F28">
        <v>1033.165405</v>
      </c>
      <c r="G28">
        <v>979.89202899999998</v>
      </c>
      <c r="H28">
        <v>974.51336700000002</v>
      </c>
      <c r="I28">
        <v>975.08941700000003</v>
      </c>
      <c r="J28">
        <v>966.546021</v>
      </c>
      <c r="K28">
        <v>963.49517800000001</v>
      </c>
      <c r="L28">
        <v>955.84588599999995</v>
      </c>
      <c r="M28">
        <v>950.93066399999998</v>
      </c>
      <c r="N28">
        <v>947.14837599999998</v>
      </c>
      <c r="O28">
        <v>945.89868200000001</v>
      </c>
      <c r="P28">
        <v>944.85516399999995</v>
      </c>
      <c r="Q28">
        <v>944.14190699999995</v>
      </c>
      <c r="R28">
        <v>942.78301999999996</v>
      </c>
      <c r="S28">
        <v>941.41467299999999</v>
      </c>
      <c r="T28">
        <v>939.39831500000003</v>
      </c>
      <c r="U28">
        <v>938.39746100000002</v>
      </c>
      <c r="V28">
        <v>937.14086899999995</v>
      </c>
      <c r="W28">
        <v>936.03857400000004</v>
      </c>
      <c r="X28">
        <v>935.76641800000004</v>
      </c>
      <c r="Y28">
        <v>934.27673300000004</v>
      </c>
      <c r="Z28">
        <v>932.92230199999995</v>
      </c>
      <c r="AA28">
        <v>931.82714799999997</v>
      </c>
      <c r="AB28">
        <v>930.86364700000001</v>
      </c>
      <c r="AC28">
        <v>929.62719700000002</v>
      </c>
      <c r="AD28">
        <v>929.00006099999996</v>
      </c>
      <c r="AE28">
        <v>927.93945299999996</v>
      </c>
      <c r="AF28">
        <v>925.19561799999997</v>
      </c>
      <c r="AG28">
        <v>924.64996299999996</v>
      </c>
      <c r="AH28">
        <v>923.808899</v>
      </c>
      <c r="AI28" s="22">
        <v>-4.0000000000000001E-3</v>
      </c>
    </row>
    <row r="29" spans="1:35">
      <c r="A29" t="s">
        <v>150</v>
      </c>
      <c r="B29" t="s">
        <v>1084</v>
      </c>
      <c r="C29" t="s">
        <v>1085</v>
      </c>
      <c r="D29" t="s">
        <v>201</v>
      </c>
      <c r="F29">
        <v>98.239388000000005</v>
      </c>
      <c r="G29">
        <v>98.555594999999997</v>
      </c>
      <c r="H29">
        <v>96.731917999999993</v>
      </c>
      <c r="I29">
        <v>95.436927999999995</v>
      </c>
      <c r="J29">
        <v>94.347915999999998</v>
      </c>
      <c r="K29">
        <v>93.10463</v>
      </c>
      <c r="L29">
        <v>91.875465000000005</v>
      </c>
      <c r="M29">
        <v>90.529846000000006</v>
      </c>
      <c r="N29">
        <v>89.324959000000007</v>
      </c>
      <c r="O29">
        <v>88.201453999999998</v>
      </c>
      <c r="P29">
        <v>87.334311999999997</v>
      </c>
      <c r="Q29">
        <v>86.465857999999997</v>
      </c>
      <c r="R29">
        <v>85.351685000000003</v>
      </c>
      <c r="S29">
        <v>84.240737999999993</v>
      </c>
      <c r="T29">
        <v>83.043732000000006</v>
      </c>
      <c r="U29">
        <v>82.109359999999995</v>
      </c>
      <c r="V29">
        <v>81.163605000000004</v>
      </c>
      <c r="W29">
        <v>80.212753000000006</v>
      </c>
      <c r="X29">
        <v>79.316063</v>
      </c>
      <c r="Y29">
        <v>78.387878000000001</v>
      </c>
      <c r="Z29">
        <v>77.573982000000001</v>
      </c>
      <c r="AA29">
        <v>76.789490000000001</v>
      </c>
      <c r="AB29">
        <v>75.995895000000004</v>
      </c>
      <c r="AC29">
        <v>75.232376000000002</v>
      </c>
      <c r="AD29">
        <v>74.504272</v>
      </c>
      <c r="AE29">
        <v>73.715118000000004</v>
      </c>
      <c r="AF29">
        <v>72.897345999999999</v>
      </c>
      <c r="AG29">
        <v>72.268508999999995</v>
      </c>
      <c r="AH29">
        <v>71.703384</v>
      </c>
      <c r="AI29" s="22">
        <v>-1.0999999999999999E-2</v>
      </c>
    </row>
    <row r="30" spans="1:35">
      <c r="A30" t="s">
        <v>151</v>
      </c>
      <c r="B30" t="s">
        <v>1086</v>
      </c>
      <c r="C30" t="s">
        <v>1087</v>
      </c>
      <c r="D30" t="s">
        <v>201</v>
      </c>
      <c r="F30">
        <v>934.92602499999998</v>
      </c>
      <c r="G30">
        <v>881.33642599999996</v>
      </c>
      <c r="H30">
        <v>877.78143299999999</v>
      </c>
      <c r="I30">
        <v>879.652466</v>
      </c>
      <c r="J30">
        <v>872.19812000000002</v>
      </c>
      <c r="K30">
        <v>870.39056400000004</v>
      </c>
      <c r="L30">
        <v>863.97039800000005</v>
      </c>
      <c r="M30">
        <v>860.40081799999996</v>
      </c>
      <c r="N30">
        <v>857.82342500000004</v>
      </c>
      <c r="O30">
        <v>857.69720500000005</v>
      </c>
      <c r="P30">
        <v>857.52087400000005</v>
      </c>
      <c r="Q30">
        <v>857.67602499999998</v>
      </c>
      <c r="R30">
        <v>857.43133499999999</v>
      </c>
      <c r="S30">
        <v>857.17394999999999</v>
      </c>
      <c r="T30">
        <v>856.35455300000001</v>
      </c>
      <c r="U30">
        <v>856.28808600000002</v>
      </c>
      <c r="V30">
        <v>855.97729500000003</v>
      </c>
      <c r="W30">
        <v>855.82580600000006</v>
      </c>
      <c r="X30">
        <v>856.450378</v>
      </c>
      <c r="Y30">
        <v>855.88885500000004</v>
      </c>
      <c r="Z30">
        <v>855.34832800000004</v>
      </c>
      <c r="AA30">
        <v>855.03765899999996</v>
      </c>
      <c r="AB30">
        <v>854.86773700000003</v>
      </c>
      <c r="AC30">
        <v>854.39483600000005</v>
      </c>
      <c r="AD30">
        <v>854.49578899999995</v>
      </c>
      <c r="AE30">
        <v>854.22436500000003</v>
      </c>
      <c r="AF30">
        <v>852.29827899999998</v>
      </c>
      <c r="AG30">
        <v>852.38147000000004</v>
      </c>
      <c r="AH30">
        <v>852.10553000000004</v>
      </c>
      <c r="AI30" s="22">
        <v>-3.0000000000000001E-3</v>
      </c>
    </row>
    <row r="31" spans="1:35">
      <c r="A31" t="s">
        <v>177</v>
      </c>
      <c r="B31" t="s">
        <v>1088</v>
      </c>
      <c r="C31" t="s">
        <v>1089</v>
      </c>
      <c r="D31" t="s">
        <v>201</v>
      </c>
      <c r="F31">
        <v>200.92266799999999</v>
      </c>
      <c r="G31">
        <v>193.35183699999999</v>
      </c>
      <c r="H31">
        <v>188.88559000000001</v>
      </c>
      <c r="I31">
        <v>186.08981299999999</v>
      </c>
      <c r="J31">
        <v>184.42950400000001</v>
      </c>
      <c r="K31">
        <v>182.75225800000001</v>
      </c>
      <c r="L31">
        <v>181.09939600000001</v>
      </c>
      <c r="M31">
        <v>179.22065699999999</v>
      </c>
      <c r="N31">
        <v>177.12664799999999</v>
      </c>
      <c r="O31">
        <v>175.21778900000001</v>
      </c>
      <c r="P31">
        <v>173.92523199999999</v>
      </c>
      <c r="Q31">
        <v>172.74378999999999</v>
      </c>
      <c r="R31">
        <v>171.224457</v>
      </c>
      <c r="S31">
        <v>169.736954</v>
      </c>
      <c r="T31">
        <v>168.50386</v>
      </c>
      <c r="U31">
        <v>167.59060700000001</v>
      </c>
      <c r="V31">
        <v>166.872299</v>
      </c>
      <c r="W31">
        <v>166.23266599999999</v>
      </c>
      <c r="X31">
        <v>165.79002399999999</v>
      </c>
      <c r="Y31">
        <v>165.26821899999999</v>
      </c>
      <c r="Z31">
        <v>164.79155</v>
      </c>
      <c r="AA31">
        <v>164.32226600000001</v>
      </c>
      <c r="AB31">
        <v>163.888306</v>
      </c>
      <c r="AC31">
        <v>163.40126000000001</v>
      </c>
      <c r="AD31">
        <v>162.96211199999999</v>
      </c>
      <c r="AE31">
        <v>162.59707599999999</v>
      </c>
      <c r="AF31">
        <v>162.268677</v>
      </c>
      <c r="AG31">
        <v>162.15545700000001</v>
      </c>
      <c r="AH31">
        <v>162.10635400000001</v>
      </c>
      <c r="AI31" s="22">
        <v>-8.0000000000000002E-3</v>
      </c>
    </row>
    <row r="32" spans="1:35">
      <c r="A32" t="s">
        <v>178</v>
      </c>
      <c r="B32" t="s">
        <v>1090</v>
      </c>
      <c r="C32" t="s">
        <v>1091</v>
      </c>
      <c r="D32" t="s">
        <v>201</v>
      </c>
      <c r="F32">
        <v>523.72045900000001</v>
      </c>
      <c r="G32">
        <v>519.93841599999996</v>
      </c>
      <c r="H32">
        <v>533.38995399999999</v>
      </c>
      <c r="I32">
        <v>512.54736300000002</v>
      </c>
      <c r="J32">
        <v>490.27654999999999</v>
      </c>
      <c r="K32">
        <v>470.94931000000003</v>
      </c>
      <c r="L32">
        <v>478.15292399999998</v>
      </c>
      <c r="M32">
        <v>471.11038200000002</v>
      </c>
      <c r="N32">
        <v>465.75012199999998</v>
      </c>
      <c r="O32">
        <v>466.06607100000002</v>
      </c>
      <c r="P32">
        <v>469.51413000000002</v>
      </c>
      <c r="Q32">
        <v>472.41146900000001</v>
      </c>
      <c r="R32">
        <v>470.37924199999998</v>
      </c>
      <c r="S32">
        <v>470.10488900000001</v>
      </c>
      <c r="T32">
        <v>467.416809</v>
      </c>
      <c r="U32">
        <v>467.62039199999998</v>
      </c>
      <c r="V32">
        <v>469.03002900000001</v>
      </c>
      <c r="W32">
        <v>467.46713299999999</v>
      </c>
      <c r="X32">
        <v>469.23397799999998</v>
      </c>
      <c r="Y32">
        <v>470.34136999999998</v>
      </c>
      <c r="Z32">
        <v>471.45013399999999</v>
      </c>
      <c r="AA32">
        <v>471.40566999999999</v>
      </c>
      <c r="AB32">
        <v>469.35632299999997</v>
      </c>
      <c r="AC32">
        <v>469.03152499999999</v>
      </c>
      <c r="AD32">
        <v>469.47219799999999</v>
      </c>
      <c r="AE32">
        <v>470.77539100000001</v>
      </c>
      <c r="AF32">
        <v>472.10351600000001</v>
      </c>
      <c r="AG32">
        <v>473.252411</v>
      </c>
      <c r="AH32">
        <v>475.92453</v>
      </c>
      <c r="AI32" s="22">
        <v>-3.0000000000000001E-3</v>
      </c>
    </row>
    <row r="33" spans="1:35">
      <c r="A33" t="s">
        <v>176</v>
      </c>
      <c r="B33" t="s">
        <v>1092</v>
      </c>
      <c r="C33" t="s">
        <v>1093</v>
      </c>
      <c r="D33" t="s">
        <v>201</v>
      </c>
      <c r="F33">
        <v>480.014252</v>
      </c>
      <c r="G33">
        <v>475.06915300000003</v>
      </c>
      <c r="H33">
        <v>487.58801299999999</v>
      </c>
      <c r="I33">
        <v>466.25399800000002</v>
      </c>
      <c r="J33">
        <v>443.44238300000001</v>
      </c>
      <c r="K33">
        <v>423.669464</v>
      </c>
      <c r="L33">
        <v>430.49002100000001</v>
      </c>
      <c r="M33">
        <v>423.11758400000002</v>
      </c>
      <c r="N33">
        <v>417.39361600000001</v>
      </c>
      <c r="O33">
        <v>417.42453</v>
      </c>
      <c r="P33">
        <v>420.523865</v>
      </c>
      <c r="Q33">
        <v>423.08718900000002</v>
      </c>
      <c r="R33">
        <v>420.76303100000001</v>
      </c>
      <c r="S33">
        <v>420.27957199999997</v>
      </c>
      <c r="T33">
        <v>417.419556</v>
      </c>
      <c r="U33">
        <v>417.43130500000001</v>
      </c>
      <c r="V33">
        <v>418.61416600000001</v>
      </c>
      <c r="W33">
        <v>416.69549599999999</v>
      </c>
      <c r="X33">
        <v>418.10549900000001</v>
      </c>
      <c r="Y33">
        <v>418.83862299999998</v>
      </c>
      <c r="Z33">
        <v>419.51144399999998</v>
      </c>
      <c r="AA33">
        <v>419.10952800000001</v>
      </c>
      <c r="AB33">
        <v>416.69879200000003</v>
      </c>
      <c r="AC33">
        <v>415.93130500000001</v>
      </c>
      <c r="AD33">
        <v>415.897583</v>
      </c>
      <c r="AE33">
        <v>416.65377799999999</v>
      </c>
      <c r="AF33">
        <v>417.404785</v>
      </c>
      <c r="AG33">
        <v>417.98327599999999</v>
      </c>
      <c r="AH33">
        <v>420.001282</v>
      </c>
      <c r="AI33" s="22">
        <v>-5.0000000000000001E-3</v>
      </c>
    </row>
    <row r="34" spans="1:35">
      <c r="A34" t="s">
        <v>179</v>
      </c>
      <c r="B34" t="s">
        <v>1094</v>
      </c>
      <c r="C34" t="s">
        <v>1095</v>
      </c>
      <c r="D34" t="s">
        <v>201</v>
      </c>
      <c r="F34">
        <v>43.706237999999999</v>
      </c>
      <c r="G34">
        <v>44.869281999999998</v>
      </c>
      <c r="H34">
        <v>45.801918000000001</v>
      </c>
      <c r="I34">
        <v>46.293396000000001</v>
      </c>
      <c r="J34">
        <v>46.834175000000002</v>
      </c>
      <c r="K34">
        <v>47.279850000000003</v>
      </c>
      <c r="L34">
        <v>47.662909999999997</v>
      </c>
      <c r="M34">
        <v>47.992789999999999</v>
      </c>
      <c r="N34">
        <v>48.356518000000001</v>
      </c>
      <c r="O34">
        <v>48.641548</v>
      </c>
      <c r="P34">
        <v>48.990273000000002</v>
      </c>
      <c r="Q34">
        <v>49.324283999999999</v>
      </c>
      <c r="R34">
        <v>49.616211</v>
      </c>
      <c r="S34">
        <v>49.825310000000002</v>
      </c>
      <c r="T34">
        <v>49.997238000000003</v>
      </c>
      <c r="U34">
        <v>50.189087000000001</v>
      </c>
      <c r="V34">
        <v>50.415855000000001</v>
      </c>
      <c r="W34">
        <v>50.771625999999998</v>
      </c>
      <c r="X34">
        <v>51.128483000000003</v>
      </c>
      <c r="Y34">
        <v>51.502738999999998</v>
      </c>
      <c r="Z34">
        <v>51.938693999999998</v>
      </c>
      <c r="AA34">
        <v>52.296149999999997</v>
      </c>
      <c r="AB34">
        <v>52.657524000000002</v>
      </c>
      <c r="AC34">
        <v>53.100223999999997</v>
      </c>
      <c r="AD34">
        <v>53.574618999999998</v>
      </c>
      <c r="AE34">
        <v>54.121613000000004</v>
      </c>
      <c r="AF34">
        <v>54.698737999999999</v>
      </c>
      <c r="AG34">
        <v>55.269134999999999</v>
      </c>
      <c r="AH34">
        <v>55.923248000000001</v>
      </c>
      <c r="AI34" s="22">
        <v>8.9999999999999993E-3</v>
      </c>
    </row>
    <row r="35" spans="1:35">
      <c r="A35" t="s">
        <v>167</v>
      </c>
      <c r="B35" t="s">
        <v>1096</v>
      </c>
      <c r="C35" t="s">
        <v>1097</v>
      </c>
      <c r="D35" t="s">
        <v>201</v>
      </c>
      <c r="F35">
        <v>7.5938879999999997</v>
      </c>
      <c r="G35">
        <v>8.2630470000000003</v>
      </c>
      <c r="H35">
        <v>8.7919619999999998</v>
      </c>
      <c r="I35">
        <v>9.2096029999999995</v>
      </c>
      <c r="J35">
        <v>9.5422510000000003</v>
      </c>
      <c r="K35">
        <v>9.8099410000000002</v>
      </c>
      <c r="L35">
        <v>10.02899</v>
      </c>
      <c r="M35">
        <v>10.211987000000001</v>
      </c>
      <c r="N35">
        <v>10.368161000000001</v>
      </c>
      <c r="O35">
        <v>10.503344</v>
      </c>
      <c r="P35">
        <v>10.620272999999999</v>
      </c>
      <c r="Q35">
        <v>10.720643000000001</v>
      </c>
      <c r="R35">
        <v>10.807645000000001</v>
      </c>
      <c r="S35">
        <v>10.883571999999999</v>
      </c>
      <c r="T35">
        <v>10.949845</v>
      </c>
      <c r="U35">
        <v>11.007377999999999</v>
      </c>
      <c r="V35">
        <v>11.064802</v>
      </c>
      <c r="W35">
        <v>11.119361</v>
      </c>
      <c r="X35">
        <v>11.170999999999999</v>
      </c>
      <c r="Y35">
        <v>11.220095000000001</v>
      </c>
      <c r="Z35">
        <v>11.267810000000001</v>
      </c>
      <c r="AA35">
        <v>11.314655</v>
      </c>
      <c r="AB35">
        <v>11.360689000000001</v>
      </c>
      <c r="AC35">
        <v>11.405897</v>
      </c>
      <c r="AD35">
        <v>11.450664</v>
      </c>
      <c r="AE35">
        <v>11.494776</v>
      </c>
      <c r="AF35">
        <v>11.538198</v>
      </c>
      <c r="AG35">
        <v>11.581163999999999</v>
      </c>
      <c r="AH35">
        <v>11.623652</v>
      </c>
      <c r="AI35" s="22">
        <v>1.4999999999999999E-2</v>
      </c>
    </row>
    <row r="36" spans="1:35">
      <c r="A36" t="s">
        <v>166</v>
      </c>
      <c r="B36" t="s">
        <v>1098</v>
      </c>
      <c r="C36" t="s">
        <v>1099</v>
      </c>
      <c r="D36" t="s">
        <v>201</v>
      </c>
      <c r="F36">
        <v>16.936598</v>
      </c>
      <c r="G36">
        <v>17.052160000000001</v>
      </c>
      <c r="H36">
        <v>17.163343000000001</v>
      </c>
      <c r="I36">
        <v>17.108516999999999</v>
      </c>
      <c r="J36">
        <v>17.156970999999999</v>
      </c>
      <c r="K36">
        <v>17.218192999999999</v>
      </c>
      <c r="L36">
        <v>17.293527999999998</v>
      </c>
      <c r="M36">
        <v>17.372610000000002</v>
      </c>
      <c r="N36">
        <v>17.426532999999999</v>
      </c>
      <c r="O36">
        <v>17.461701999999999</v>
      </c>
      <c r="P36">
        <v>17.548985999999999</v>
      </c>
      <c r="Q36">
        <v>17.645508</v>
      </c>
      <c r="R36">
        <v>17.733782000000001</v>
      </c>
      <c r="S36">
        <v>17.787050000000001</v>
      </c>
      <c r="T36">
        <v>17.832616999999999</v>
      </c>
      <c r="U36">
        <v>17.896051</v>
      </c>
      <c r="V36">
        <v>17.980246999999999</v>
      </c>
      <c r="W36">
        <v>18.065006</v>
      </c>
      <c r="X36">
        <v>18.145489000000001</v>
      </c>
      <c r="Y36">
        <v>18.261627000000001</v>
      </c>
      <c r="Z36">
        <v>18.414162000000001</v>
      </c>
      <c r="AA36">
        <v>18.525410000000001</v>
      </c>
      <c r="AB36">
        <v>18.636206000000001</v>
      </c>
      <c r="AC36">
        <v>18.767868</v>
      </c>
      <c r="AD36">
        <v>18.906137000000001</v>
      </c>
      <c r="AE36">
        <v>19.084285999999999</v>
      </c>
      <c r="AF36">
        <v>19.280042999999999</v>
      </c>
      <c r="AG36">
        <v>19.455190999999999</v>
      </c>
      <c r="AH36">
        <v>19.687010000000001</v>
      </c>
      <c r="AI36" s="22">
        <v>5.0000000000000001E-3</v>
      </c>
    </row>
    <row r="37" spans="1:35">
      <c r="A37" t="s">
        <v>180</v>
      </c>
      <c r="B37" t="s">
        <v>1100</v>
      </c>
      <c r="C37" t="s">
        <v>1101</v>
      </c>
      <c r="D37" t="s">
        <v>201</v>
      </c>
      <c r="F37">
        <v>19.175753</v>
      </c>
      <c r="G37">
        <v>19.554075000000001</v>
      </c>
      <c r="H37">
        <v>19.846613000000001</v>
      </c>
      <c r="I37">
        <v>19.975276999999998</v>
      </c>
      <c r="J37">
        <v>20.134955999999999</v>
      </c>
      <c r="K37">
        <v>20.251716999999999</v>
      </c>
      <c r="L37">
        <v>20.340392999999999</v>
      </c>
      <c r="M37">
        <v>20.408192</v>
      </c>
      <c r="N37">
        <v>20.561827000000001</v>
      </c>
      <c r="O37">
        <v>20.676501999999999</v>
      </c>
      <c r="P37">
        <v>20.821014000000002</v>
      </c>
      <c r="Q37">
        <v>20.958134000000001</v>
      </c>
      <c r="R37">
        <v>21.074787000000001</v>
      </c>
      <c r="S37">
        <v>21.154689999999999</v>
      </c>
      <c r="T37">
        <v>21.214779</v>
      </c>
      <c r="U37">
        <v>21.28566</v>
      </c>
      <c r="V37">
        <v>21.370804</v>
      </c>
      <c r="W37">
        <v>21.587259</v>
      </c>
      <c r="X37">
        <v>21.811993000000001</v>
      </c>
      <c r="Y37">
        <v>22.021018999999999</v>
      </c>
      <c r="Z37">
        <v>22.256723000000001</v>
      </c>
      <c r="AA37">
        <v>22.456087</v>
      </c>
      <c r="AB37">
        <v>22.660629</v>
      </c>
      <c r="AC37">
        <v>22.926456000000002</v>
      </c>
      <c r="AD37">
        <v>23.217818999999999</v>
      </c>
      <c r="AE37">
        <v>23.542549000000001</v>
      </c>
      <c r="AF37">
        <v>23.880496999999998</v>
      </c>
      <c r="AG37">
        <v>24.232780000000002</v>
      </c>
      <c r="AH37">
        <v>24.612587000000001</v>
      </c>
      <c r="AI37" s="22">
        <v>8.9999999999999993E-3</v>
      </c>
    </row>
    <row r="38" spans="1:35">
      <c r="A38" t="s">
        <v>181</v>
      </c>
      <c r="B38" t="s">
        <v>1102</v>
      </c>
      <c r="C38" t="s">
        <v>1103</v>
      </c>
      <c r="D38" t="s">
        <v>201</v>
      </c>
      <c r="F38">
        <v>125.899567</v>
      </c>
      <c r="G38">
        <v>125.37957</v>
      </c>
      <c r="H38">
        <v>125.029449</v>
      </c>
      <c r="I38">
        <v>124.801453</v>
      </c>
      <c r="J38">
        <v>124.69525899999999</v>
      </c>
      <c r="K38">
        <v>124.384125</v>
      </c>
      <c r="L38">
        <v>124.116241</v>
      </c>
      <c r="M38">
        <v>123.91597</v>
      </c>
      <c r="N38">
        <v>123.706886</v>
      </c>
      <c r="O38">
        <v>123.50303599999999</v>
      </c>
      <c r="P38">
        <v>123.399162</v>
      </c>
      <c r="Q38">
        <v>123.350677</v>
      </c>
      <c r="R38">
        <v>123.229088</v>
      </c>
      <c r="S38">
        <v>123.060562</v>
      </c>
      <c r="T38">
        <v>122.913391</v>
      </c>
      <c r="U38">
        <v>122.84301000000001</v>
      </c>
      <c r="V38">
        <v>122.868729</v>
      </c>
      <c r="W38">
        <v>122.974594</v>
      </c>
      <c r="X38">
        <v>123.115875</v>
      </c>
      <c r="Y38">
        <v>123.245796</v>
      </c>
      <c r="Z38">
        <v>123.376953</v>
      </c>
      <c r="AA38">
        <v>123.487793</v>
      </c>
      <c r="AB38">
        <v>123.561241</v>
      </c>
      <c r="AC38">
        <v>123.627106</v>
      </c>
      <c r="AD38">
        <v>123.712143</v>
      </c>
      <c r="AE38">
        <v>123.813293</v>
      </c>
      <c r="AF38">
        <v>123.925461</v>
      </c>
      <c r="AG38">
        <v>124.036011</v>
      </c>
      <c r="AH38">
        <v>124.148155</v>
      </c>
      <c r="AI38" s="22">
        <v>-1E-3</v>
      </c>
    </row>
    <row r="39" spans="1:35">
      <c r="A39" t="s">
        <v>182</v>
      </c>
      <c r="B39" t="s">
        <v>1104</v>
      </c>
      <c r="C39" t="s">
        <v>1105</v>
      </c>
      <c r="D39" t="s">
        <v>201</v>
      </c>
      <c r="F39">
        <v>905.84051499999998</v>
      </c>
      <c r="G39">
        <v>818.09411599999999</v>
      </c>
      <c r="H39">
        <v>750.09661900000003</v>
      </c>
      <c r="I39">
        <v>710.96716300000003</v>
      </c>
      <c r="J39">
        <v>683.21826199999998</v>
      </c>
      <c r="K39">
        <v>644.43926999999996</v>
      </c>
      <c r="L39">
        <v>605.86267099999998</v>
      </c>
      <c r="M39">
        <v>601.30419900000004</v>
      </c>
      <c r="N39">
        <v>598.79797399999995</v>
      </c>
      <c r="O39">
        <v>601.64556900000002</v>
      </c>
      <c r="P39">
        <v>607.49902299999997</v>
      </c>
      <c r="Q39">
        <v>616.87213099999997</v>
      </c>
      <c r="R39">
        <v>619.33136000000002</v>
      </c>
      <c r="S39">
        <v>618.89520300000004</v>
      </c>
      <c r="T39">
        <v>614.86352499999998</v>
      </c>
      <c r="U39">
        <v>616.29345699999999</v>
      </c>
      <c r="V39">
        <v>618.09863299999995</v>
      </c>
      <c r="W39">
        <v>620.82605000000001</v>
      </c>
      <c r="X39">
        <v>630.065247</v>
      </c>
      <c r="Y39">
        <v>633.584656</v>
      </c>
      <c r="Z39">
        <v>638.84863299999995</v>
      </c>
      <c r="AA39">
        <v>640.74737500000003</v>
      </c>
      <c r="AB39">
        <v>649.03729199999998</v>
      </c>
      <c r="AC39">
        <v>651.38903800000003</v>
      </c>
      <c r="AD39">
        <v>659.87823500000002</v>
      </c>
      <c r="AE39">
        <v>665.15924099999995</v>
      </c>
      <c r="AF39">
        <v>671.01440400000001</v>
      </c>
      <c r="AG39">
        <v>672.52191200000004</v>
      </c>
      <c r="AH39">
        <v>679.09362799999997</v>
      </c>
      <c r="AI39" s="22">
        <v>-0.01</v>
      </c>
    </row>
    <row r="40" spans="1:35">
      <c r="A40" t="s">
        <v>1106</v>
      </c>
      <c r="B40" t="s">
        <v>1107</v>
      </c>
      <c r="C40" t="s">
        <v>1108</v>
      </c>
      <c r="D40" t="s">
        <v>201</v>
      </c>
      <c r="F40">
        <v>332.52310199999999</v>
      </c>
      <c r="G40">
        <v>377.97052000000002</v>
      </c>
      <c r="H40">
        <v>384.00460800000002</v>
      </c>
      <c r="I40">
        <v>408.78292800000003</v>
      </c>
      <c r="J40">
        <v>446.260651</v>
      </c>
      <c r="K40">
        <v>477.17263800000001</v>
      </c>
      <c r="L40">
        <v>503.61007699999999</v>
      </c>
      <c r="M40">
        <v>527.57086200000003</v>
      </c>
      <c r="N40">
        <v>577.96905500000003</v>
      </c>
      <c r="O40">
        <v>628.36724900000002</v>
      </c>
      <c r="P40">
        <v>680.00372300000004</v>
      </c>
      <c r="Q40">
        <v>729.163635</v>
      </c>
      <c r="R40">
        <v>779.56182899999999</v>
      </c>
      <c r="S40">
        <v>813.16064500000005</v>
      </c>
      <c r="T40">
        <v>831.19830300000001</v>
      </c>
      <c r="U40">
        <v>846.75939900000003</v>
      </c>
      <c r="V40">
        <v>863.55883800000004</v>
      </c>
      <c r="W40">
        <v>871.95855700000004</v>
      </c>
      <c r="X40">
        <v>873.19683799999996</v>
      </c>
      <c r="Y40">
        <v>871.95855700000004</v>
      </c>
      <c r="Z40">
        <v>871.95855700000004</v>
      </c>
      <c r="AA40">
        <v>871.95855700000004</v>
      </c>
      <c r="AB40">
        <v>873.19683799999996</v>
      </c>
      <c r="AC40">
        <v>871.95855700000004</v>
      </c>
      <c r="AD40">
        <v>871.95855700000004</v>
      </c>
      <c r="AE40">
        <v>871.95855700000004</v>
      </c>
      <c r="AF40">
        <v>873.19683799999996</v>
      </c>
      <c r="AG40">
        <v>871.95855700000004</v>
      </c>
      <c r="AH40">
        <v>871.95855700000004</v>
      </c>
      <c r="AI40" s="22">
        <v>3.5000000000000003E-2</v>
      </c>
    </row>
    <row r="41" spans="1:35">
      <c r="A41" t="s">
        <v>183</v>
      </c>
      <c r="B41" t="s">
        <v>1109</v>
      </c>
      <c r="C41" t="s">
        <v>1110</v>
      </c>
      <c r="D41" t="s">
        <v>201</v>
      </c>
      <c r="F41">
        <v>431.00711100000001</v>
      </c>
      <c r="G41">
        <v>433.70452899999998</v>
      </c>
      <c r="H41">
        <v>434.85916099999997</v>
      </c>
      <c r="I41">
        <v>435.85296599999998</v>
      </c>
      <c r="J41">
        <v>436.71343999999999</v>
      </c>
      <c r="K41">
        <v>437.80352800000003</v>
      </c>
      <c r="L41">
        <v>439.04785199999998</v>
      </c>
      <c r="M41">
        <v>440.32238799999999</v>
      </c>
      <c r="N41">
        <v>441.57388300000002</v>
      </c>
      <c r="O41">
        <v>442.73297100000002</v>
      </c>
      <c r="P41">
        <v>443.867188</v>
      </c>
      <c r="Q41">
        <v>444.95523100000003</v>
      </c>
      <c r="R41">
        <v>446.03662100000003</v>
      </c>
      <c r="S41">
        <v>447.15206899999998</v>
      </c>
      <c r="T41">
        <v>448.41485599999999</v>
      </c>
      <c r="U41">
        <v>449.81106599999998</v>
      </c>
      <c r="V41">
        <v>451.25476099999997</v>
      </c>
      <c r="W41">
        <v>452.74456800000002</v>
      </c>
      <c r="X41">
        <v>454.27905299999998</v>
      </c>
      <c r="Y41">
        <v>455.853363</v>
      </c>
      <c r="Z41">
        <v>457.46035799999999</v>
      </c>
      <c r="AA41">
        <v>459.09814499999999</v>
      </c>
      <c r="AB41">
        <v>460.76711999999998</v>
      </c>
      <c r="AC41">
        <v>462.46490499999999</v>
      </c>
      <c r="AD41">
        <v>464.17974900000002</v>
      </c>
      <c r="AE41">
        <v>465.90911899999998</v>
      </c>
      <c r="AF41">
        <v>467.65033</v>
      </c>
      <c r="AG41">
        <v>469.40213</v>
      </c>
      <c r="AH41">
        <v>471.16201799999999</v>
      </c>
      <c r="AI41" s="22">
        <v>3.0000000000000001E-3</v>
      </c>
    </row>
    <row r="42" spans="1:35">
      <c r="A42" t="s">
        <v>184</v>
      </c>
      <c r="B42" t="s">
        <v>1111</v>
      </c>
      <c r="C42" t="s">
        <v>1112</v>
      </c>
      <c r="D42" t="s">
        <v>201</v>
      </c>
      <c r="F42">
        <v>334.58492999999999</v>
      </c>
      <c r="G42">
        <v>336.67889400000001</v>
      </c>
      <c r="H42">
        <v>337.57522599999999</v>
      </c>
      <c r="I42">
        <v>338.34670999999997</v>
      </c>
      <c r="J42">
        <v>339.014679</v>
      </c>
      <c r="K42">
        <v>339.86090100000001</v>
      </c>
      <c r="L42">
        <v>340.826843</v>
      </c>
      <c r="M42">
        <v>341.81625400000001</v>
      </c>
      <c r="N42">
        <v>342.787781</v>
      </c>
      <c r="O42">
        <v>343.68756100000002</v>
      </c>
      <c r="P42">
        <v>344.56802399999998</v>
      </c>
      <c r="Q42">
        <v>345.41265900000002</v>
      </c>
      <c r="R42">
        <v>346.25213600000001</v>
      </c>
      <c r="S42">
        <v>347.118042</v>
      </c>
      <c r="T42">
        <v>348.09832799999998</v>
      </c>
      <c r="U42">
        <v>349.18218999999999</v>
      </c>
      <c r="V42">
        <v>350.30291699999998</v>
      </c>
      <c r="W42">
        <v>351.45941199999999</v>
      </c>
      <c r="X42">
        <v>352.65063500000002</v>
      </c>
      <c r="Y42">
        <v>353.87274200000002</v>
      </c>
      <c r="Z42">
        <v>355.12023900000003</v>
      </c>
      <c r="AA42">
        <v>356.39163200000002</v>
      </c>
      <c r="AB42">
        <v>357.68722500000001</v>
      </c>
      <c r="AC42">
        <v>359.00518799999998</v>
      </c>
      <c r="AD42">
        <v>360.33642600000002</v>
      </c>
      <c r="AE42">
        <v>361.67889400000001</v>
      </c>
      <c r="AF42">
        <v>363.03057899999999</v>
      </c>
      <c r="AG42">
        <v>364.39047199999999</v>
      </c>
      <c r="AH42">
        <v>365.75665300000003</v>
      </c>
      <c r="AI42" s="22">
        <v>3.0000000000000001E-3</v>
      </c>
    </row>
    <row r="43" spans="1:35">
      <c r="A43" t="s">
        <v>185</v>
      </c>
      <c r="B43" t="s">
        <v>1113</v>
      </c>
      <c r="C43" t="s">
        <v>1114</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111</v>
      </c>
    </row>
    <row r="44" spans="1:35">
      <c r="A44" t="s">
        <v>186</v>
      </c>
      <c r="B44" t="s">
        <v>1115</v>
      </c>
      <c r="C44" t="s">
        <v>1116</v>
      </c>
      <c r="D44" t="s">
        <v>201</v>
      </c>
      <c r="F44">
        <v>96.422173000000001</v>
      </c>
      <c r="G44">
        <v>97.025620000000004</v>
      </c>
      <c r="H44">
        <v>97.283935999999997</v>
      </c>
      <c r="I44">
        <v>97.506255999999993</v>
      </c>
      <c r="J44">
        <v>97.698752999999996</v>
      </c>
      <c r="K44">
        <v>97.942611999999997</v>
      </c>
      <c r="L44">
        <v>98.220993000000007</v>
      </c>
      <c r="M44">
        <v>98.506125999999995</v>
      </c>
      <c r="N44">
        <v>98.786102</v>
      </c>
      <c r="O44">
        <v>99.045417999999998</v>
      </c>
      <c r="P44">
        <v>99.299164000000005</v>
      </c>
      <c r="Q44">
        <v>99.542572000000007</v>
      </c>
      <c r="R44">
        <v>99.784499999999994</v>
      </c>
      <c r="S44">
        <v>100.03402699999999</v>
      </c>
      <c r="T44">
        <v>100.31652800000001</v>
      </c>
      <c r="U44">
        <v>100.62887600000001</v>
      </c>
      <c r="V44">
        <v>100.951851</v>
      </c>
      <c r="W44">
        <v>101.285149</v>
      </c>
      <c r="X44">
        <v>101.628433</v>
      </c>
      <c r="Y44">
        <v>101.98062899999999</v>
      </c>
      <c r="Z44">
        <v>102.340126</v>
      </c>
      <c r="AA44">
        <v>102.70652800000001</v>
      </c>
      <c r="AB44">
        <v>103.07989499999999</v>
      </c>
      <c r="AC44">
        <v>103.45970199999999</v>
      </c>
      <c r="AD44">
        <v>103.843338</v>
      </c>
      <c r="AE44">
        <v>104.230225</v>
      </c>
      <c r="AF44">
        <v>104.619766</v>
      </c>
      <c r="AG44">
        <v>105.011658</v>
      </c>
      <c r="AH44">
        <v>105.405365</v>
      </c>
      <c r="AI44" s="22">
        <v>3.0000000000000001E-3</v>
      </c>
    </row>
    <row r="45" spans="1:35">
      <c r="A45" t="s">
        <v>141</v>
      </c>
      <c r="B45" t="s">
        <v>1117</v>
      </c>
      <c r="C45" t="s">
        <v>1118</v>
      </c>
      <c r="D45" t="s">
        <v>201</v>
      </c>
      <c r="F45">
        <v>27547.285156000002</v>
      </c>
      <c r="G45">
        <v>27277.255859000001</v>
      </c>
      <c r="H45">
        <v>26820.712890999999</v>
      </c>
      <c r="I45">
        <v>26352.072265999999</v>
      </c>
      <c r="J45">
        <v>26007.863281000002</v>
      </c>
      <c r="K45">
        <v>25690.798827999999</v>
      </c>
      <c r="L45">
        <v>25388.861327999999</v>
      </c>
      <c r="M45">
        <v>25078.917968999998</v>
      </c>
      <c r="N45">
        <v>24769.314452999999</v>
      </c>
      <c r="O45">
        <v>24503.662109000001</v>
      </c>
      <c r="P45">
        <v>24279.060547000001</v>
      </c>
      <c r="Q45">
        <v>24085.496093999998</v>
      </c>
      <c r="R45">
        <v>23864.304688</v>
      </c>
      <c r="S45">
        <v>23639.931640999999</v>
      </c>
      <c r="T45">
        <v>23406.007812</v>
      </c>
      <c r="U45">
        <v>23237.439452999999</v>
      </c>
      <c r="V45">
        <v>23109.242188</v>
      </c>
      <c r="W45">
        <v>22993.617188</v>
      </c>
      <c r="X45">
        <v>22925.126952999999</v>
      </c>
      <c r="Y45">
        <v>22852.591797000001</v>
      </c>
      <c r="Z45">
        <v>22808.074218999998</v>
      </c>
      <c r="AA45">
        <v>22774.916015999999</v>
      </c>
      <c r="AB45">
        <v>22770.072265999999</v>
      </c>
      <c r="AC45">
        <v>22781.328125</v>
      </c>
      <c r="AD45">
        <v>22827.777343999998</v>
      </c>
      <c r="AE45">
        <v>22899.871093999998</v>
      </c>
      <c r="AF45">
        <v>22986.773438</v>
      </c>
      <c r="AG45">
        <v>23095.576172000001</v>
      </c>
      <c r="AH45">
        <v>23240.400390999999</v>
      </c>
      <c r="AI45" s="22">
        <v>-6.0000000000000001E-3</v>
      </c>
    </row>
    <row r="46" spans="1:35">
      <c r="A46" t="s">
        <v>142</v>
      </c>
    </row>
    <row r="47" spans="1:35">
      <c r="A47" t="s">
        <v>187</v>
      </c>
      <c r="B47" t="s">
        <v>1119</v>
      </c>
      <c r="C47" t="s">
        <v>1120</v>
      </c>
      <c r="D47" t="s">
        <v>201</v>
      </c>
      <c r="F47">
        <v>15781.978515999999</v>
      </c>
      <c r="G47">
        <v>15607.137694999999</v>
      </c>
      <c r="H47">
        <v>15323.565430000001</v>
      </c>
      <c r="I47">
        <v>15006.644531</v>
      </c>
      <c r="J47">
        <v>14758.341796999999</v>
      </c>
      <c r="K47">
        <v>14548.008789</v>
      </c>
      <c r="L47">
        <v>14329.139648</v>
      </c>
      <c r="M47">
        <v>14088.546875</v>
      </c>
      <c r="N47">
        <v>13839.788086</v>
      </c>
      <c r="O47">
        <v>13612.479492</v>
      </c>
      <c r="P47">
        <v>13390.807617</v>
      </c>
      <c r="Q47">
        <v>13201.375977</v>
      </c>
      <c r="R47">
        <v>13009.751953000001</v>
      </c>
      <c r="S47">
        <v>12803.894531</v>
      </c>
      <c r="T47">
        <v>12588.889648</v>
      </c>
      <c r="U47">
        <v>12401.971680000001</v>
      </c>
      <c r="V47">
        <v>12241.091796999999</v>
      </c>
      <c r="W47">
        <v>12092.940430000001</v>
      </c>
      <c r="X47">
        <v>11968.771484000001</v>
      </c>
      <c r="Y47">
        <v>11852.905273</v>
      </c>
      <c r="Z47">
        <v>11756.801758</v>
      </c>
      <c r="AA47">
        <v>11675.911133</v>
      </c>
      <c r="AB47">
        <v>11619.558594</v>
      </c>
      <c r="AC47">
        <v>11585.367188</v>
      </c>
      <c r="AD47">
        <v>11577.258789</v>
      </c>
      <c r="AE47">
        <v>11595.715819999999</v>
      </c>
      <c r="AF47">
        <v>11628.708984000001</v>
      </c>
      <c r="AG47">
        <v>11677.589844</v>
      </c>
      <c r="AH47">
        <v>11746.348633</v>
      </c>
      <c r="AI47" s="22">
        <v>-0.01</v>
      </c>
    </row>
    <row r="48" spans="1:35">
      <c r="A48" t="s">
        <v>188</v>
      </c>
      <c r="B48" t="s">
        <v>1121</v>
      </c>
      <c r="C48" t="s">
        <v>1122</v>
      </c>
      <c r="D48" t="s">
        <v>201</v>
      </c>
      <c r="F48">
        <v>33.203460999999997</v>
      </c>
      <c r="G48">
        <v>33.230068000000003</v>
      </c>
      <c r="H48">
        <v>32.263480999999999</v>
      </c>
      <c r="I48">
        <v>32.096657</v>
      </c>
      <c r="J48">
        <v>31.314240000000002</v>
      </c>
      <c r="K48">
        <v>30.515791</v>
      </c>
      <c r="L48">
        <v>29.796001</v>
      </c>
      <c r="M48">
        <v>28.773320999999999</v>
      </c>
      <c r="N48">
        <v>27.672865000000002</v>
      </c>
      <c r="O48">
        <v>26.703862999999998</v>
      </c>
      <c r="P48">
        <v>25.745459</v>
      </c>
      <c r="Q48">
        <v>24.876587000000001</v>
      </c>
      <c r="R48">
        <v>24.054621000000001</v>
      </c>
      <c r="S48">
        <v>23.312283000000001</v>
      </c>
      <c r="T48">
        <v>22.633776000000001</v>
      </c>
      <c r="U48">
        <v>22.107336</v>
      </c>
      <c r="V48">
        <v>21.794820999999999</v>
      </c>
      <c r="W48">
        <v>21.635255999999998</v>
      </c>
      <c r="X48">
        <v>21.652248</v>
      </c>
      <c r="Y48">
        <v>21.670206</v>
      </c>
      <c r="Z48">
        <v>21.712429</v>
      </c>
      <c r="AA48">
        <v>21.862431000000001</v>
      </c>
      <c r="AB48">
        <v>22.094992000000001</v>
      </c>
      <c r="AC48">
        <v>22.321005</v>
      </c>
      <c r="AD48">
        <v>22.601568</v>
      </c>
      <c r="AE48">
        <v>22.903946000000001</v>
      </c>
      <c r="AF48">
        <v>23.215596999999999</v>
      </c>
      <c r="AG48">
        <v>23.636827</v>
      </c>
      <c r="AH48">
        <v>24.057039</v>
      </c>
      <c r="AI48" s="22">
        <v>-1.0999999999999999E-2</v>
      </c>
    </row>
    <row r="49" spans="1:35">
      <c r="A49" t="s">
        <v>189</v>
      </c>
      <c r="B49" t="s">
        <v>1123</v>
      </c>
      <c r="C49" t="s">
        <v>1124</v>
      </c>
      <c r="D49" t="s">
        <v>201</v>
      </c>
      <c r="F49">
        <v>6704.4780270000001</v>
      </c>
      <c r="G49">
        <v>6641.2285160000001</v>
      </c>
      <c r="H49">
        <v>6507.2739259999998</v>
      </c>
      <c r="I49">
        <v>6389.3334960000002</v>
      </c>
      <c r="J49">
        <v>6300.5087890000004</v>
      </c>
      <c r="K49">
        <v>6204.4648440000001</v>
      </c>
      <c r="L49">
        <v>6139.4448240000002</v>
      </c>
      <c r="M49">
        <v>6049.7617190000001</v>
      </c>
      <c r="N49">
        <v>5967.9492190000001</v>
      </c>
      <c r="O49">
        <v>5897.3232420000004</v>
      </c>
      <c r="P49">
        <v>5846.7612300000001</v>
      </c>
      <c r="Q49">
        <v>5794.6494140000004</v>
      </c>
      <c r="R49">
        <v>5733.7749020000001</v>
      </c>
      <c r="S49">
        <v>5682.794922</v>
      </c>
      <c r="T49">
        <v>5627.4497069999998</v>
      </c>
      <c r="U49">
        <v>5592.6704099999997</v>
      </c>
      <c r="V49">
        <v>5566.0898440000001</v>
      </c>
      <c r="W49">
        <v>5534.8872069999998</v>
      </c>
      <c r="X49">
        <v>5516.1049800000001</v>
      </c>
      <c r="Y49">
        <v>5495.767578</v>
      </c>
      <c r="Z49">
        <v>5480.3081050000001</v>
      </c>
      <c r="AA49">
        <v>5464.3818359999996</v>
      </c>
      <c r="AB49">
        <v>5445.0039059999999</v>
      </c>
      <c r="AC49">
        <v>5426.388672</v>
      </c>
      <c r="AD49">
        <v>5409.7729490000002</v>
      </c>
      <c r="AE49">
        <v>5391.5439450000003</v>
      </c>
      <c r="AF49">
        <v>5373.1655270000001</v>
      </c>
      <c r="AG49">
        <v>5359.6879879999997</v>
      </c>
      <c r="AH49">
        <v>5353.3916019999997</v>
      </c>
      <c r="AI49" s="22">
        <v>-8.0000000000000002E-3</v>
      </c>
    </row>
    <row r="50" spans="1:35">
      <c r="A50" t="s">
        <v>190</v>
      </c>
      <c r="B50" t="s">
        <v>1125</v>
      </c>
      <c r="C50" t="s">
        <v>1126</v>
      </c>
      <c r="D50" t="s">
        <v>201</v>
      </c>
      <c r="F50">
        <v>3107.8186040000001</v>
      </c>
      <c r="G50">
        <v>3300.2145999999998</v>
      </c>
      <c r="H50">
        <v>3319.185547</v>
      </c>
      <c r="I50">
        <v>3310.3291020000001</v>
      </c>
      <c r="J50">
        <v>3326.748047</v>
      </c>
      <c r="K50">
        <v>3341.788818</v>
      </c>
      <c r="L50">
        <v>3354.9106449999999</v>
      </c>
      <c r="M50">
        <v>3361.9091800000001</v>
      </c>
      <c r="N50">
        <v>3363.8264159999999</v>
      </c>
      <c r="O50">
        <v>3368.1003420000002</v>
      </c>
      <c r="P50">
        <v>3383.2751459999999</v>
      </c>
      <c r="Q50">
        <v>3393.6684570000002</v>
      </c>
      <c r="R50">
        <v>3393.7292480000001</v>
      </c>
      <c r="S50">
        <v>3396.8784179999998</v>
      </c>
      <c r="T50">
        <v>3408.642578</v>
      </c>
      <c r="U50">
        <v>3428.9067380000001</v>
      </c>
      <c r="V50">
        <v>3455.5297850000002</v>
      </c>
      <c r="W50">
        <v>3486.1757809999999</v>
      </c>
      <c r="X50">
        <v>3522.100586</v>
      </c>
      <c r="Y50">
        <v>3554.4704590000001</v>
      </c>
      <c r="Z50">
        <v>3588.3232419999999</v>
      </c>
      <c r="AA50">
        <v>3622.5583499999998</v>
      </c>
      <c r="AB50">
        <v>3658.4345699999999</v>
      </c>
      <c r="AC50">
        <v>3694.2145999999998</v>
      </c>
      <c r="AD50">
        <v>3730.8022460000002</v>
      </c>
      <c r="AE50">
        <v>3769.9558109999998</v>
      </c>
      <c r="AF50">
        <v>3812.0532229999999</v>
      </c>
      <c r="AG50">
        <v>3855.5913089999999</v>
      </c>
      <c r="AH50">
        <v>3903.7746579999998</v>
      </c>
      <c r="AI50" s="22">
        <v>8.0000000000000002E-3</v>
      </c>
    </row>
    <row r="51" spans="1:35">
      <c r="A51" t="s">
        <v>185</v>
      </c>
      <c r="B51" t="s">
        <v>1127</v>
      </c>
      <c r="C51" t="s">
        <v>1128</v>
      </c>
      <c r="D51" t="s">
        <v>201</v>
      </c>
      <c r="F51">
        <v>687.54095500000005</v>
      </c>
      <c r="G51">
        <v>534.06658900000002</v>
      </c>
      <c r="H51">
        <v>523.28320299999996</v>
      </c>
      <c r="I51">
        <v>527.48327600000005</v>
      </c>
      <c r="J51">
        <v>504.60025000000002</v>
      </c>
      <c r="K51">
        <v>498.15963699999998</v>
      </c>
      <c r="L51">
        <v>478.73602299999999</v>
      </c>
      <c r="M51">
        <v>467.51080300000001</v>
      </c>
      <c r="N51">
        <v>459.09939600000001</v>
      </c>
      <c r="O51">
        <v>457.60861199999999</v>
      </c>
      <c r="P51">
        <v>455.80740400000002</v>
      </c>
      <c r="Q51">
        <v>455.02813700000002</v>
      </c>
      <c r="R51">
        <v>453.21978799999999</v>
      </c>
      <c r="S51">
        <v>451.31939699999998</v>
      </c>
      <c r="T51">
        <v>447.886414</v>
      </c>
      <c r="U51">
        <v>446.59118699999999</v>
      </c>
      <c r="V51">
        <v>444.524719</v>
      </c>
      <c r="W51">
        <v>442.69528200000002</v>
      </c>
      <c r="X51">
        <v>443.20181300000002</v>
      </c>
      <c r="Y51">
        <v>440.411224</v>
      </c>
      <c r="Z51">
        <v>437.5</v>
      </c>
      <c r="AA51">
        <v>435.14239500000002</v>
      </c>
      <c r="AB51">
        <v>433.06466699999999</v>
      </c>
      <c r="AC51">
        <v>430.13955700000002</v>
      </c>
      <c r="AD51">
        <v>428.80432100000002</v>
      </c>
      <c r="AE51">
        <v>426.51617399999998</v>
      </c>
      <c r="AF51">
        <v>419.48242199999999</v>
      </c>
      <c r="AG51">
        <v>418.070831</v>
      </c>
      <c r="AH51">
        <v>415.685272</v>
      </c>
      <c r="AI51" s="22">
        <v>-1.7999999999999999E-2</v>
      </c>
    </row>
    <row r="52" spans="1:35">
      <c r="A52" t="s">
        <v>191</v>
      </c>
      <c r="B52" t="s">
        <v>1129</v>
      </c>
      <c r="C52" t="s">
        <v>1130</v>
      </c>
      <c r="D52" t="s">
        <v>201</v>
      </c>
      <c r="F52">
        <v>22.421617999999999</v>
      </c>
      <c r="G52">
        <v>22.410634999999999</v>
      </c>
      <c r="H52">
        <v>22.401547999999998</v>
      </c>
      <c r="I52">
        <v>22.394031999999999</v>
      </c>
      <c r="J52">
        <v>22.387812</v>
      </c>
      <c r="K52">
        <v>22.382666</v>
      </c>
      <c r="L52">
        <v>22.378406999999999</v>
      </c>
      <c r="M52">
        <v>22.374884000000002</v>
      </c>
      <c r="N52">
        <v>22.371969</v>
      </c>
      <c r="O52">
        <v>22.369558000000001</v>
      </c>
      <c r="P52">
        <v>22.367563000000001</v>
      </c>
      <c r="Q52">
        <v>22.365911000000001</v>
      </c>
      <c r="R52">
        <v>22.364546000000001</v>
      </c>
      <c r="S52">
        <v>22.363416999999998</v>
      </c>
      <c r="T52">
        <v>22.362480000000001</v>
      </c>
      <c r="U52">
        <v>22.361708</v>
      </c>
      <c r="V52">
        <v>22.361066999999998</v>
      </c>
      <c r="W52">
        <v>22.360537999999998</v>
      </c>
      <c r="X52">
        <v>22.360099999999999</v>
      </c>
      <c r="Y52">
        <v>22.359736999999999</v>
      </c>
      <c r="Z52">
        <v>22.359438000000001</v>
      </c>
      <c r="AA52">
        <v>22.359190000000002</v>
      </c>
      <c r="AB52">
        <v>22.358984</v>
      </c>
      <c r="AC52">
        <v>22.358813999999999</v>
      </c>
      <c r="AD52">
        <v>22.358673</v>
      </c>
      <c r="AE52">
        <v>22.358557000000001</v>
      </c>
      <c r="AF52">
        <v>22.358460999999998</v>
      </c>
      <c r="AG52">
        <v>22.358381000000001</v>
      </c>
      <c r="AH52">
        <v>22.358315000000001</v>
      </c>
      <c r="AI52" s="22">
        <v>0</v>
      </c>
    </row>
    <row r="53" spans="1:35">
      <c r="A53" t="s">
        <v>192</v>
      </c>
      <c r="B53" t="s">
        <v>1131</v>
      </c>
      <c r="C53" t="s">
        <v>1132</v>
      </c>
      <c r="D53" t="s">
        <v>201</v>
      </c>
      <c r="F53">
        <v>11.098148</v>
      </c>
      <c r="G53">
        <v>11.638881</v>
      </c>
      <c r="H53">
        <v>11.734691</v>
      </c>
      <c r="I53">
        <v>11.841097</v>
      </c>
      <c r="J53">
        <v>11.937113999999999</v>
      </c>
      <c r="K53">
        <v>12.024255999999999</v>
      </c>
      <c r="L53">
        <v>11.830360000000001</v>
      </c>
      <c r="M53">
        <v>11.89204</v>
      </c>
      <c r="N53">
        <v>11.967136</v>
      </c>
      <c r="O53">
        <v>12.037926000000001</v>
      </c>
      <c r="P53">
        <v>12.127772</v>
      </c>
      <c r="Q53">
        <v>12.238341999999999</v>
      </c>
      <c r="R53">
        <v>12.364704</v>
      </c>
      <c r="S53">
        <v>12.498858</v>
      </c>
      <c r="T53">
        <v>12.645001000000001</v>
      </c>
      <c r="U53">
        <v>12.827757</v>
      </c>
      <c r="V53">
        <v>13.023097999999999</v>
      </c>
      <c r="W53">
        <v>13.234344</v>
      </c>
      <c r="X53">
        <v>13.484800999999999</v>
      </c>
      <c r="Y53">
        <v>13.770166</v>
      </c>
      <c r="Z53">
        <v>14.090672</v>
      </c>
      <c r="AA53">
        <v>14.439</v>
      </c>
      <c r="AB53">
        <v>14.813559</v>
      </c>
      <c r="AC53">
        <v>15.22081</v>
      </c>
      <c r="AD53">
        <v>15.666567000000001</v>
      </c>
      <c r="AE53">
        <v>16.145886999999998</v>
      </c>
      <c r="AF53">
        <v>16.648540000000001</v>
      </c>
      <c r="AG53">
        <v>17.167376000000001</v>
      </c>
      <c r="AH53">
        <v>17.720831</v>
      </c>
      <c r="AI53" s="22">
        <v>1.7000000000000001E-2</v>
      </c>
    </row>
    <row r="54" spans="1:35">
      <c r="A54" t="s">
        <v>181</v>
      </c>
      <c r="B54" t="s">
        <v>1133</v>
      </c>
      <c r="C54" t="s">
        <v>1134</v>
      </c>
      <c r="D54" t="s">
        <v>201</v>
      </c>
      <c r="F54">
        <v>125.899567</v>
      </c>
      <c r="G54">
        <v>125.37957</v>
      </c>
      <c r="H54">
        <v>125.029449</v>
      </c>
      <c r="I54">
        <v>124.801453</v>
      </c>
      <c r="J54">
        <v>124.69525899999999</v>
      </c>
      <c r="K54">
        <v>124.384125</v>
      </c>
      <c r="L54">
        <v>124.116241</v>
      </c>
      <c r="M54">
        <v>123.91597</v>
      </c>
      <c r="N54">
        <v>123.706886</v>
      </c>
      <c r="O54">
        <v>123.50303599999999</v>
      </c>
      <c r="P54">
        <v>123.399162</v>
      </c>
      <c r="Q54">
        <v>123.350677</v>
      </c>
      <c r="R54">
        <v>123.229088</v>
      </c>
      <c r="S54">
        <v>123.060562</v>
      </c>
      <c r="T54">
        <v>122.913391</v>
      </c>
      <c r="U54">
        <v>122.84301000000001</v>
      </c>
      <c r="V54">
        <v>122.868729</v>
      </c>
      <c r="W54">
        <v>122.974594</v>
      </c>
      <c r="X54">
        <v>123.115875</v>
      </c>
      <c r="Y54">
        <v>123.245796</v>
      </c>
      <c r="Z54">
        <v>123.376953</v>
      </c>
      <c r="AA54">
        <v>123.487793</v>
      </c>
      <c r="AB54">
        <v>123.561241</v>
      </c>
      <c r="AC54">
        <v>123.627106</v>
      </c>
      <c r="AD54">
        <v>123.712143</v>
      </c>
      <c r="AE54">
        <v>123.813293</v>
      </c>
      <c r="AF54">
        <v>123.925461</v>
      </c>
      <c r="AG54">
        <v>124.036011</v>
      </c>
      <c r="AH54">
        <v>124.148155</v>
      </c>
      <c r="AI54" s="22">
        <v>-1E-3</v>
      </c>
    </row>
    <row r="55" spans="1:35">
      <c r="A55" t="s">
        <v>193</v>
      </c>
      <c r="B55" t="s">
        <v>1135</v>
      </c>
      <c r="C55" t="s">
        <v>1136</v>
      </c>
      <c r="D55" t="s">
        <v>201</v>
      </c>
      <c r="F55">
        <v>26474.439452999999</v>
      </c>
      <c r="G55">
        <v>26275.306640999999</v>
      </c>
      <c r="H55">
        <v>25864.738281000002</v>
      </c>
      <c r="I55">
        <v>25424.923827999999</v>
      </c>
      <c r="J55">
        <v>25080.535156000002</v>
      </c>
      <c r="K55">
        <v>24781.728515999999</v>
      </c>
      <c r="L55">
        <v>24490.353515999999</v>
      </c>
      <c r="M55">
        <v>24154.6875</v>
      </c>
      <c r="N55">
        <v>23816.382812</v>
      </c>
      <c r="O55">
        <v>23520.125</v>
      </c>
      <c r="P55">
        <v>23260.289062</v>
      </c>
      <c r="Q55">
        <v>23027.552734000001</v>
      </c>
      <c r="R55">
        <v>22772.490234000001</v>
      </c>
      <c r="S55">
        <v>22516.123047000001</v>
      </c>
      <c r="T55">
        <v>22253.423827999999</v>
      </c>
      <c r="U55">
        <v>22050.28125</v>
      </c>
      <c r="V55">
        <v>21887.285156000002</v>
      </c>
      <c r="W55">
        <v>21736.904297000001</v>
      </c>
      <c r="X55">
        <v>21630.789062</v>
      </c>
      <c r="Y55">
        <v>21524.599609000001</v>
      </c>
      <c r="Z55">
        <v>21444.472656000002</v>
      </c>
      <c r="AA55">
        <v>21380.144531000002</v>
      </c>
      <c r="AB55">
        <v>21338.890625</v>
      </c>
      <c r="AC55">
        <v>21319.636718999998</v>
      </c>
      <c r="AD55">
        <v>21330.978515999999</v>
      </c>
      <c r="AE55">
        <v>21368.953125</v>
      </c>
      <c r="AF55">
        <v>21419.558593999998</v>
      </c>
      <c r="AG55">
        <v>21498.136718999998</v>
      </c>
      <c r="AH55">
        <v>21607.484375</v>
      </c>
      <c r="AI55" s="22">
        <v>-7.0000000000000001E-3</v>
      </c>
    </row>
    <row r="56" spans="1:35">
      <c r="A56" t="s">
        <v>194</v>
      </c>
      <c r="B56" t="s">
        <v>1137</v>
      </c>
      <c r="C56" t="s">
        <v>1138</v>
      </c>
      <c r="D56" t="s">
        <v>201</v>
      </c>
      <c r="F56">
        <v>57.428192000000003</v>
      </c>
      <c r="G56">
        <v>67.812027</v>
      </c>
      <c r="H56">
        <v>80.637009000000006</v>
      </c>
      <c r="I56">
        <v>94.973990999999998</v>
      </c>
      <c r="J56">
        <v>112.106033</v>
      </c>
      <c r="K56">
        <v>132.39259300000001</v>
      </c>
      <c r="L56">
        <v>155.63859600000001</v>
      </c>
      <c r="M56">
        <v>182.34169</v>
      </c>
      <c r="N56">
        <v>212.164154</v>
      </c>
      <c r="O56">
        <v>239.845001</v>
      </c>
      <c r="P56">
        <v>268.92163099999999</v>
      </c>
      <c r="Q56">
        <v>298.28753699999999</v>
      </c>
      <c r="R56">
        <v>328.235229</v>
      </c>
      <c r="S56">
        <v>357.42300399999999</v>
      </c>
      <c r="T56">
        <v>385.22830199999999</v>
      </c>
      <c r="U56">
        <v>412.47155800000002</v>
      </c>
      <c r="V56">
        <v>439.05050699999998</v>
      </c>
      <c r="W56">
        <v>464.62539700000002</v>
      </c>
      <c r="X56">
        <v>488.581299</v>
      </c>
      <c r="Y56">
        <v>511.21435500000001</v>
      </c>
      <c r="Z56">
        <v>532.63305700000001</v>
      </c>
      <c r="AA56">
        <v>552.37249799999995</v>
      </c>
      <c r="AB56">
        <v>570.93585199999995</v>
      </c>
      <c r="AC56">
        <v>587.90716599999996</v>
      </c>
      <c r="AD56">
        <v>603.93145800000002</v>
      </c>
      <c r="AE56">
        <v>619.66760299999999</v>
      </c>
      <c r="AF56">
        <v>635.07214399999998</v>
      </c>
      <c r="AG56">
        <v>649.73669400000006</v>
      </c>
      <c r="AH56">
        <v>663.96758999999997</v>
      </c>
      <c r="AI56" s="22">
        <v>9.0999999999999998E-2</v>
      </c>
    </row>
    <row r="57" spans="1:35">
      <c r="A57" t="s">
        <v>195</v>
      </c>
      <c r="B57" t="s">
        <v>1139</v>
      </c>
      <c r="C57" t="s">
        <v>1140</v>
      </c>
      <c r="D57" t="s">
        <v>201</v>
      </c>
      <c r="F57">
        <v>107.505577</v>
      </c>
      <c r="G57">
        <v>113.84777800000001</v>
      </c>
      <c r="H57">
        <v>122.752182</v>
      </c>
      <c r="I57">
        <v>118.38056899999999</v>
      </c>
      <c r="J57">
        <v>128.863663</v>
      </c>
      <c r="K57">
        <v>128.79482999999999</v>
      </c>
      <c r="L57">
        <v>133.25419600000001</v>
      </c>
      <c r="M57">
        <v>136.540436</v>
      </c>
      <c r="N57">
        <v>137.63580300000001</v>
      </c>
      <c r="O57">
        <v>137.40774500000001</v>
      </c>
      <c r="P57">
        <v>137.39987199999999</v>
      </c>
      <c r="Q57">
        <v>137.52301</v>
      </c>
      <c r="R57">
        <v>138.70100400000001</v>
      </c>
      <c r="S57">
        <v>141.654236</v>
      </c>
      <c r="T57">
        <v>146.39292900000001</v>
      </c>
      <c r="U57">
        <v>152.01370199999999</v>
      </c>
      <c r="V57">
        <v>158.15837099999999</v>
      </c>
      <c r="W57">
        <v>164.34667999999999</v>
      </c>
      <c r="X57">
        <v>168.489655</v>
      </c>
      <c r="Y57">
        <v>175.71121199999999</v>
      </c>
      <c r="Z57">
        <v>184.33961500000001</v>
      </c>
      <c r="AA57">
        <v>193.912994</v>
      </c>
      <c r="AB57">
        <v>203.51492300000001</v>
      </c>
      <c r="AC57">
        <v>214.54742400000001</v>
      </c>
      <c r="AD57">
        <v>225.16784699999999</v>
      </c>
      <c r="AE57">
        <v>238.10320999999999</v>
      </c>
      <c r="AF57">
        <v>253.38540599999999</v>
      </c>
      <c r="AG57">
        <v>267.18725599999999</v>
      </c>
      <c r="AH57">
        <v>281.74203499999999</v>
      </c>
      <c r="AI57" s="22">
        <v>3.5000000000000003E-2</v>
      </c>
    </row>
    <row r="58" spans="1:35">
      <c r="A58" t="s">
        <v>196</v>
      </c>
      <c r="B58" t="s">
        <v>1141</v>
      </c>
      <c r="C58" t="s">
        <v>1142</v>
      </c>
      <c r="D58" t="s">
        <v>201</v>
      </c>
      <c r="F58">
        <v>0.44304500000000002</v>
      </c>
      <c r="G58">
        <v>0.52097800000000005</v>
      </c>
      <c r="H58">
        <v>0.58653200000000005</v>
      </c>
      <c r="I58">
        <v>0.64358099999999996</v>
      </c>
      <c r="J58">
        <v>0.70382699999999998</v>
      </c>
      <c r="K58">
        <v>0.76070499999999996</v>
      </c>
      <c r="L58">
        <v>0.82146399999999997</v>
      </c>
      <c r="M58">
        <v>0.878104</v>
      </c>
      <c r="N58">
        <v>0.938114</v>
      </c>
      <c r="O58">
        <v>0.99819199999999997</v>
      </c>
      <c r="P58">
        <v>1.0574220000000001</v>
      </c>
      <c r="Q58">
        <v>1.1148070000000001</v>
      </c>
      <c r="R58">
        <v>1.1702570000000001</v>
      </c>
      <c r="S58">
        <v>1.221687</v>
      </c>
      <c r="T58">
        <v>1.266926</v>
      </c>
      <c r="U58">
        <v>1.310114</v>
      </c>
      <c r="V58">
        <v>1.3480730000000001</v>
      </c>
      <c r="W58">
        <v>1.380917</v>
      </c>
      <c r="X58">
        <v>1.4054770000000001</v>
      </c>
      <c r="Y58">
        <v>1.422318</v>
      </c>
      <c r="Z58">
        <v>1.439282</v>
      </c>
      <c r="AA58">
        <v>1.4485170000000001</v>
      </c>
      <c r="AB58">
        <v>1.4535089999999999</v>
      </c>
      <c r="AC58">
        <v>1.4530829999999999</v>
      </c>
      <c r="AD58">
        <v>1.4517659999999999</v>
      </c>
      <c r="AE58">
        <v>1.44834</v>
      </c>
      <c r="AF58">
        <v>1.4429700000000001</v>
      </c>
      <c r="AG58">
        <v>1.4353549999999999</v>
      </c>
      <c r="AH58">
        <v>1.425951</v>
      </c>
      <c r="AI58" s="22">
        <v>4.2999999999999997E-2</v>
      </c>
    </row>
    <row r="59" spans="1:35">
      <c r="A59" t="s">
        <v>182</v>
      </c>
      <c r="B59" t="s">
        <v>1143</v>
      </c>
      <c r="C59" t="s">
        <v>1105</v>
      </c>
      <c r="D59" t="s">
        <v>201</v>
      </c>
      <c r="F59">
        <v>905.84051499999998</v>
      </c>
      <c r="G59">
        <v>818.09411599999999</v>
      </c>
      <c r="H59">
        <v>750.09661900000003</v>
      </c>
      <c r="I59">
        <v>710.96716300000003</v>
      </c>
      <c r="J59">
        <v>683.21826199999998</v>
      </c>
      <c r="K59">
        <v>644.43926999999996</v>
      </c>
      <c r="L59">
        <v>605.86267099999998</v>
      </c>
      <c r="M59">
        <v>601.30419900000004</v>
      </c>
      <c r="N59">
        <v>598.79797399999995</v>
      </c>
      <c r="O59">
        <v>601.64556900000002</v>
      </c>
      <c r="P59">
        <v>607.49902299999997</v>
      </c>
      <c r="Q59">
        <v>616.87213099999997</v>
      </c>
      <c r="R59">
        <v>619.33136000000002</v>
      </c>
      <c r="S59">
        <v>618.89520300000004</v>
      </c>
      <c r="T59">
        <v>614.86352499999998</v>
      </c>
      <c r="U59">
        <v>616.29345699999999</v>
      </c>
      <c r="V59">
        <v>618.09863299999995</v>
      </c>
      <c r="W59">
        <v>620.82605000000001</v>
      </c>
      <c r="X59">
        <v>630.065247</v>
      </c>
      <c r="Y59">
        <v>633.584656</v>
      </c>
      <c r="Z59">
        <v>638.84863299999995</v>
      </c>
      <c r="AA59">
        <v>640.74737500000003</v>
      </c>
      <c r="AB59">
        <v>649.03729199999998</v>
      </c>
      <c r="AC59">
        <v>651.38903800000003</v>
      </c>
      <c r="AD59">
        <v>659.87823500000002</v>
      </c>
      <c r="AE59">
        <v>665.15924099999995</v>
      </c>
      <c r="AF59">
        <v>671.01440400000001</v>
      </c>
      <c r="AG59">
        <v>672.52191200000004</v>
      </c>
      <c r="AH59">
        <v>679.09362799999997</v>
      </c>
      <c r="AI59" s="22">
        <v>-0.01</v>
      </c>
    </row>
    <row r="60" spans="1:35">
      <c r="A60" t="s">
        <v>1106</v>
      </c>
      <c r="B60" t="s">
        <v>1144</v>
      </c>
      <c r="C60" t="s">
        <v>1108</v>
      </c>
      <c r="D60" t="s">
        <v>201</v>
      </c>
      <c r="F60">
        <v>332.52310199999999</v>
      </c>
      <c r="G60">
        <v>377.97052000000002</v>
      </c>
      <c r="H60">
        <v>384.00460800000002</v>
      </c>
      <c r="I60">
        <v>408.78292800000003</v>
      </c>
      <c r="J60">
        <v>446.260651</v>
      </c>
      <c r="K60">
        <v>477.17263800000001</v>
      </c>
      <c r="L60">
        <v>503.61007699999999</v>
      </c>
      <c r="M60">
        <v>527.57086200000003</v>
      </c>
      <c r="N60">
        <v>577.96905500000003</v>
      </c>
      <c r="O60">
        <v>628.36724900000002</v>
      </c>
      <c r="P60">
        <v>680.00372300000004</v>
      </c>
      <c r="Q60">
        <v>729.163635</v>
      </c>
      <c r="R60">
        <v>779.56182899999999</v>
      </c>
      <c r="S60">
        <v>813.16064500000005</v>
      </c>
      <c r="T60">
        <v>831.19830300000001</v>
      </c>
      <c r="U60">
        <v>846.75939900000003</v>
      </c>
      <c r="V60">
        <v>863.55883800000004</v>
      </c>
      <c r="W60">
        <v>871.95855700000004</v>
      </c>
      <c r="X60">
        <v>873.19683799999996</v>
      </c>
      <c r="Y60">
        <v>871.95855700000004</v>
      </c>
      <c r="Z60">
        <v>871.95855700000004</v>
      </c>
      <c r="AA60">
        <v>871.95855700000004</v>
      </c>
      <c r="AB60">
        <v>873.19683799999996</v>
      </c>
      <c r="AC60">
        <v>871.95855700000004</v>
      </c>
      <c r="AD60">
        <v>871.95855700000004</v>
      </c>
      <c r="AE60">
        <v>871.95855700000004</v>
      </c>
      <c r="AF60">
        <v>873.19683799999996</v>
      </c>
      <c r="AG60">
        <v>871.95855700000004</v>
      </c>
      <c r="AH60">
        <v>871.95855700000004</v>
      </c>
      <c r="AI60" s="22">
        <v>3.5000000000000003E-2</v>
      </c>
    </row>
    <row r="61" spans="1:35">
      <c r="A61" t="s">
        <v>143</v>
      </c>
      <c r="B61" t="s">
        <v>1145</v>
      </c>
      <c r="C61" t="s">
        <v>1146</v>
      </c>
      <c r="D61" t="s">
        <v>201</v>
      </c>
      <c r="F61">
        <v>27878.179688</v>
      </c>
      <c r="G61">
        <v>27653.552734000001</v>
      </c>
      <c r="H61">
        <v>27202.8125</v>
      </c>
      <c r="I61">
        <v>26758.673827999999</v>
      </c>
      <c r="J61">
        <v>26451.685547000001</v>
      </c>
      <c r="K61">
        <v>26165.287109000001</v>
      </c>
      <c r="L61">
        <v>25889.541015999999</v>
      </c>
      <c r="M61">
        <v>25603.324218999998</v>
      </c>
      <c r="N61">
        <v>25343.888672000001</v>
      </c>
      <c r="O61">
        <v>25128.390625</v>
      </c>
      <c r="P61">
        <v>24955.171875</v>
      </c>
      <c r="Q61">
        <v>24810.515625</v>
      </c>
      <c r="R61">
        <v>24639.490234000001</v>
      </c>
      <c r="S61">
        <v>24448.478515999999</v>
      </c>
      <c r="T61">
        <v>24232.375</v>
      </c>
      <c r="U61">
        <v>24079.128906000002</v>
      </c>
      <c r="V61">
        <v>23967.498047000001</v>
      </c>
      <c r="W61">
        <v>23860.042968999998</v>
      </c>
      <c r="X61">
        <v>23792.529297000001</v>
      </c>
      <c r="Y61">
        <v>23718.490234000001</v>
      </c>
      <c r="Z61">
        <v>23673.691406000002</v>
      </c>
      <c r="AA61">
        <v>23640.585938</v>
      </c>
      <c r="AB61">
        <v>23637.029297000001</v>
      </c>
      <c r="AC61">
        <v>23646.890625</v>
      </c>
      <c r="AD61">
        <v>23693.367188</v>
      </c>
      <c r="AE61">
        <v>23765.292968999998</v>
      </c>
      <c r="AF61">
        <v>23853.669922000001</v>
      </c>
      <c r="AG61">
        <v>23960.976562</v>
      </c>
      <c r="AH61">
        <v>24105.671875</v>
      </c>
      <c r="AI61" s="22">
        <v>-5.0000000000000001E-3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F4402"/>
  <sheetViews>
    <sheetView topLeftCell="B1" workbookViewId="0">
      <selection activeCell="G17" sqref="G17"/>
    </sheetView>
  </sheetViews>
  <sheetFormatPr defaultColWidth="8.7265625" defaultRowHeight="14.5"/>
  <cols>
    <col min="1" max="1" width="21.453125" hidden="1" customWidth="1"/>
    <col min="2" max="2" width="46.7265625" customWidth="1"/>
  </cols>
  <sheetData>
    <row r="1" spans="1:32" ht="15" customHeight="1">
      <c r="B1" s="12" t="s">
        <v>284</v>
      </c>
    </row>
    <row r="2" spans="1:32" ht="15" customHeight="1">
      <c r="C2" s="25"/>
      <c r="D2" s="13"/>
      <c r="E2" s="6"/>
      <c r="F2" s="6"/>
      <c r="G2" s="6"/>
    </row>
    <row r="3" spans="1:32" ht="15" customHeight="1">
      <c r="C3" s="25"/>
      <c r="D3" s="25"/>
      <c r="E3" s="6"/>
      <c r="F3" s="6"/>
      <c r="G3" s="25"/>
    </row>
    <row r="4" spans="1:32" ht="15" customHeight="1">
      <c r="C4" s="25"/>
      <c r="D4" s="25"/>
      <c r="E4" s="6"/>
      <c r="F4" s="6"/>
      <c r="G4" s="6"/>
    </row>
    <row r="5" spans="1:32" ht="15" customHeight="1">
      <c r="C5" s="25"/>
      <c r="D5" s="6"/>
      <c r="E5" s="25"/>
      <c r="F5" s="6"/>
      <c r="G5" s="6"/>
    </row>
    <row r="7" spans="1:32" ht="12" customHeight="1"/>
    <row r="8" spans="1:32" ht="12" customHeight="1"/>
    <row r="9" spans="1:32" ht="12" customHeight="1"/>
    <row r="10" spans="1:32" ht="15" customHeight="1">
      <c r="A10" s="7" t="s">
        <v>294</v>
      </c>
      <c r="B10" s="14" t="s">
        <v>295</v>
      </c>
      <c r="AF10" s="23" t="s">
        <v>290</v>
      </c>
    </row>
    <row r="11" spans="1:32" ht="15" customHeight="1">
      <c r="B11" s="12" t="s">
        <v>296</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297</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44</v>
      </c>
    </row>
    <row r="16" spans="1:32" ht="15" customHeight="1">
      <c r="B16" s="15" t="s">
        <v>298</v>
      </c>
    </row>
    <row r="17" spans="1:32" ht="15" customHeight="1">
      <c r="A17" s="7" t="s">
        <v>299</v>
      </c>
      <c r="B17" s="16" t="s">
        <v>300</v>
      </c>
      <c r="C17" s="17">
        <f>'AEO 2023 Table 35 Raw'!F8</f>
        <v>14447.607421999999</v>
      </c>
      <c r="D17" s="17">
        <f>'AEO 2023 Table 35 Raw'!G8</f>
        <v>14313.319336</v>
      </c>
      <c r="E17" s="17">
        <f>'AEO 2023 Table 35 Raw'!H8</f>
        <v>14066.552734000001</v>
      </c>
      <c r="F17" s="17">
        <f>'AEO 2023 Table 35 Raw'!I8</f>
        <v>13778.573242</v>
      </c>
      <c r="G17" s="17">
        <f>'AEO 2023 Table 35 Raw'!J8</f>
        <v>13556.407227</v>
      </c>
      <c r="H17" s="17">
        <f>'AEO 2023 Table 35 Raw'!K8</f>
        <v>13380.132812</v>
      </c>
      <c r="I17" s="17">
        <f>'AEO 2023 Table 35 Raw'!L8</f>
        <v>13196.650390999999</v>
      </c>
      <c r="J17" s="17">
        <f>'AEO 2023 Table 35 Raw'!M8</f>
        <v>12994.242188</v>
      </c>
      <c r="K17" s="17">
        <f>'AEO 2023 Table 35 Raw'!N8</f>
        <v>12784.722656</v>
      </c>
      <c r="L17" s="17">
        <f>'AEO 2023 Table 35 Raw'!O8</f>
        <v>12592.303711</v>
      </c>
      <c r="M17" s="17">
        <f>'AEO 2023 Table 35 Raw'!P8</f>
        <v>12399.879883</v>
      </c>
      <c r="N17" s="17">
        <f>'AEO 2023 Table 35 Raw'!Q8</f>
        <v>12240.421875</v>
      </c>
      <c r="O17" s="17">
        <f>'AEO 2023 Table 35 Raw'!R8</f>
        <v>12080.273438</v>
      </c>
      <c r="P17" s="17">
        <f>'AEO 2023 Table 35 Raw'!S8</f>
        <v>11903.265625</v>
      </c>
      <c r="Q17" s="17">
        <f>'AEO 2023 Table 35 Raw'!T8</f>
        <v>11716.102539</v>
      </c>
      <c r="R17" s="17">
        <f>'AEO 2023 Table 35 Raw'!U8</f>
        <v>11552.862305000001</v>
      </c>
      <c r="S17" s="17">
        <f>'AEO 2023 Table 35 Raw'!V8</f>
        <v>11414.745117</v>
      </c>
      <c r="T17" s="17">
        <f>'AEO 2023 Table 35 Raw'!W8</f>
        <v>11288.351562</v>
      </c>
      <c r="U17" s="17">
        <f>'AEO 2023 Table 35 Raw'!X8</f>
        <v>11182.738281</v>
      </c>
      <c r="V17" s="17">
        <f>'AEO 2023 Table 35 Raw'!Y8</f>
        <v>11082.567383</v>
      </c>
      <c r="W17" s="17">
        <f>'AEO 2023 Table 35 Raw'!Z8</f>
        <v>10999.316406</v>
      </c>
      <c r="X17" s="17">
        <f>'AEO 2023 Table 35 Raw'!AA8</f>
        <v>10931.280273</v>
      </c>
      <c r="Y17" s="17">
        <f>'AEO 2023 Table 35 Raw'!AB8</f>
        <v>10885.708008</v>
      </c>
      <c r="Z17" s="17">
        <f>'AEO 2023 Table 35 Raw'!AC8</f>
        <v>10860.390625</v>
      </c>
      <c r="AA17" s="17">
        <f>'AEO 2023 Table 35 Raw'!AD8</f>
        <v>10859.199219</v>
      </c>
      <c r="AB17" s="17">
        <f>'AEO 2023 Table 35 Raw'!AE8</f>
        <v>10884.042969</v>
      </c>
      <c r="AC17" s="17">
        <f>'AEO 2023 Table 35 Raw'!AF8</f>
        <v>10923.398438</v>
      </c>
      <c r="AD17" s="17">
        <f>'AEO 2023 Table 35 Raw'!AG8</f>
        <v>10975.913086</v>
      </c>
      <c r="AE17" s="17">
        <f>'AEO 2023 Table 35 Raw'!AH8</f>
        <v>11046.507812</v>
      </c>
      <c r="AF17" s="30">
        <f>'AEO 2023 Table 35 Raw'!AI8</f>
        <v>-0.01</v>
      </c>
    </row>
    <row r="18" spans="1:32" ht="15" customHeight="1">
      <c r="A18" s="7" t="s">
        <v>301</v>
      </c>
      <c r="B18" s="16" t="s">
        <v>302</v>
      </c>
      <c r="C18" s="17">
        <f>'AEO 2023 Table 35 Raw'!F9</f>
        <v>5617.2177730000003</v>
      </c>
      <c r="D18" s="17">
        <f>'AEO 2023 Table 35 Raw'!G9</f>
        <v>5428.5034180000002</v>
      </c>
      <c r="E18" s="17">
        <f>'AEO 2023 Table 35 Raw'!H9</f>
        <v>5191.189453</v>
      </c>
      <c r="F18" s="17">
        <f>'AEO 2023 Table 35 Raw'!I9</f>
        <v>4935.9736329999996</v>
      </c>
      <c r="G18" s="17">
        <f>'AEO 2023 Table 35 Raw'!J9</f>
        <v>4705.1977539999998</v>
      </c>
      <c r="H18" s="17">
        <f>'AEO 2023 Table 35 Raw'!K9</f>
        <v>4491.0893550000001</v>
      </c>
      <c r="I18" s="17">
        <f>'AEO 2023 Table 35 Raw'!L9</f>
        <v>4278.0898440000001</v>
      </c>
      <c r="J18" s="17">
        <f>'AEO 2023 Table 35 Raw'!M9</f>
        <v>4059.8388669999999</v>
      </c>
      <c r="K18" s="17">
        <f>'AEO 2023 Table 35 Raw'!N9</f>
        <v>3845.0900879999999</v>
      </c>
      <c r="L18" s="17">
        <f>'AEO 2023 Table 35 Raw'!O9</f>
        <v>3641.443115</v>
      </c>
      <c r="M18" s="17">
        <f>'AEO 2023 Table 35 Raw'!P9</f>
        <v>3447.7126459999999</v>
      </c>
      <c r="N18" s="17">
        <f>'AEO 2023 Table 35 Raw'!Q9</f>
        <v>3273.7714839999999</v>
      </c>
      <c r="O18" s="17">
        <f>'AEO 2023 Table 35 Raw'!R9</f>
        <v>3114.6992190000001</v>
      </c>
      <c r="P18" s="17">
        <f>'AEO 2023 Table 35 Raw'!S9</f>
        <v>2960.594482</v>
      </c>
      <c r="Q18" s="17">
        <f>'AEO 2023 Table 35 Raw'!T9</f>
        <v>2817.6606449999999</v>
      </c>
      <c r="R18" s="17">
        <f>'AEO 2023 Table 35 Raw'!U9</f>
        <v>2695.3596189999998</v>
      </c>
      <c r="S18" s="17">
        <f>'AEO 2023 Table 35 Raw'!V9</f>
        <v>2595.155518</v>
      </c>
      <c r="T18" s="17">
        <f>'AEO 2023 Table 35 Raw'!W9</f>
        <v>2508.0722660000001</v>
      </c>
      <c r="U18" s="17">
        <f>'AEO 2023 Table 35 Raw'!X9</f>
        <v>2435.8085940000001</v>
      </c>
      <c r="V18" s="17">
        <f>'AEO 2023 Table 35 Raw'!Y9</f>
        <v>2374.1186520000001</v>
      </c>
      <c r="W18" s="17">
        <f>'AEO 2023 Table 35 Raw'!Z9</f>
        <v>2325.4736330000001</v>
      </c>
      <c r="X18" s="17">
        <f>'AEO 2023 Table 35 Raw'!AA9</f>
        <v>2285.9282229999999</v>
      </c>
      <c r="Y18" s="17">
        <f>'AEO 2023 Table 35 Raw'!AB9</f>
        <v>2253.4345699999999</v>
      </c>
      <c r="Z18" s="17">
        <f>'AEO 2023 Table 35 Raw'!AC9</f>
        <v>2228.44751</v>
      </c>
      <c r="AA18" s="17">
        <f>'AEO 2023 Table 35 Raw'!AD9</f>
        <v>2209.461182</v>
      </c>
      <c r="AB18" s="17">
        <f>'AEO 2023 Table 35 Raw'!AE9</f>
        <v>2197.0107419999999</v>
      </c>
      <c r="AC18" s="17">
        <f>'AEO 2023 Table 35 Raw'!AF9</f>
        <v>2187.7121579999998</v>
      </c>
      <c r="AD18" s="17">
        <f>'AEO 2023 Table 35 Raw'!AG9</f>
        <v>2180.7695309999999</v>
      </c>
      <c r="AE18" s="17">
        <f>'AEO 2023 Table 35 Raw'!AH9</f>
        <v>2177.6904300000001</v>
      </c>
      <c r="AF18" s="30">
        <f>'AEO 2023 Table 35 Raw'!AI9</f>
        <v>-3.3000000000000002E-2</v>
      </c>
    </row>
    <row r="19" spans="1:32" s="88" customFormat="1" ht="15" customHeight="1">
      <c r="A19" s="84" t="s">
        <v>303</v>
      </c>
      <c r="B19" s="85" t="s">
        <v>304</v>
      </c>
      <c r="C19" s="86">
        <f>'AEO 2023 Table 35 Raw'!F10</f>
        <v>8814.2333980000003</v>
      </c>
      <c r="D19" s="86">
        <f>'AEO 2023 Table 35 Raw'!G10</f>
        <v>8869.2011719999991</v>
      </c>
      <c r="E19" s="86">
        <f>'AEO 2023 Table 35 Raw'!H10</f>
        <v>8860.4306639999995</v>
      </c>
      <c r="F19" s="86">
        <f>'AEO 2023 Table 35 Raw'!I10</f>
        <v>8828.4013670000004</v>
      </c>
      <c r="G19" s="86">
        <f>'AEO 2023 Table 35 Raw'!J10</f>
        <v>8837.6757809999999</v>
      </c>
      <c r="H19" s="86">
        <f>'AEO 2023 Table 35 Raw'!K10</f>
        <v>8876.1259769999997</v>
      </c>
      <c r="I19" s="86">
        <f>'AEO 2023 Table 35 Raw'!L10</f>
        <v>8906.2558590000008</v>
      </c>
      <c r="J19" s="86">
        <f>'AEO 2023 Table 35 Raw'!M10</f>
        <v>8922.7275389999995</v>
      </c>
      <c r="K19" s="86">
        <f>'AEO 2023 Table 35 Raw'!N10</f>
        <v>8928.5761719999991</v>
      </c>
      <c r="L19" s="86">
        <f>'AEO 2023 Table 35 Raw'!O10</f>
        <v>8940.390625</v>
      </c>
      <c r="M19" s="86">
        <f>'AEO 2023 Table 35 Raw'!P10</f>
        <v>8942.2568360000005</v>
      </c>
      <c r="N19" s="86">
        <f>'AEO 2023 Table 35 Raw'!Q10</f>
        <v>8957.2431639999995</v>
      </c>
      <c r="O19" s="86">
        <f>'AEO 2023 Table 35 Raw'!R10</f>
        <v>8956.6259769999997</v>
      </c>
      <c r="P19" s="86">
        <f>'AEO 2023 Table 35 Raw'!S10</f>
        <v>8934.1679690000001</v>
      </c>
      <c r="Q19" s="86">
        <f>'AEO 2023 Table 35 Raw'!T10</f>
        <v>8890.3535159999992</v>
      </c>
      <c r="R19" s="86">
        <f>'AEO 2023 Table 35 Raw'!U10</f>
        <v>8849.7675780000009</v>
      </c>
      <c r="S19" s="86">
        <f>'AEO 2023 Table 35 Raw'!V10</f>
        <v>8812.1445309999999</v>
      </c>
      <c r="T19" s="86">
        <f>'AEO 2023 Table 35 Raw'!W10</f>
        <v>8773.0849610000005</v>
      </c>
      <c r="U19" s="86">
        <f>'AEO 2023 Table 35 Raw'!X10</f>
        <v>8739.9443360000005</v>
      </c>
      <c r="V19" s="86">
        <f>'AEO 2023 Table 35 Raw'!Y10</f>
        <v>8701.6416019999997</v>
      </c>
      <c r="W19" s="86">
        <f>'AEO 2023 Table 35 Raw'!Z10</f>
        <v>8667.1738280000009</v>
      </c>
      <c r="X19" s="86">
        <f>'AEO 2023 Table 35 Raw'!AA10</f>
        <v>8638.796875</v>
      </c>
      <c r="Y19" s="86">
        <f>'AEO 2023 Table 35 Raw'!AB10</f>
        <v>8625.8105469999991</v>
      </c>
      <c r="Z19" s="86">
        <f>'AEO 2023 Table 35 Raw'!AC10</f>
        <v>8625.5507809999999</v>
      </c>
      <c r="AA19" s="86">
        <f>'AEO 2023 Table 35 Raw'!AD10</f>
        <v>8643.3994139999995</v>
      </c>
      <c r="AB19" s="86">
        <f>'AEO 2023 Table 35 Raw'!AE10</f>
        <v>8680.7285159999992</v>
      </c>
      <c r="AC19" s="86">
        <f>'AEO 2023 Table 35 Raw'!AF10</f>
        <v>8729.4082030000009</v>
      </c>
      <c r="AD19" s="86">
        <f>'AEO 2023 Table 35 Raw'!AG10</f>
        <v>8788.8837889999995</v>
      </c>
      <c r="AE19" s="86">
        <f>'AEO 2023 Table 35 Raw'!AH10</f>
        <v>8862.5654300000006</v>
      </c>
      <c r="AF19" s="87">
        <f>'AEO 2023 Table 35 Raw'!AI10</f>
        <v>0</v>
      </c>
    </row>
    <row r="20" spans="1:32" ht="15" customHeight="1">
      <c r="A20" s="7" t="s">
        <v>305</v>
      </c>
      <c r="B20" s="16" t="s">
        <v>306</v>
      </c>
      <c r="C20" s="17">
        <f>'AEO 2023 Table 35 Raw'!F11</f>
        <v>16.156637</v>
      </c>
      <c r="D20" s="17">
        <f>'AEO 2023 Table 35 Raw'!G11</f>
        <v>15.614727</v>
      </c>
      <c r="E20" s="17">
        <f>'AEO 2023 Table 35 Raw'!H11</f>
        <v>14.932316999999999</v>
      </c>
      <c r="F20" s="17">
        <f>'AEO 2023 Table 35 Raw'!I11</f>
        <v>14.198518</v>
      </c>
      <c r="G20" s="17">
        <f>'AEO 2023 Table 35 Raw'!J11</f>
        <v>13.534452999999999</v>
      </c>
      <c r="H20" s="17">
        <f>'AEO 2023 Table 35 Raw'!K11</f>
        <v>12.917832000000001</v>
      </c>
      <c r="I20" s="17">
        <f>'AEO 2023 Table 35 Raw'!L11</f>
        <v>12.305018</v>
      </c>
      <c r="J20" s="17">
        <f>'AEO 2023 Table 35 Raw'!M11</f>
        <v>11.676231</v>
      </c>
      <c r="K20" s="17">
        <f>'AEO 2023 Table 35 Raw'!N11</f>
        <v>11.057055999999999</v>
      </c>
      <c r="L20" s="17">
        <f>'AEO 2023 Table 35 Raw'!O11</f>
        <v>10.469415</v>
      </c>
      <c r="M20" s="17">
        <f>'AEO 2023 Table 35 Raw'!P11</f>
        <v>9.9105530000000002</v>
      </c>
      <c r="N20" s="17">
        <f>'AEO 2023 Table 35 Raw'!Q11</f>
        <v>9.4076260000000005</v>
      </c>
      <c r="O20" s="17">
        <f>'AEO 2023 Table 35 Raw'!R11</f>
        <v>8.9483379999999997</v>
      </c>
      <c r="P20" s="17">
        <f>'AEO 2023 Table 35 Raw'!S11</f>
        <v>8.502955</v>
      </c>
      <c r="Q20" s="17">
        <f>'AEO 2023 Table 35 Raw'!T11</f>
        <v>8.0892909999999993</v>
      </c>
      <c r="R20" s="17">
        <f>'AEO 2023 Table 35 Raw'!U11</f>
        <v>7.7350440000000003</v>
      </c>
      <c r="S20" s="17">
        <f>'AEO 2023 Table 35 Raw'!V11</f>
        <v>7.4453899999999997</v>
      </c>
      <c r="T20" s="17">
        <f>'AEO 2023 Table 35 Raw'!W11</f>
        <v>7.1939979999999997</v>
      </c>
      <c r="U20" s="17">
        <f>'AEO 2023 Table 35 Raw'!X11</f>
        <v>6.9856109999999996</v>
      </c>
      <c r="V20" s="17">
        <f>'AEO 2023 Table 35 Raw'!Y11</f>
        <v>6.807957</v>
      </c>
      <c r="W20" s="17">
        <f>'AEO 2023 Table 35 Raw'!Z11</f>
        <v>6.668526</v>
      </c>
      <c r="X20" s="17">
        <f>'AEO 2023 Table 35 Raw'!AA11</f>
        <v>6.5555320000000004</v>
      </c>
      <c r="Y20" s="17">
        <f>'AEO 2023 Table 35 Raw'!AB11</f>
        <v>6.4628009999999998</v>
      </c>
      <c r="Z20" s="17">
        <f>'AEO 2023 Table 35 Raw'!AC11</f>
        <v>6.3921140000000003</v>
      </c>
      <c r="AA20" s="17">
        <f>'AEO 2023 Table 35 Raw'!AD11</f>
        <v>6.3387270000000004</v>
      </c>
      <c r="AB20" s="17">
        <f>'AEO 2023 Table 35 Raw'!AE11</f>
        <v>6.3040330000000004</v>
      </c>
      <c r="AC20" s="17">
        <f>'AEO 2023 Table 35 Raw'!AF11</f>
        <v>6.2782900000000001</v>
      </c>
      <c r="AD20" s="17">
        <f>'AEO 2023 Table 35 Raw'!AG11</f>
        <v>6.2593569999999996</v>
      </c>
      <c r="AE20" s="17">
        <f>'AEO 2023 Table 35 Raw'!AH11</f>
        <v>6.2514649999999996</v>
      </c>
      <c r="AF20" s="30">
        <f>'AEO 2023 Table 35 Raw'!AI11</f>
        <v>-3.3000000000000002E-2</v>
      </c>
    </row>
    <row r="21" spans="1:32" ht="15" customHeight="1">
      <c r="A21" s="7" t="s">
        <v>307</v>
      </c>
      <c r="B21" s="16" t="s">
        <v>308</v>
      </c>
      <c r="C21" s="17">
        <f>'AEO 2023 Table 35 Raw'!F12</f>
        <v>950.06707800000004</v>
      </c>
      <c r="D21" s="17">
        <f>'AEO 2023 Table 35 Raw'!G12</f>
        <v>927.43151899999998</v>
      </c>
      <c r="E21" s="17">
        <f>'AEO 2023 Table 35 Raw'!H12</f>
        <v>901.69171100000005</v>
      </c>
      <c r="F21" s="17">
        <f>'AEO 2023 Table 35 Raw'!I12</f>
        <v>884.45953399999996</v>
      </c>
      <c r="G21" s="17">
        <f>'AEO 2023 Table 35 Raw'!J12</f>
        <v>871.48339799999997</v>
      </c>
      <c r="H21" s="17">
        <f>'AEO 2023 Table 35 Raw'!K12</f>
        <v>859.32513400000005</v>
      </c>
      <c r="I21" s="17">
        <f>'AEO 2023 Table 35 Raw'!L12</f>
        <v>849.26849400000003</v>
      </c>
      <c r="J21" s="17">
        <f>'AEO 2023 Table 35 Raw'!M12</f>
        <v>840.25915499999996</v>
      </c>
      <c r="K21" s="17">
        <f>'AEO 2023 Table 35 Raw'!N12</f>
        <v>831.36639400000001</v>
      </c>
      <c r="L21" s="17">
        <f>'AEO 2023 Table 35 Raw'!O12</f>
        <v>824.56054700000004</v>
      </c>
      <c r="M21" s="17">
        <f>'AEO 2023 Table 35 Raw'!P12</f>
        <v>821.34234600000002</v>
      </c>
      <c r="N21" s="17">
        <f>'AEO 2023 Table 35 Raw'!Q12</f>
        <v>818.52441399999998</v>
      </c>
      <c r="O21" s="17">
        <f>'AEO 2023 Table 35 Raw'!R12</f>
        <v>814.83673099999999</v>
      </c>
      <c r="P21" s="17">
        <f>'AEO 2023 Table 35 Raw'!S12</f>
        <v>811.95385699999997</v>
      </c>
      <c r="Q21" s="17">
        <f>'AEO 2023 Table 35 Raw'!T12</f>
        <v>809.40844700000002</v>
      </c>
      <c r="R21" s="17">
        <f>'AEO 2023 Table 35 Raw'!U12</f>
        <v>808.91735800000004</v>
      </c>
      <c r="S21" s="17">
        <f>'AEO 2023 Table 35 Raw'!V12</f>
        <v>809.92602499999998</v>
      </c>
      <c r="T21" s="17">
        <f>'AEO 2023 Table 35 Raw'!W12</f>
        <v>810.87994400000002</v>
      </c>
      <c r="U21" s="17">
        <f>'AEO 2023 Table 35 Raw'!X12</f>
        <v>813.33953899999995</v>
      </c>
      <c r="V21" s="17">
        <f>'AEO 2023 Table 35 Raw'!Y12</f>
        <v>816.35626200000002</v>
      </c>
      <c r="W21" s="17">
        <f>'AEO 2023 Table 35 Raw'!Z12</f>
        <v>820.26946999999996</v>
      </c>
      <c r="X21" s="17">
        <f>'AEO 2023 Table 35 Raw'!AA12</f>
        <v>823.41033900000002</v>
      </c>
      <c r="Y21" s="17">
        <f>'AEO 2023 Table 35 Raw'!AB12</f>
        <v>826.18591300000003</v>
      </c>
      <c r="Z21" s="17">
        <f>'AEO 2023 Table 35 Raw'!AC12</f>
        <v>830.09173599999997</v>
      </c>
      <c r="AA21" s="17">
        <f>'AEO 2023 Table 35 Raw'!AD12</f>
        <v>834.68682899999999</v>
      </c>
      <c r="AB21" s="17">
        <f>'AEO 2023 Table 35 Raw'!AE12</f>
        <v>839.99987799999997</v>
      </c>
      <c r="AC21" s="17">
        <f>'AEO 2023 Table 35 Raw'!AF12</f>
        <v>844.45477300000005</v>
      </c>
      <c r="AD21" s="17">
        <f>'AEO 2023 Table 35 Raw'!AG12</f>
        <v>850.153503</v>
      </c>
      <c r="AE21" s="17">
        <f>'AEO 2023 Table 35 Raw'!AH12</f>
        <v>857.44146699999999</v>
      </c>
      <c r="AF21" s="30">
        <f>'AEO 2023 Table 35 Raw'!AI12</f>
        <v>-4.0000000000000001E-3</v>
      </c>
    </row>
    <row r="22" spans="1:32" ht="15" customHeight="1">
      <c r="A22" s="7" t="s">
        <v>309</v>
      </c>
      <c r="B22" s="16" t="s">
        <v>310</v>
      </c>
      <c r="C22" s="17">
        <f>'AEO 2023 Table 35 Raw'!F13</f>
        <v>211.79267899999999</v>
      </c>
      <c r="D22" s="17">
        <f>'AEO 2023 Table 35 Raw'!G13</f>
        <v>221.35264599999999</v>
      </c>
      <c r="E22" s="17">
        <f>'AEO 2023 Table 35 Raw'!H13</f>
        <v>226.360748</v>
      </c>
      <c r="F22" s="17">
        <f>'AEO 2023 Table 35 Raw'!I13</f>
        <v>226.85597200000001</v>
      </c>
      <c r="G22" s="17">
        <f>'AEO 2023 Table 35 Raw'!J13</f>
        <v>227.17091400000001</v>
      </c>
      <c r="H22" s="17">
        <f>'AEO 2023 Table 35 Raw'!K13</f>
        <v>227.42456100000001</v>
      </c>
      <c r="I22" s="17">
        <f>'AEO 2023 Table 35 Raw'!L13</f>
        <v>227.351181</v>
      </c>
      <c r="J22" s="17">
        <f>'AEO 2023 Table 35 Raw'!M13</f>
        <v>226.97782900000001</v>
      </c>
      <c r="K22" s="17">
        <f>'AEO 2023 Table 35 Raw'!N13</f>
        <v>226.290436</v>
      </c>
      <c r="L22" s="17">
        <f>'AEO 2023 Table 35 Raw'!O13</f>
        <v>225.171143</v>
      </c>
      <c r="M22" s="17">
        <f>'AEO 2023 Table 35 Raw'!P13</f>
        <v>224.09106399999999</v>
      </c>
      <c r="N22" s="17">
        <f>'AEO 2023 Table 35 Raw'!Q13</f>
        <v>223.555252</v>
      </c>
      <c r="O22" s="17">
        <f>'AEO 2023 Table 35 Raw'!R13</f>
        <v>222.82238799999999</v>
      </c>
      <c r="P22" s="17">
        <f>'AEO 2023 Table 35 Raw'!S13</f>
        <v>221.78663599999999</v>
      </c>
      <c r="Q22" s="17">
        <f>'AEO 2023 Table 35 Raw'!T13</f>
        <v>220.55602999999999</v>
      </c>
      <c r="R22" s="17">
        <f>'AEO 2023 Table 35 Raw'!U13</f>
        <v>219.32922400000001</v>
      </c>
      <c r="S22" s="17">
        <f>'AEO 2023 Table 35 Raw'!V13</f>
        <v>217.81092799999999</v>
      </c>
      <c r="T22" s="17">
        <f>'AEO 2023 Table 35 Raw'!W13</f>
        <v>215.70451399999999</v>
      </c>
      <c r="U22" s="17">
        <f>'AEO 2023 Table 35 Raw'!X13</f>
        <v>213.86698899999999</v>
      </c>
      <c r="V22" s="17">
        <f>'AEO 2023 Table 35 Raw'!Y13</f>
        <v>212.02500900000001</v>
      </c>
      <c r="W22" s="17">
        <f>'AEO 2023 Table 35 Raw'!Z13</f>
        <v>210.17111199999999</v>
      </c>
      <c r="X22" s="17">
        <f>'AEO 2023 Table 35 Raw'!AA13</f>
        <v>208.09629799999999</v>
      </c>
      <c r="Y22" s="17">
        <f>'AEO 2023 Table 35 Raw'!AB13</f>
        <v>205.94572400000001</v>
      </c>
      <c r="Z22" s="17">
        <f>'AEO 2023 Table 35 Raw'!AC13</f>
        <v>203.864014</v>
      </c>
      <c r="AA22" s="17">
        <f>'AEO 2023 Table 35 Raw'!AD13</f>
        <v>201.65756200000001</v>
      </c>
      <c r="AB22" s="17">
        <f>'AEO 2023 Table 35 Raw'!AE13</f>
        <v>199.53419500000001</v>
      </c>
      <c r="AC22" s="17">
        <f>'AEO 2023 Table 35 Raw'!AF13</f>
        <v>197.40910299999999</v>
      </c>
      <c r="AD22" s="17">
        <f>'AEO 2023 Table 35 Raw'!AG13</f>
        <v>194.99052399999999</v>
      </c>
      <c r="AE22" s="17">
        <f>'AEO 2023 Table 35 Raw'!AH13</f>
        <v>192.72607400000001</v>
      </c>
      <c r="AF22" s="30">
        <f>'AEO 2023 Table 35 Raw'!AI13</f>
        <v>-3.0000000000000001E-3</v>
      </c>
    </row>
    <row r="23" spans="1:32" ht="15" customHeight="1">
      <c r="A23" s="7" t="s">
        <v>311</v>
      </c>
      <c r="B23" s="16" t="s">
        <v>312</v>
      </c>
      <c r="C23" s="17">
        <f>'AEO 2023 Table 35 Raw'!F14</f>
        <v>91.866462999999996</v>
      </c>
      <c r="D23" s="17">
        <f>'AEO 2023 Table 35 Raw'!G14</f>
        <v>95.047843999999998</v>
      </c>
      <c r="E23" s="17">
        <f>'AEO 2023 Table 35 Raw'!H14</f>
        <v>98.100082</v>
      </c>
      <c r="F23" s="17">
        <f>'AEO 2023 Table 35 Raw'!I14</f>
        <v>98.297370999999998</v>
      </c>
      <c r="G23" s="17">
        <f>'AEO 2023 Table 35 Raw'!J14</f>
        <v>99.015793000000002</v>
      </c>
      <c r="H23" s="17">
        <f>'AEO 2023 Table 35 Raw'!K14</f>
        <v>99.818306000000007</v>
      </c>
      <c r="I23" s="17">
        <f>'AEO 2023 Table 35 Raw'!L14</f>
        <v>100.435158</v>
      </c>
      <c r="J23" s="17">
        <f>'AEO 2023 Table 35 Raw'!M14</f>
        <v>100.902916</v>
      </c>
      <c r="K23" s="17">
        <f>'AEO 2023 Table 35 Raw'!N14</f>
        <v>101.160149</v>
      </c>
      <c r="L23" s="17">
        <f>'AEO 2023 Table 35 Raw'!O14</f>
        <v>101.078728</v>
      </c>
      <c r="M23" s="17">
        <f>'AEO 2023 Table 35 Raw'!P14</f>
        <v>101.03228</v>
      </c>
      <c r="N23" s="17">
        <f>'AEO 2023 Table 35 Raw'!Q14</f>
        <v>100.937263</v>
      </c>
      <c r="O23" s="17">
        <f>'AEO 2023 Table 35 Raw'!R14</f>
        <v>100.906296</v>
      </c>
      <c r="P23" s="17">
        <f>'AEO 2023 Table 35 Raw'!S14</f>
        <v>100.527382</v>
      </c>
      <c r="Q23" s="17">
        <f>'AEO 2023 Table 35 Raw'!T14</f>
        <v>99.915215000000003</v>
      </c>
      <c r="R23" s="17">
        <f>'AEO 2023 Table 35 Raw'!U14</f>
        <v>99.245552000000004</v>
      </c>
      <c r="S23" s="17">
        <f>'AEO 2023 Table 35 Raw'!V14</f>
        <v>98.604225</v>
      </c>
      <c r="T23" s="17">
        <f>'AEO 2023 Table 35 Raw'!W14</f>
        <v>97.455551</v>
      </c>
      <c r="U23" s="17">
        <f>'AEO 2023 Table 35 Raw'!X14</f>
        <v>96.610405</v>
      </c>
      <c r="V23" s="17">
        <f>'AEO 2023 Table 35 Raw'!Y14</f>
        <v>95.781234999999995</v>
      </c>
      <c r="W23" s="17">
        <f>'AEO 2023 Table 35 Raw'!Z14</f>
        <v>95.010138999999995</v>
      </c>
      <c r="X23" s="17">
        <f>'AEO 2023 Table 35 Raw'!AA14</f>
        <v>94.064087000000001</v>
      </c>
      <c r="Y23" s="17">
        <f>'AEO 2023 Table 35 Raw'!AB14</f>
        <v>93.072463999999997</v>
      </c>
      <c r="Z23" s="17">
        <f>'AEO 2023 Table 35 Raw'!AC14</f>
        <v>92.183280999999994</v>
      </c>
      <c r="AA23" s="17">
        <f>'AEO 2023 Table 35 Raw'!AD14</f>
        <v>91.261589000000001</v>
      </c>
      <c r="AB23" s="17">
        <f>'AEO 2023 Table 35 Raw'!AE14</f>
        <v>90.434334000000007</v>
      </c>
      <c r="AC23" s="17">
        <f>'AEO 2023 Table 35 Raw'!AF14</f>
        <v>89.623856000000004</v>
      </c>
      <c r="AD23" s="17">
        <f>'AEO 2023 Table 35 Raw'!AG14</f>
        <v>88.543518000000006</v>
      </c>
      <c r="AE23" s="17">
        <f>'AEO 2023 Table 35 Raw'!AH14</f>
        <v>87.624701999999999</v>
      </c>
      <c r="AF23" s="30">
        <f>'AEO 2023 Table 35 Raw'!AI14</f>
        <v>-2E-3</v>
      </c>
    </row>
    <row r="24" spans="1:32" ht="15" customHeight="1">
      <c r="A24" s="7" t="s">
        <v>313</v>
      </c>
      <c r="B24" s="16" t="s">
        <v>314</v>
      </c>
      <c r="C24" s="17">
        <f>'AEO 2023 Table 35 Raw'!F15</f>
        <v>26.104420000000001</v>
      </c>
      <c r="D24" s="17">
        <f>'AEO 2023 Table 35 Raw'!G15</f>
        <v>27.958748</v>
      </c>
      <c r="E24" s="17">
        <f>'AEO 2023 Table 35 Raw'!H15</f>
        <v>29.360862999999998</v>
      </c>
      <c r="F24" s="17">
        <f>'AEO 2023 Table 35 Raw'!I15</f>
        <v>30.404257000000001</v>
      </c>
      <c r="G24" s="17">
        <f>'AEO 2023 Table 35 Raw'!J15</f>
        <v>31.176168000000001</v>
      </c>
      <c r="H24" s="17">
        <f>'AEO 2023 Table 35 Raw'!K15</f>
        <v>31.735724999999999</v>
      </c>
      <c r="I24" s="17">
        <f>'AEO 2023 Table 35 Raw'!L15</f>
        <v>32.137633999999998</v>
      </c>
      <c r="J24" s="17">
        <f>'AEO 2023 Table 35 Raw'!M15</f>
        <v>32.421238000000002</v>
      </c>
      <c r="K24" s="17">
        <f>'AEO 2023 Table 35 Raw'!N15</f>
        <v>32.616638000000002</v>
      </c>
      <c r="L24" s="17">
        <f>'AEO 2023 Table 35 Raw'!O15</f>
        <v>32.746367999999997</v>
      </c>
      <c r="M24" s="17">
        <f>'AEO 2023 Table 35 Raw'!P15</f>
        <v>32.823729999999998</v>
      </c>
      <c r="N24" s="17">
        <f>'AEO 2023 Table 35 Raw'!Q15</f>
        <v>32.850150999999997</v>
      </c>
      <c r="O24" s="17">
        <f>'AEO 2023 Table 35 Raw'!R15</f>
        <v>32.831726000000003</v>
      </c>
      <c r="P24" s="17">
        <f>'AEO 2023 Table 35 Raw'!S15</f>
        <v>32.779494999999997</v>
      </c>
      <c r="Q24" s="17">
        <f>'AEO 2023 Table 35 Raw'!T15</f>
        <v>32.700462000000002</v>
      </c>
      <c r="R24" s="17">
        <f>'AEO 2023 Table 35 Raw'!U15</f>
        <v>32.598652000000001</v>
      </c>
      <c r="S24" s="17">
        <f>'AEO 2023 Table 35 Raw'!V15</f>
        <v>32.498699000000002</v>
      </c>
      <c r="T24" s="17">
        <f>'AEO 2023 Table 35 Raw'!W15</f>
        <v>32.391376000000001</v>
      </c>
      <c r="U24" s="17">
        <f>'AEO 2023 Table 35 Raw'!X15</f>
        <v>32.277873999999997</v>
      </c>
      <c r="V24" s="17">
        <f>'AEO 2023 Table 35 Raw'!Y15</f>
        <v>32.156567000000003</v>
      </c>
      <c r="W24" s="17">
        <f>'AEO 2023 Table 35 Raw'!Z15</f>
        <v>32.032176999999997</v>
      </c>
      <c r="X24" s="17">
        <f>'AEO 2023 Table 35 Raw'!AA15</f>
        <v>31.905846</v>
      </c>
      <c r="Y24" s="17">
        <f>'AEO 2023 Table 35 Raw'!AB15</f>
        <v>31.778054999999998</v>
      </c>
      <c r="Z24" s="17">
        <f>'AEO 2023 Table 35 Raw'!AC15</f>
        <v>31.647835000000001</v>
      </c>
      <c r="AA24" s="17">
        <f>'AEO 2023 Table 35 Raw'!AD15</f>
        <v>31.517433</v>
      </c>
      <c r="AB24" s="17">
        <f>'AEO 2023 Table 35 Raw'!AE15</f>
        <v>31.386583000000002</v>
      </c>
      <c r="AC24" s="17">
        <f>'AEO 2023 Table 35 Raw'!AF15</f>
        <v>31.254867999999998</v>
      </c>
      <c r="AD24" s="17">
        <f>'AEO 2023 Table 35 Raw'!AG15</f>
        <v>31.125091999999999</v>
      </c>
      <c r="AE24" s="17">
        <f>'AEO 2023 Table 35 Raw'!AH15</f>
        <v>30.995487000000001</v>
      </c>
      <c r="AF24" s="30">
        <f>'AEO 2023 Table 35 Raw'!AI15</f>
        <v>6.0000000000000001E-3</v>
      </c>
    </row>
    <row r="25" spans="1:32" ht="15" customHeight="1">
      <c r="A25" s="7" t="s">
        <v>315</v>
      </c>
      <c r="B25" s="16" t="s">
        <v>316</v>
      </c>
      <c r="C25" s="17">
        <f>'AEO 2023 Table 35 Raw'!F16</f>
        <v>93.821793</v>
      </c>
      <c r="D25" s="17">
        <f>'AEO 2023 Table 35 Raw'!G16</f>
        <v>98.346069</v>
      </c>
      <c r="E25" s="17">
        <f>'AEO 2023 Table 35 Raw'!H16</f>
        <v>98.899811</v>
      </c>
      <c r="F25" s="17">
        <f>'AEO 2023 Table 35 Raw'!I16</f>
        <v>98.154319999999998</v>
      </c>
      <c r="G25" s="17">
        <f>'AEO 2023 Table 35 Raw'!J16</f>
        <v>96.978966</v>
      </c>
      <c r="H25" s="17">
        <f>'AEO 2023 Table 35 Raw'!K16</f>
        <v>95.870536999999999</v>
      </c>
      <c r="I25" s="17">
        <f>'AEO 2023 Table 35 Raw'!L16</f>
        <v>94.778396999999998</v>
      </c>
      <c r="J25" s="17">
        <f>'AEO 2023 Table 35 Raw'!M16</f>
        <v>93.653671000000003</v>
      </c>
      <c r="K25" s="17">
        <f>'AEO 2023 Table 35 Raw'!N16</f>
        <v>92.513656999999995</v>
      </c>
      <c r="L25" s="17">
        <f>'AEO 2023 Table 35 Raw'!O16</f>
        <v>91.346046000000001</v>
      </c>
      <c r="M25" s="17">
        <f>'AEO 2023 Table 35 Raw'!P16</f>
        <v>90.235045999999997</v>
      </c>
      <c r="N25" s="17">
        <f>'AEO 2023 Table 35 Raw'!Q16</f>
        <v>89.767821999999995</v>
      </c>
      <c r="O25" s="17">
        <f>'AEO 2023 Table 35 Raw'!R16</f>
        <v>89.084404000000006</v>
      </c>
      <c r="P25" s="17">
        <f>'AEO 2023 Table 35 Raw'!S16</f>
        <v>88.479789999999994</v>
      </c>
      <c r="Q25" s="17">
        <f>'AEO 2023 Table 35 Raw'!T16</f>
        <v>87.940360999999996</v>
      </c>
      <c r="R25" s="17">
        <f>'AEO 2023 Table 35 Raw'!U16</f>
        <v>87.485000999999997</v>
      </c>
      <c r="S25" s="17">
        <f>'AEO 2023 Table 35 Raw'!V16</f>
        <v>86.707999999999998</v>
      </c>
      <c r="T25" s="17">
        <f>'AEO 2023 Table 35 Raw'!W16</f>
        <v>85.857574</v>
      </c>
      <c r="U25" s="17">
        <f>'AEO 2023 Table 35 Raw'!X16</f>
        <v>84.978706000000003</v>
      </c>
      <c r="V25" s="17">
        <f>'AEO 2023 Table 35 Raw'!Y16</f>
        <v>84.087226999999999</v>
      </c>
      <c r="W25" s="17">
        <f>'AEO 2023 Table 35 Raw'!Z16</f>
        <v>83.128783999999996</v>
      </c>
      <c r="X25" s="17">
        <f>'AEO 2023 Table 35 Raw'!AA16</f>
        <v>82.126366000000004</v>
      </c>
      <c r="Y25" s="17">
        <f>'AEO 2023 Table 35 Raw'!AB16</f>
        <v>81.095184000000003</v>
      </c>
      <c r="Z25" s="17">
        <f>'AEO 2023 Table 35 Raw'!AC16</f>
        <v>80.032905999999997</v>
      </c>
      <c r="AA25" s="17">
        <f>'AEO 2023 Table 35 Raw'!AD16</f>
        <v>78.878570999999994</v>
      </c>
      <c r="AB25" s="17">
        <f>'AEO 2023 Table 35 Raw'!AE16</f>
        <v>77.713295000000002</v>
      </c>
      <c r="AC25" s="17">
        <f>'AEO 2023 Table 35 Raw'!AF16</f>
        <v>76.530395999999996</v>
      </c>
      <c r="AD25" s="17">
        <f>'AEO 2023 Table 35 Raw'!AG16</f>
        <v>75.321915000000004</v>
      </c>
      <c r="AE25" s="17">
        <f>'AEO 2023 Table 35 Raw'!AH16</f>
        <v>74.105903999999995</v>
      </c>
      <c r="AF25" s="30">
        <f>'AEO 2023 Table 35 Raw'!AI16</f>
        <v>-8.0000000000000002E-3</v>
      </c>
    </row>
    <row r="26" spans="1:32" ht="15" customHeight="1">
      <c r="A26" s="7" t="s">
        <v>317</v>
      </c>
      <c r="B26" s="16" t="s">
        <v>318</v>
      </c>
      <c r="C26" s="17">
        <f>'AEO 2023 Table 35 Raw'!F17</f>
        <v>5921.6064450000003</v>
      </c>
      <c r="D26" s="17">
        <f>'AEO 2023 Table 35 Raw'!G17</f>
        <v>5758.8461909999996</v>
      </c>
      <c r="E26" s="17">
        <f>'AEO 2023 Table 35 Raw'!H17</f>
        <v>5615.3227539999998</v>
      </c>
      <c r="F26" s="17">
        <f>'AEO 2023 Table 35 Raw'!I17</f>
        <v>5522.4594729999999</v>
      </c>
      <c r="G26" s="17">
        <f>'AEO 2023 Table 35 Raw'!J17</f>
        <v>5456.8017579999996</v>
      </c>
      <c r="H26" s="17">
        <f>'AEO 2023 Table 35 Raw'!K17</f>
        <v>5375.783203</v>
      </c>
      <c r="I26" s="17">
        <f>'AEO 2023 Table 35 Raw'!L17</f>
        <v>5295.0048829999996</v>
      </c>
      <c r="J26" s="17">
        <f>'AEO 2023 Table 35 Raw'!M17</f>
        <v>5208.1630859999996</v>
      </c>
      <c r="K26" s="17">
        <f>'AEO 2023 Table 35 Raw'!N17</f>
        <v>5129.4189450000003</v>
      </c>
      <c r="L26" s="17">
        <f>'AEO 2023 Table 35 Raw'!O17</f>
        <v>5059.7778319999998</v>
      </c>
      <c r="M26" s="17">
        <f>'AEO 2023 Table 35 Raw'!P17</f>
        <v>5009.6132809999999</v>
      </c>
      <c r="N26" s="17">
        <f>'AEO 2023 Table 35 Raw'!Q17</f>
        <v>4957.8959960000002</v>
      </c>
      <c r="O26" s="17">
        <f>'AEO 2023 Table 35 Raw'!R17</f>
        <v>4903.5463870000003</v>
      </c>
      <c r="P26" s="17">
        <f>'AEO 2023 Table 35 Raw'!S17</f>
        <v>4860.4370120000003</v>
      </c>
      <c r="Q26" s="17">
        <f>'AEO 2023 Table 35 Raw'!T17</f>
        <v>4815.5263670000004</v>
      </c>
      <c r="R26" s="17">
        <f>'AEO 2023 Table 35 Raw'!U17</f>
        <v>4791.6870120000003</v>
      </c>
      <c r="S26" s="17">
        <f>'AEO 2023 Table 35 Raw'!V17</f>
        <v>4773.9067379999997</v>
      </c>
      <c r="T26" s="17">
        <f>'AEO 2023 Table 35 Raw'!W17</f>
        <v>4755.3203119999998</v>
      </c>
      <c r="U26" s="17">
        <f>'AEO 2023 Table 35 Raw'!X17</f>
        <v>4745.1215819999998</v>
      </c>
      <c r="V26" s="17">
        <f>'AEO 2023 Table 35 Raw'!Y17</f>
        <v>4736.1166990000002</v>
      </c>
      <c r="W26" s="17">
        <f>'AEO 2023 Table 35 Raw'!Z17</f>
        <v>4733.9057620000003</v>
      </c>
      <c r="X26" s="17">
        <f>'AEO 2023 Table 35 Raw'!AA17</f>
        <v>4732.7148440000001</v>
      </c>
      <c r="Y26" s="17">
        <f>'AEO 2023 Table 35 Raw'!AB17</f>
        <v>4731.6547849999997</v>
      </c>
      <c r="Z26" s="17">
        <f>'AEO 2023 Table 35 Raw'!AC17</f>
        <v>4729.873047</v>
      </c>
      <c r="AA26" s="17">
        <f>'AEO 2023 Table 35 Raw'!AD17</f>
        <v>4730.2021480000003</v>
      </c>
      <c r="AB26" s="17">
        <f>'AEO 2023 Table 35 Raw'!AE17</f>
        <v>4729.4658200000003</v>
      </c>
      <c r="AC26" s="17">
        <f>'AEO 2023 Table 35 Raw'!AF17</f>
        <v>4727.9716799999997</v>
      </c>
      <c r="AD26" s="17">
        <f>'AEO 2023 Table 35 Raw'!AG17</f>
        <v>4734.9438479999999</v>
      </c>
      <c r="AE26" s="17">
        <f>'AEO 2023 Table 35 Raw'!AH17</f>
        <v>4747.1035160000001</v>
      </c>
      <c r="AF26" s="30">
        <f>'AEO 2023 Table 35 Raw'!AI17</f>
        <v>-8.0000000000000002E-3</v>
      </c>
    </row>
    <row r="27" spans="1:32" ht="15" customHeight="1">
      <c r="A27" s="7" t="s">
        <v>319</v>
      </c>
      <c r="B27" s="16" t="s">
        <v>320</v>
      </c>
      <c r="C27" s="17">
        <f>'AEO 2023 Table 35 Raw'!F18</f>
        <v>748.63781700000004</v>
      </c>
      <c r="D27" s="17">
        <f>'AEO 2023 Table 35 Raw'!G18</f>
        <v>732.18176300000005</v>
      </c>
      <c r="E27" s="17">
        <f>'AEO 2023 Table 35 Raw'!H18</f>
        <v>720.222351</v>
      </c>
      <c r="F27" s="17">
        <f>'AEO 2023 Table 35 Raw'!I18</f>
        <v>712.26513699999998</v>
      </c>
      <c r="G27" s="17">
        <f>'AEO 2023 Table 35 Raw'!J18</f>
        <v>704.63708499999996</v>
      </c>
      <c r="H27" s="17">
        <f>'AEO 2023 Table 35 Raw'!K18</f>
        <v>693.10375999999997</v>
      </c>
      <c r="I27" s="17">
        <f>'AEO 2023 Table 35 Raw'!L18</f>
        <v>681.51898200000005</v>
      </c>
      <c r="J27" s="17">
        <f>'AEO 2023 Table 35 Raw'!M18</f>
        <v>670.97247300000004</v>
      </c>
      <c r="K27" s="17">
        <f>'AEO 2023 Table 35 Raw'!N18</f>
        <v>664.23034700000005</v>
      </c>
      <c r="L27" s="17">
        <f>'AEO 2023 Table 35 Raw'!O18</f>
        <v>660.79870600000004</v>
      </c>
      <c r="M27" s="17">
        <f>'AEO 2023 Table 35 Raw'!P18</f>
        <v>661.24517800000001</v>
      </c>
      <c r="N27" s="17">
        <f>'AEO 2023 Table 35 Raw'!Q18</f>
        <v>662.369507</v>
      </c>
      <c r="O27" s="17">
        <f>'AEO 2023 Table 35 Raw'!R18</f>
        <v>663.70324700000003</v>
      </c>
      <c r="P27" s="17">
        <f>'AEO 2023 Table 35 Raw'!S18</f>
        <v>666.36852999999996</v>
      </c>
      <c r="Q27" s="17">
        <f>'AEO 2023 Table 35 Raw'!T18</f>
        <v>668.24157700000001</v>
      </c>
      <c r="R27" s="17">
        <f>'AEO 2023 Table 35 Raw'!U18</f>
        <v>672.17394999999999</v>
      </c>
      <c r="S27" s="17">
        <f>'AEO 2023 Table 35 Raw'!V18</f>
        <v>676.03515600000003</v>
      </c>
      <c r="T27" s="17">
        <f>'AEO 2023 Table 35 Raw'!W18</f>
        <v>679.41424600000005</v>
      </c>
      <c r="U27" s="17">
        <f>'AEO 2023 Table 35 Raw'!X18</f>
        <v>684.28772000000004</v>
      </c>
      <c r="V27" s="17">
        <f>'AEO 2023 Table 35 Raw'!Y18</f>
        <v>690.63830600000006</v>
      </c>
      <c r="W27" s="17">
        <f>'AEO 2023 Table 35 Raw'!Z18</f>
        <v>698.07110599999999</v>
      </c>
      <c r="X27" s="17">
        <f>'AEO 2023 Table 35 Raw'!AA18</f>
        <v>705.62060499999995</v>
      </c>
      <c r="Y27" s="17">
        <f>'AEO 2023 Table 35 Raw'!AB18</f>
        <v>713.18573000000004</v>
      </c>
      <c r="Z27" s="17">
        <f>'AEO 2023 Table 35 Raw'!AC18</f>
        <v>721.23553500000003</v>
      </c>
      <c r="AA27" s="17">
        <f>'AEO 2023 Table 35 Raw'!AD18</f>
        <v>730.61541699999998</v>
      </c>
      <c r="AB27" s="17">
        <f>'AEO 2023 Table 35 Raw'!AE18</f>
        <v>740.51544200000001</v>
      </c>
      <c r="AC27" s="17">
        <f>'AEO 2023 Table 35 Raw'!AF18</f>
        <v>750.55602999999996</v>
      </c>
      <c r="AD27" s="17">
        <f>'AEO 2023 Table 35 Raw'!AG18</f>
        <v>761.51873799999998</v>
      </c>
      <c r="AE27" s="17">
        <f>'AEO 2023 Table 35 Raw'!AH18</f>
        <v>773.14770499999997</v>
      </c>
      <c r="AF27" s="30">
        <f>'AEO 2023 Table 35 Raw'!AI18</f>
        <v>1E-3</v>
      </c>
    </row>
    <row r="28" spans="1:32" s="88" customFormat="1" ht="15" customHeight="1">
      <c r="A28" s="84" t="s">
        <v>321</v>
      </c>
      <c r="B28" s="85" t="s">
        <v>322</v>
      </c>
      <c r="C28" s="86">
        <f>'AEO 2023 Table 35 Raw'!F19</f>
        <v>969.94122300000004</v>
      </c>
      <c r="D28" s="86">
        <f>'AEO 2023 Table 35 Raw'!G19</f>
        <v>940.81146200000001</v>
      </c>
      <c r="E28" s="86">
        <f>'AEO 2023 Table 35 Raw'!H19</f>
        <v>917.15948500000002</v>
      </c>
      <c r="F28" s="86">
        <f>'AEO 2023 Table 35 Raw'!I19</f>
        <v>901.62676999999996</v>
      </c>
      <c r="G28" s="86">
        <f>'AEO 2023 Table 35 Raw'!J19</f>
        <v>890.98638900000003</v>
      </c>
      <c r="H28" s="86">
        <f>'AEO 2023 Table 35 Raw'!K19</f>
        <v>878.49054000000001</v>
      </c>
      <c r="I28" s="86">
        <f>'AEO 2023 Table 35 Raw'!L19</f>
        <v>867.02569600000004</v>
      </c>
      <c r="J28" s="86">
        <f>'AEO 2023 Table 35 Raw'!M19</f>
        <v>854.45898399999999</v>
      </c>
      <c r="K28" s="86">
        <f>'AEO 2023 Table 35 Raw'!N19</f>
        <v>843.13281199999994</v>
      </c>
      <c r="L28" s="86">
        <f>'AEO 2023 Table 35 Raw'!O19</f>
        <v>833.16595500000005</v>
      </c>
      <c r="M28" s="86">
        <f>'AEO 2023 Table 35 Raw'!P19</f>
        <v>827.27282700000001</v>
      </c>
      <c r="N28" s="86">
        <f>'AEO 2023 Table 35 Raw'!Q19</f>
        <v>820.74212599999998</v>
      </c>
      <c r="O28" s="86">
        <f>'AEO 2023 Table 35 Raw'!R19</f>
        <v>813.97699</v>
      </c>
      <c r="P28" s="86">
        <f>'AEO 2023 Table 35 Raw'!S19</f>
        <v>809.44824200000005</v>
      </c>
      <c r="Q28" s="86">
        <f>'AEO 2023 Table 35 Raw'!T19</f>
        <v>804.86688200000003</v>
      </c>
      <c r="R28" s="86">
        <f>'AEO 2023 Table 35 Raw'!U19</f>
        <v>804.27398700000003</v>
      </c>
      <c r="S28" s="86">
        <f>'AEO 2023 Table 35 Raw'!V19</f>
        <v>803.65295400000002</v>
      </c>
      <c r="T28" s="86">
        <f>'AEO 2023 Table 35 Raw'!W19</f>
        <v>803.74804700000004</v>
      </c>
      <c r="U28" s="86">
        <f>'AEO 2023 Table 35 Raw'!X19</f>
        <v>804.90454099999999</v>
      </c>
      <c r="V28" s="86">
        <f>'AEO 2023 Table 35 Raw'!Y19</f>
        <v>806.42034899999999</v>
      </c>
      <c r="W28" s="86">
        <f>'AEO 2023 Table 35 Raw'!Z19</f>
        <v>809.15716599999996</v>
      </c>
      <c r="X28" s="86">
        <f>'AEO 2023 Table 35 Raw'!AA19</f>
        <v>813.02770999999996</v>
      </c>
      <c r="Y28" s="86">
        <f>'AEO 2023 Table 35 Raw'!AB19</f>
        <v>817.48461899999995</v>
      </c>
      <c r="Z28" s="86">
        <f>'AEO 2023 Table 35 Raw'!AC19</f>
        <v>821.82110599999999</v>
      </c>
      <c r="AA28" s="86">
        <f>'AEO 2023 Table 35 Raw'!AD19</f>
        <v>826.55474900000002</v>
      </c>
      <c r="AB28" s="86">
        <f>'AEO 2023 Table 35 Raw'!AE19</f>
        <v>831.33819600000004</v>
      </c>
      <c r="AC28" s="86">
        <f>'AEO 2023 Table 35 Raw'!AF19</f>
        <v>836.18957499999999</v>
      </c>
      <c r="AD28" s="86">
        <f>'AEO 2023 Table 35 Raw'!AG19</f>
        <v>842.79058799999996</v>
      </c>
      <c r="AE28" s="86">
        <f>'AEO 2023 Table 35 Raw'!AH19</f>
        <v>850.25329599999998</v>
      </c>
      <c r="AF28" s="87">
        <f>'AEO 2023 Table 35 Raw'!AI19</f>
        <v>-5.0000000000000001E-3</v>
      </c>
    </row>
    <row r="29" spans="1:32" ht="15" customHeight="1">
      <c r="A29" s="7" t="s">
        <v>323</v>
      </c>
      <c r="B29" s="16" t="s">
        <v>324</v>
      </c>
      <c r="C29" s="17">
        <f>'AEO 2023 Table 35 Raw'!F20</f>
        <v>4203.0278319999998</v>
      </c>
      <c r="D29" s="17">
        <f>'AEO 2023 Table 35 Raw'!G20</f>
        <v>4085.8527829999998</v>
      </c>
      <c r="E29" s="17">
        <f>'AEO 2023 Table 35 Raw'!H20</f>
        <v>3977.9411620000001</v>
      </c>
      <c r="F29" s="17">
        <f>'AEO 2023 Table 35 Raw'!I20</f>
        <v>3908.5668949999999</v>
      </c>
      <c r="G29" s="17">
        <f>'AEO 2023 Table 35 Raw'!J20</f>
        <v>3861.1782229999999</v>
      </c>
      <c r="H29" s="17">
        <f>'AEO 2023 Table 35 Raw'!K20</f>
        <v>3804.1892090000001</v>
      </c>
      <c r="I29" s="17">
        <f>'AEO 2023 Table 35 Raw'!L20</f>
        <v>3746.4604490000002</v>
      </c>
      <c r="J29" s="17">
        <f>'AEO 2023 Table 35 Raw'!M20</f>
        <v>3682.7316890000002</v>
      </c>
      <c r="K29" s="17">
        <f>'AEO 2023 Table 35 Raw'!N20</f>
        <v>3622.055664</v>
      </c>
      <c r="L29" s="17">
        <f>'AEO 2023 Table 35 Raw'!O20</f>
        <v>3565.8127439999998</v>
      </c>
      <c r="M29" s="17">
        <f>'AEO 2023 Table 35 Raw'!P20</f>
        <v>3521.0952149999998</v>
      </c>
      <c r="N29" s="17">
        <f>'AEO 2023 Table 35 Raw'!Q20</f>
        <v>3474.7841800000001</v>
      </c>
      <c r="O29" s="17">
        <f>'AEO 2023 Table 35 Raw'!R20</f>
        <v>3425.8664549999999</v>
      </c>
      <c r="P29" s="17">
        <f>'AEO 2023 Table 35 Raw'!S20</f>
        <v>3384.6206050000001</v>
      </c>
      <c r="Q29" s="17">
        <f>'AEO 2023 Table 35 Raw'!T20</f>
        <v>3342.4177249999998</v>
      </c>
      <c r="R29" s="17">
        <f>'AEO 2023 Table 35 Raw'!U20</f>
        <v>3315.2387699999999</v>
      </c>
      <c r="S29" s="17">
        <f>'AEO 2023 Table 35 Raw'!V20</f>
        <v>3294.2185060000002</v>
      </c>
      <c r="T29" s="17">
        <f>'AEO 2023 Table 35 Raw'!W20</f>
        <v>3272.158203</v>
      </c>
      <c r="U29" s="17">
        <f>'AEO 2023 Table 35 Raw'!X20</f>
        <v>3255.9291990000002</v>
      </c>
      <c r="V29" s="17">
        <f>'AEO 2023 Table 35 Raw'!Y20</f>
        <v>3239.0583499999998</v>
      </c>
      <c r="W29" s="17">
        <f>'AEO 2023 Table 35 Raw'!Z20</f>
        <v>3226.6767580000001</v>
      </c>
      <c r="X29" s="17">
        <f>'AEO 2023 Table 35 Raw'!AA20</f>
        <v>3214.0668949999999</v>
      </c>
      <c r="Y29" s="17">
        <f>'AEO 2023 Table 35 Raw'!AB20</f>
        <v>3200.9846189999998</v>
      </c>
      <c r="Z29" s="17">
        <f>'AEO 2023 Table 35 Raw'!AC20</f>
        <v>3186.8171390000002</v>
      </c>
      <c r="AA29" s="17">
        <f>'AEO 2023 Table 35 Raw'!AD20</f>
        <v>3173.031982</v>
      </c>
      <c r="AB29" s="17">
        <f>'AEO 2023 Table 35 Raw'!AE20</f>
        <v>3157.6123050000001</v>
      </c>
      <c r="AC29" s="17">
        <f>'AEO 2023 Table 35 Raw'!AF20</f>
        <v>3141.226318</v>
      </c>
      <c r="AD29" s="17">
        <f>'AEO 2023 Table 35 Raw'!AG20</f>
        <v>3130.6345209999999</v>
      </c>
      <c r="AE29" s="17">
        <f>'AEO 2023 Table 35 Raw'!AH20</f>
        <v>3123.703125</v>
      </c>
      <c r="AF29" s="30">
        <f>'AEO 2023 Table 35 Raw'!AI20</f>
        <v>-1.0999999999999999E-2</v>
      </c>
    </row>
    <row r="30" spans="1:32" ht="12" customHeight="1">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30"/>
    </row>
    <row r="31" spans="1:32" ht="15" customHeight="1">
      <c r="B31" s="15" t="s">
        <v>325</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30"/>
    </row>
    <row r="32" spans="1:32" ht="15" customHeight="1">
      <c r="A32" s="7" t="s">
        <v>326</v>
      </c>
      <c r="B32" s="16" t="s">
        <v>327</v>
      </c>
      <c r="C32" s="17">
        <f>'AEO 2023 Table 35 Raw'!F22</f>
        <v>2795.655029</v>
      </c>
      <c r="D32" s="17">
        <f>'AEO 2023 Table 35 Raw'!G22</f>
        <v>2985.946289</v>
      </c>
      <c r="E32" s="17">
        <f>'AEO 2023 Table 35 Raw'!H22</f>
        <v>3004.0117190000001</v>
      </c>
      <c r="F32" s="17">
        <f>'AEO 2023 Table 35 Raw'!I22</f>
        <v>2994.3767090000001</v>
      </c>
      <c r="G32" s="17">
        <f>'AEO 2023 Table 35 Raw'!J22</f>
        <v>3010.1215820000002</v>
      </c>
      <c r="H32" s="17">
        <f>'AEO 2023 Table 35 Raw'!K22</f>
        <v>3024.310547</v>
      </c>
      <c r="I32" s="17">
        <f>'AEO 2023 Table 35 Raw'!L22</f>
        <v>3036.461914</v>
      </c>
      <c r="J32" s="17">
        <f>'AEO 2023 Table 35 Raw'!M22</f>
        <v>3042.4677729999999</v>
      </c>
      <c r="K32" s="17">
        <f>'AEO 2023 Table 35 Raw'!N22</f>
        <v>3043.4104000000002</v>
      </c>
      <c r="L32" s="17">
        <f>'AEO 2023 Table 35 Raw'!O22</f>
        <v>3046.782471</v>
      </c>
      <c r="M32" s="17">
        <f>'AEO 2023 Table 35 Raw'!P22</f>
        <v>3061.0747070000002</v>
      </c>
      <c r="N32" s="17">
        <f>'AEO 2023 Table 35 Raw'!Q22</f>
        <v>3070.6218260000001</v>
      </c>
      <c r="O32" s="17">
        <f>'AEO 2023 Table 35 Raw'!R22</f>
        <v>3069.8415530000002</v>
      </c>
      <c r="P32" s="17">
        <f>'AEO 2023 Table 35 Raw'!S22</f>
        <v>3072.1235350000002</v>
      </c>
      <c r="Q32" s="17">
        <f>'AEO 2023 Table 35 Raw'!T22</f>
        <v>3082.9067380000001</v>
      </c>
      <c r="R32" s="17">
        <f>'AEO 2023 Table 35 Raw'!U22</f>
        <v>3102.0864259999998</v>
      </c>
      <c r="S32" s="17">
        <f>'AEO 2023 Table 35 Raw'!V22</f>
        <v>3127.588135</v>
      </c>
      <c r="T32" s="17">
        <f>'AEO 2023 Table 35 Raw'!W22</f>
        <v>3157.076904</v>
      </c>
      <c r="U32" s="17">
        <f>'AEO 2023 Table 35 Raw'!X22</f>
        <v>3191.8100589999999</v>
      </c>
      <c r="V32" s="17">
        <f>'AEO 2023 Table 35 Raw'!Y22</f>
        <v>3222.9575199999999</v>
      </c>
      <c r="W32" s="17">
        <f>'AEO 2023 Table 35 Raw'!Z22</f>
        <v>3255.5627439999998</v>
      </c>
      <c r="X32" s="17">
        <f>'AEO 2023 Table 35 Raw'!AA22</f>
        <v>3288.5258789999998</v>
      </c>
      <c r="Y32" s="17">
        <f>'AEO 2023 Table 35 Raw'!AB22</f>
        <v>3323.1064449999999</v>
      </c>
      <c r="Z32" s="17">
        <f>'AEO 2023 Table 35 Raw'!AC22</f>
        <v>3357.5683589999999</v>
      </c>
      <c r="AA32" s="17">
        <f>'AEO 2023 Table 35 Raw'!AD22</f>
        <v>3392.8244629999999</v>
      </c>
      <c r="AB32" s="17">
        <f>'AEO 2023 Table 35 Raw'!AE22</f>
        <v>3430.6352539999998</v>
      </c>
      <c r="AC32" s="17">
        <f>'AEO 2023 Table 35 Raw'!AF22</f>
        <v>3471.3813479999999</v>
      </c>
      <c r="AD32" s="17">
        <f>'AEO 2023 Table 35 Raw'!AG22</f>
        <v>3513.5590820000002</v>
      </c>
      <c r="AE32" s="17">
        <f>'AEO 2023 Table 35 Raw'!AH22</f>
        <v>3560.3764649999998</v>
      </c>
      <c r="AF32" s="30">
        <f>'AEO 2023 Table 35 Raw'!AI22</f>
        <v>8.9999999999999993E-3</v>
      </c>
    </row>
    <row r="33" spans="1:32" ht="15" customHeight="1">
      <c r="A33" s="7" t="s">
        <v>328</v>
      </c>
      <c r="B33" s="16" t="s">
        <v>329</v>
      </c>
      <c r="C33" s="17">
        <f>'AEO 2023 Table 35 Raw'!F23</f>
        <v>154.480209</v>
      </c>
      <c r="D33" s="17">
        <f>'AEO 2023 Table 35 Raw'!G23</f>
        <v>163.53123500000001</v>
      </c>
      <c r="E33" s="17">
        <f>'AEO 2023 Table 35 Raw'!H23</f>
        <v>164.38275100000001</v>
      </c>
      <c r="F33" s="17">
        <f>'AEO 2023 Table 35 Raw'!I23</f>
        <v>163.916977</v>
      </c>
      <c r="G33" s="17">
        <f>'AEO 2023 Table 35 Raw'!J23</f>
        <v>164.66076699999999</v>
      </c>
      <c r="H33" s="17">
        <f>'AEO 2023 Table 35 Raw'!K23</f>
        <v>165.33139</v>
      </c>
      <c r="I33" s="17">
        <f>'AEO 2023 Table 35 Raw'!L23</f>
        <v>165.905991</v>
      </c>
      <c r="J33" s="17">
        <f>'AEO 2023 Table 35 Raw'!M23</f>
        <v>166.18859900000001</v>
      </c>
      <c r="K33" s="17">
        <f>'AEO 2023 Table 35 Raw'!N23</f>
        <v>166.23085</v>
      </c>
      <c r="L33" s="17">
        <f>'AEO 2023 Table 35 Raw'!O23</f>
        <v>166.389084</v>
      </c>
      <c r="M33" s="17">
        <f>'AEO 2023 Table 35 Raw'!P23</f>
        <v>167.06776400000001</v>
      </c>
      <c r="N33" s="17">
        <f>'AEO 2023 Table 35 Raw'!Q23</f>
        <v>167.52093500000001</v>
      </c>
      <c r="O33" s="17">
        <f>'AEO 2023 Table 35 Raw'!R23</f>
        <v>167.48246800000001</v>
      </c>
      <c r="P33" s="17">
        <f>'AEO 2023 Table 35 Raw'!S23</f>
        <v>167.58998099999999</v>
      </c>
      <c r="Q33" s="17">
        <f>'AEO 2023 Table 35 Raw'!T23</f>
        <v>168.10247799999999</v>
      </c>
      <c r="R33" s="17">
        <f>'AEO 2023 Table 35 Raw'!U23</f>
        <v>169.01503</v>
      </c>
      <c r="S33" s="17">
        <f>'AEO 2023 Table 35 Raw'!V23</f>
        <v>170.22898900000001</v>
      </c>
      <c r="T33" s="17">
        <f>'AEO 2023 Table 35 Raw'!W23</f>
        <v>171.632507</v>
      </c>
      <c r="U33" s="17">
        <f>'AEO 2023 Table 35 Raw'!X23</f>
        <v>173.28613300000001</v>
      </c>
      <c r="V33" s="17">
        <f>'AEO 2023 Table 35 Raw'!Y23</f>
        <v>174.76892100000001</v>
      </c>
      <c r="W33" s="17">
        <f>'AEO 2023 Table 35 Raw'!Z23</f>
        <v>176.32135</v>
      </c>
      <c r="X33" s="17">
        <f>'AEO 2023 Table 35 Raw'!AA23</f>
        <v>177.89068599999999</v>
      </c>
      <c r="Y33" s="17">
        <f>'AEO 2023 Table 35 Raw'!AB23</f>
        <v>179.53720100000001</v>
      </c>
      <c r="Z33" s="17">
        <f>'AEO 2023 Table 35 Raw'!AC23</f>
        <v>181.178146</v>
      </c>
      <c r="AA33" s="17">
        <f>'AEO 2023 Table 35 Raw'!AD23</f>
        <v>182.856964</v>
      </c>
      <c r="AB33" s="17">
        <f>'AEO 2023 Table 35 Raw'!AE23</f>
        <v>184.65737899999999</v>
      </c>
      <c r="AC33" s="17">
        <f>'AEO 2023 Table 35 Raw'!AF23</f>
        <v>186.59747300000001</v>
      </c>
      <c r="AD33" s="17">
        <f>'AEO 2023 Table 35 Raw'!AG23</f>
        <v>188.605942</v>
      </c>
      <c r="AE33" s="17">
        <f>'AEO 2023 Table 35 Raw'!AH23</f>
        <v>190.835114</v>
      </c>
      <c r="AF33" s="30">
        <f>'AEO 2023 Table 35 Raw'!AI23</f>
        <v>8.0000000000000002E-3</v>
      </c>
    </row>
    <row r="34" spans="1:32" ht="15" customHeight="1">
      <c r="A34" s="7" t="s">
        <v>330</v>
      </c>
      <c r="B34" s="16" t="s">
        <v>331</v>
      </c>
      <c r="C34" s="17">
        <f>'AEO 2023 Table 35 Raw'!F24</f>
        <v>1525.0932620000001</v>
      </c>
      <c r="D34" s="17">
        <f>'AEO 2023 Table 35 Raw'!G24</f>
        <v>1567.8680420000001</v>
      </c>
      <c r="E34" s="17">
        <f>'AEO 2023 Table 35 Raw'!H24</f>
        <v>1526.7360839999999</v>
      </c>
      <c r="F34" s="17">
        <f>'AEO 2023 Table 35 Raw'!I24</f>
        <v>1508.541504</v>
      </c>
      <c r="G34" s="17">
        <f>'AEO 2023 Table 35 Raw'!J24</f>
        <v>1515.349121</v>
      </c>
      <c r="H34" s="17">
        <f>'AEO 2023 Table 35 Raw'!K24</f>
        <v>1520.4882809999999</v>
      </c>
      <c r="I34" s="17">
        <f>'AEO 2023 Table 35 Raw'!L24</f>
        <v>1524.98938</v>
      </c>
      <c r="J34" s="17">
        <f>'AEO 2023 Table 35 Raw'!M24</f>
        <v>1525.926025</v>
      </c>
      <c r="K34" s="17">
        <f>'AEO 2023 Table 35 Raw'!N24</f>
        <v>1523.0429690000001</v>
      </c>
      <c r="L34" s="17">
        <f>'AEO 2023 Table 35 Raw'!O24</f>
        <v>1521.2917480000001</v>
      </c>
      <c r="M34" s="17">
        <f>'AEO 2023 Table 35 Raw'!P24</f>
        <v>1525.9873050000001</v>
      </c>
      <c r="N34" s="17">
        <f>'AEO 2023 Table 35 Raw'!Q24</f>
        <v>1531.2928469999999</v>
      </c>
      <c r="O34" s="17">
        <f>'AEO 2023 Table 35 Raw'!R24</f>
        <v>1530.815918</v>
      </c>
      <c r="P34" s="17">
        <f>'AEO 2023 Table 35 Raw'!S24</f>
        <v>1529.8126219999999</v>
      </c>
      <c r="Q34" s="17">
        <f>'AEO 2023 Table 35 Raw'!T24</f>
        <v>1532.0532229999999</v>
      </c>
      <c r="R34" s="17">
        <f>'AEO 2023 Table 35 Raw'!U24</f>
        <v>1538.0153809999999</v>
      </c>
      <c r="S34" s="17">
        <f>'AEO 2023 Table 35 Raw'!V24</f>
        <v>1547.7210689999999</v>
      </c>
      <c r="T34" s="17">
        <f>'AEO 2023 Table 35 Raw'!W24</f>
        <v>1559.256592</v>
      </c>
      <c r="U34" s="17">
        <f>'AEO 2023 Table 35 Raw'!X24</f>
        <v>1573.825317</v>
      </c>
      <c r="V34" s="17">
        <f>'AEO 2023 Table 35 Raw'!Y24</f>
        <v>1586.3063959999999</v>
      </c>
      <c r="W34" s="17">
        <f>'AEO 2023 Table 35 Raw'!Z24</f>
        <v>1599.5791019999999</v>
      </c>
      <c r="X34" s="17">
        <f>'AEO 2023 Table 35 Raw'!AA24</f>
        <v>1613.908447</v>
      </c>
      <c r="Y34" s="17">
        <f>'AEO 2023 Table 35 Raw'!AB24</f>
        <v>1628.809814</v>
      </c>
      <c r="Z34" s="17">
        <f>'AEO 2023 Table 35 Raw'!AC24</f>
        <v>1643.376831</v>
      </c>
      <c r="AA34" s="17">
        <f>'AEO 2023 Table 35 Raw'!AD24</f>
        <v>1658.938232</v>
      </c>
      <c r="AB34" s="17">
        <f>'AEO 2023 Table 35 Raw'!AE24</f>
        <v>1676.1137699999999</v>
      </c>
      <c r="AC34" s="17">
        <f>'AEO 2023 Table 35 Raw'!AF24</f>
        <v>1694.779663</v>
      </c>
      <c r="AD34" s="17">
        <f>'AEO 2023 Table 35 Raw'!AG24</f>
        <v>1714.7982179999999</v>
      </c>
      <c r="AE34" s="17">
        <f>'AEO 2023 Table 35 Raw'!AH24</f>
        <v>1736.7991939999999</v>
      </c>
      <c r="AF34" s="30">
        <f>'AEO 2023 Table 35 Raw'!AI24</f>
        <v>5.0000000000000001E-3</v>
      </c>
    </row>
    <row r="35" spans="1:32" ht="15" customHeight="1">
      <c r="A35" s="7" t="s">
        <v>332</v>
      </c>
      <c r="B35" s="16" t="s">
        <v>333</v>
      </c>
      <c r="C35" s="17">
        <f>'AEO 2023 Table 35 Raw'!F25</f>
        <v>585.55181900000002</v>
      </c>
      <c r="D35" s="17">
        <f>'AEO 2023 Table 35 Raw'!G25</f>
        <v>750.91198699999995</v>
      </c>
      <c r="E35" s="17">
        <f>'AEO 2023 Table 35 Raw'!H25</f>
        <v>819.919983</v>
      </c>
      <c r="F35" s="17">
        <f>'AEO 2023 Table 35 Raw'!I25</f>
        <v>830.230591</v>
      </c>
      <c r="G35" s="17">
        <f>'AEO 2023 Table 35 Raw'!J25</f>
        <v>837.06994599999996</v>
      </c>
      <c r="H35" s="17">
        <f>'AEO 2023 Table 35 Raw'!K25</f>
        <v>843.648865</v>
      </c>
      <c r="I35" s="17">
        <f>'AEO 2023 Table 35 Raw'!L25</f>
        <v>849.23260500000004</v>
      </c>
      <c r="J35" s="17">
        <f>'AEO 2023 Table 35 Raw'!M25</f>
        <v>853.01031499999999</v>
      </c>
      <c r="K35" s="17">
        <f>'AEO 2023 Table 35 Raw'!N25</f>
        <v>855.76171899999997</v>
      </c>
      <c r="L35" s="17">
        <f>'AEO 2023 Table 35 Raw'!O25</f>
        <v>859.20422399999995</v>
      </c>
      <c r="M35" s="17">
        <f>'AEO 2023 Table 35 Raw'!P25</f>
        <v>865.41162099999997</v>
      </c>
      <c r="N35" s="17">
        <f>'AEO 2023 Table 35 Raw'!Q25</f>
        <v>868.69140600000003</v>
      </c>
      <c r="O35" s="17">
        <f>'AEO 2023 Table 35 Raw'!R25</f>
        <v>869.10211200000003</v>
      </c>
      <c r="P35" s="17">
        <f>'AEO 2023 Table 35 Raw'!S25</f>
        <v>871.32574499999998</v>
      </c>
      <c r="Q35" s="17">
        <f>'AEO 2023 Table 35 Raw'!T25</f>
        <v>876.51696800000002</v>
      </c>
      <c r="R35" s="17">
        <f>'AEO 2023 Table 35 Raw'!U25</f>
        <v>884.41485599999999</v>
      </c>
      <c r="S35" s="17">
        <f>'AEO 2023 Table 35 Raw'!V25</f>
        <v>893.89855999999997</v>
      </c>
      <c r="T35" s="17">
        <f>'AEO 2023 Table 35 Raw'!W25</f>
        <v>904.61901899999998</v>
      </c>
      <c r="U35" s="17">
        <f>'AEO 2023 Table 35 Raw'!X25</f>
        <v>916.72100799999998</v>
      </c>
      <c r="V35" s="17">
        <f>'AEO 2023 Table 35 Raw'!Y25</f>
        <v>927.89562999999998</v>
      </c>
      <c r="W35" s="17">
        <f>'AEO 2023 Table 35 Raw'!Z25</f>
        <v>939.45696999999996</v>
      </c>
      <c r="X35" s="17">
        <f>'AEO 2023 Table 35 Raw'!AA25</f>
        <v>950.67779499999995</v>
      </c>
      <c r="Y35" s="17">
        <f>'AEO 2023 Table 35 Raw'!AB25</f>
        <v>962.48809800000004</v>
      </c>
      <c r="Z35" s="17">
        <f>'AEO 2023 Table 35 Raw'!AC25</f>
        <v>974.37261999999998</v>
      </c>
      <c r="AA35" s="17">
        <f>'AEO 2023 Table 35 Raw'!AD25</f>
        <v>986.22100799999998</v>
      </c>
      <c r="AB35" s="17">
        <f>'AEO 2023 Table 35 Raw'!AE25</f>
        <v>998.68841599999996</v>
      </c>
      <c r="AC35" s="17">
        <f>'AEO 2023 Table 35 Raw'!AF25</f>
        <v>1012.037231</v>
      </c>
      <c r="AD35" s="17">
        <f>'AEO 2023 Table 35 Raw'!AG25</f>
        <v>1025.5076899999999</v>
      </c>
      <c r="AE35" s="17">
        <f>'AEO 2023 Table 35 Raw'!AH25</f>
        <v>1040.55603</v>
      </c>
      <c r="AF35" s="30">
        <f>'AEO 2023 Table 35 Raw'!AI25</f>
        <v>2.1000000000000001E-2</v>
      </c>
    </row>
    <row r="36" spans="1:32" ht="15" customHeight="1">
      <c r="A36" s="7" t="s">
        <v>334</v>
      </c>
      <c r="B36" s="16" t="s">
        <v>335</v>
      </c>
      <c r="C36" s="17">
        <f>'AEO 2023 Table 35 Raw'!F26</f>
        <v>530.52978499999995</v>
      </c>
      <c r="D36" s="17">
        <f>'AEO 2023 Table 35 Raw'!G26</f>
        <v>503.63491800000003</v>
      </c>
      <c r="E36" s="17">
        <f>'AEO 2023 Table 35 Raw'!H26</f>
        <v>492.97289999999998</v>
      </c>
      <c r="F36" s="17">
        <f>'AEO 2023 Table 35 Raw'!I26</f>
        <v>491.68774400000001</v>
      </c>
      <c r="G36" s="17">
        <f>'AEO 2023 Table 35 Raw'!J26</f>
        <v>493.04165599999999</v>
      </c>
      <c r="H36" s="17">
        <f>'AEO 2023 Table 35 Raw'!K26</f>
        <v>494.84197999999998</v>
      </c>
      <c r="I36" s="17">
        <f>'AEO 2023 Table 35 Raw'!L26</f>
        <v>496.33401500000002</v>
      </c>
      <c r="J36" s="17">
        <f>'AEO 2023 Table 35 Raw'!M26</f>
        <v>497.34268200000002</v>
      </c>
      <c r="K36" s="17">
        <f>'AEO 2023 Table 35 Raw'!N26</f>
        <v>498.37484699999999</v>
      </c>
      <c r="L36" s="17">
        <f>'AEO 2023 Table 35 Raw'!O26</f>
        <v>499.89736900000003</v>
      </c>
      <c r="M36" s="17">
        <f>'AEO 2023 Table 35 Raw'!P26</f>
        <v>502.60791</v>
      </c>
      <c r="N36" s="17">
        <f>'AEO 2023 Table 35 Raw'!Q26</f>
        <v>503.11676</v>
      </c>
      <c r="O36" s="17">
        <f>'AEO 2023 Table 35 Raw'!R26</f>
        <v>502.44113199999998</v>
      </c>
      <c r="P36" s="17">
        <f>'AEO 2023 Table 35 Raw'!S26</f>
        <v>503.39532500000001</v>
      </c>
      <c r="Q36" s="17">
        <f>'AEO 2023 Table 35 Raw'!T26</f>
        <v>506.23397799999998</v>
      </c>
      <c r="R36" s="17">
        <f>'AEO 2023 Table 35 Raw'!U26</f>
        <v>510.641052</v>
      </c>
      <c r="S36" s="17">
        <f>'AEO 2023 Table 35 Raw'!V26</f>
        <v>515.73944100000006</v>
      </c>
      <c r="T36" s="17">
        <f>'AEO 2023 Table 35 Raw'!W26</f>
        <v>521.56854199999998</v>
      </c>
      <c r="U36" s="17">
        <f>'AEO 2023 Table 35 Raw'!X26</f>
        <v>527.97747800000002</v>
      </c>
      <c r="V36" s="17">
        <f>'AEO 2023 Table 35 Raw'!Y26</f>
        <v>533.98669400000006</v>
      </c>
      <c r="W36" s="17">
        <f>'AEO 2023 Table 35 Raw'!Z26</f>
        <v>540.20526099999995</v>
      </c>
      <c r="X36" s="17">
        <f>'AEO 2023 Table 35 Raw'!AA26</f>
        <v>546.04901099999995</v>
      </c>
      <c r="Y36" s="17">
        <f>'AEO 2023 Table 35 Raw'!AB26</f>
        <v>552.27117899999996</v>
      </c>
      <c r="Z36" s="17">
        <f>'AEO 2023 Table 35 Raw'!AC26</f>
        <v>558.64074700000003</v>
      </c>
      <c r="AA36" s="17">
        <f>'AEO 2023 Table 35 Raw'!AD26</f>
        <v>564.80841099999998</v>
      </c>
      <c r="AB36" s="17">
        <f>'AEO 2023 Table 35 Raw'!AE26</f>
        <v>571.17590299999995</v>
      </c>
      <c r="AC36" s="17">
        <f>'AEO 2023 Table 35 Raw'!AF26</f>
        <v>577.96679700000004</v>
      </c>
      <c r="AD36" s="17">
        <f>'AEO 2023 Table 35 Raw'!AG26</f>
        <v>584.64727800000003</v>
      </c>
      <c r="AE36" s="17">
        <f>'AEO 2023 Table 35 Raw'!AH26</f>
        <v>592.18615699999998</v>
      </c>
      <c r="AF36" s="30">
        <f>'AEO 2023 Table 35 Raw'!AI26</f>
        <v>4.0000000000000001E-3</v>
      </c>
    </row>
    <row r="37" spans="1:32" ht="15" customHeight="1">
      <c r="A37" s="7" t="s">
        <v>336</v>
      </c>
      <c r="B37" s="16" t="s">
        <v>337</v>
      </c>
      <c r="C37" s="17">
        <f>'AEO 2023 Table 35 Raw'!F27</f>
        <v>1234.088135</v>
      </c>
      <c r="D37" s="17">
        <f>'AEO 2023 Table 35 Raw'!G27</f>
        <v>1173.2438959999999</v>
      </c>
      <c r="E37" s="17">
        <f>'AEO 2023 Table 35 Raw'!H27</f>
        <v>1163.399048</v>
      </c>
      <c r="F37" s="17">
        <f>'AEO 2023 Table 35 Raw'!I27</f>
        <v>1161.1793210000001</v>
      </c>
      <c r="G37" s="17">
        <f>'AEO 2023 Table 35 Raw'!J27</f>
        <v>1150.975586</v>
      </c>
      <c r="H37" s="17">
        <f>'AEO 2023 Table 35 Raw'!K27</f>
        <v>1146.247437</v>
      </c>
      <c r="I37" s="17">
        <f>'AEO 2023 Table 35 Raw'!L27</f>
        <v>1136.9453120000001</v>
      </c>
      <c r="J37" s="17">
        <f>'AEO 2023 Table 35 Raw'!M27</f>
        <v>1130.1513669999999</v>
      </c>
      <c r="K37" s="17">
        <f>'AEO 2023 Table 35 Raw'!N27</f>
        <v>1124.275024</v>
      </c>
      <c r="L37" s="17">
        <f>'AEO 2023 Table 35 Raw'!O27</f>
        <v>1121.1164550000001</v>
      </c>
      <c r="M37" s="17">
        <f>'AEO 2023 Table 35 Raw'!P27</f>
        <v>1118.7803960000001</v>
      </c>
      <c r="N37" s="17">
        <f>'AEO 2023 Table 35 Raw'!Q27</f>
        <v>1116.8857419999999</v>
      </c>
      <c r="O37" s="17">
        <f>'AEO 2023 Table 35 Raw'!R27</f>
        <v>1114.0074460000001</v>
      </c>
      <c r="P37" s="17">
        <f>'AEO 2023 Table 35 Raw'!S27</f>
        <v>1111.151611</v>
      </c>
      <c r="Q37" s="17">
        <f>'AEO 2023 Table 35 Raw'!T27</f>
        <v>1107.9022219999999</v>
      </c>
      <c r="R37" s="17">
        <f>'AEO 2023 Table 35 Raw'!U27</f>
        <v>1105.9880370000001</v>
      </c>
      <c r="S37" s="17">
        <f>'AEO 2023 Table 35 Raw'!V27</f>
        <v>1104.0131839999999</v>
      </c>
      <c r="T37" s="17">
        <f>'AEO 2023 Table 35 Raw'!W27</f>
        <v>1102.27124</v>
      </c>
      <c r="U37" s="17">
        <f>'AEO 2023 Table 35 Raw'!X27</f>
        <v>1101.5563959999999</v>
      </c>
      <c r="V37" s="17">
        <f>'AEO 2023 Table 35 Raw'!Y27</f>
        <v>1099.544922</v>
      </c>
      <c r="W37" s="17">
        <f>'AEO 2023 Table 35 Raw'!Z27</f>
        <v>1097.713745</v>
      </c>
      <c r="X37" s="17">
        <f>'AEO 2023 Table 35 Raw'!AA27</f>
        <v>1096.149414</v>
      </c>
      <c r="Y37" s="17">
        <f>'AEO 2023 Table 35 Raw'!AB27</f>
        <v>1094.751953</v>
      </c>
      <c r="Z37" s="17">
        <f>'AEO 2023 Table 35 Raw'!AC27</f>
        <v>1093.028564</v>
      </c>
      <c r="AA37" s="17">
        <f>'AEO 2023 Table 35 Raw'!AD27</f>
        <v>1091.962158</v>
      </c>
      <c r="AB37" s="17">
        <f>'AEO 2023 Table 35 Raw'!AE27</f>
        <v>1090.536499</v>
      </c>
      <c r="AC37" s="17">
        <f>'AEO 2023 Table 35 Raw'!AF27</f>
        <v>1087.4643550000001</v>
      </c>
      <c r="AD37" s="17">
        <f>'AEO 2023 Table 35 Raw'!AG27</f>
        <v>1086.8054199999999</v>
      </c>
      <c r="AE37" s="17">
        <f>'AEO 2023 Table 35 Raw'!AH27</f>
        <v>1085.915283</v>
      </c>
      <c r="AF37" s="30">
        <f>'AEO 2023 Table 35 Raw'!AI27</f>
        <v>-5.0000000000000001E-3</v>
      </c>
    </row>
    <row r="38" spans="1:32" ht="15" customHeight="1">
      <c r="A38" s="7" t="s">
        <v>338</v>
      </c>
      <c r="B38" s="16" t="s">
        <v>339</v>
      </c>
      <c r="C38" s="17">
        <f>'AEO 2023 Table 35 Raw'!F28</f>
        <v>1033.165405</v>
      </c>
      <c r="D38" s="17">
        <f>'AEO 2023 Table 35 Raw'!G28</f>
        <v>979.89202899999998</v>
      </c>
      <c r="E38" s="17">
        <f>'AEO 2023 Table 35 Raw'!H28</f>
        <v>974.51336700000002</v>
      </c>
      <c r="F38" s="17">
        <f>'AEO 2023 Table 35 Raw'!I28</f>
        <v>975.08941700000003</v>
      </c>
      <c r="G38" s="17">
        <f>'AEO 2023 Table 35 Raw'!J28</f>
        <v>966.546021</v>
      </c>
      <c r="H38" s="17">
        <f>'AEO 2023 Table 35 Raw'!K28</f>
        <v>963.49517800000001</v>
      </c>
      <c r="I38" s="17">
        <f>'AEO 2023 Table 35 Raw'!L28</f>
        <v>955.84588599999995</v>
      </c>
      <c r="J38" s="17">
        <f>'AEO 2023 Table 35 Raw'!M28</f>
        <v>950.93066399999998</v>
      </c>
      <c r="K38" s="17">
        <f>'AEO 2023 Table 35 Raw'!N28</f>
        <v>947.14837599999998</v>
      </c>
      <c r="L38" s="17">
        <f>'AEO 2023 Table 35 Raw'!O28</f>
        <v>945.89868200000001</v>
      </c>
      <c r="M38" s="17">
        <f>'AEO 2023 Table 35 Raw'!P28</f>
        <v>944.85516399999995</v>
      </c>
      <c r="N38" s="17">
        <f>'AEO 2023 Table 35 Raw'!Q28</f>
        <v>944.14190699999995</v>
      </c>
      <c r="O38" s="17">
        <f>'AEO 2023 Table 35 Raw'!R28</f>
        <v>942.78301999999996</v>
      </c>
      <c r="P38" s="17">
        <f>'AEO 2023 Table 35 Raw'!S28</f>
        <v>941.41467299999999</v>
      </c>
      <c r="Q38" s="17">
        <f>'AEO 2023 Table 35 Raw'!T28</f>
        <v>939.39831500000003</v>
      </c>
      <c r="R38" s="17">
        <f>'AEO 2023 Table 35 Raw'!U28</f>
        <v>938.39746100000002</v>
      </c>
      <c r="S38" s="17">
        <f>'AEO 2023 Table 35 Raw'!V28</f>
        <v>937.14086899999995</v>
      </c>
      <c r="T38" s="17">
        <f>'AEO 2023 Table 35 Raw'!W28</f>
        <v>936.03857400000004</v>
      </c>
      <c r="U38" s="17">
        <f>'AEO 2023 Table 35 Raw'!X28</f>
        <v>935.76641800000004</v>
      </c>
      <c r="V38" s="17">
        <f>'AEO 2023 Table 35 Raw'!Y28</f>
        <v>934.27673300000004</v>
      </c>
      <c r="W38" s="17">
        <f>'AEO 2023 Table 35 Raw'!Z28</f>
        <v>932.92230199999995</v>
      </c>
      <c r="X38" s="17">
        <f>'AEO 2023 Table 35 Raw'!AA28</f>
        <v>931.82714799999997</v>
      </c>
      <c r="Y38" s="17">
        <f>'AEO 2023 Table 35 Raw'!AB28</f>
        <v>930.86364700000001</v>
      </c>
      <c r="Z38" s="17">
        <f>'AEO 2023 Table 35 Raw'!AC28</f>
        <v>929.62719700000002</v>
      </c>
      <c r="AA38" s="17">
        <f>'AEO 2023 Table 35 Raw'!AD28</f>
        <v>929.00006099999996</v>
      </c>
      <c r="AB38" s="17">
        <f>'AEO 2023 Table 35 Raw'!AE28</f>
        <v>927.93945299999996</v>
      </c>
      <c r="AC38" s="17">
        <f>'AEO 2023 Table 35 Raw'!AF28</f>
        <v>925.19561799999997</v>
      </c>
      <c r="AD38" s="17">
        <f>'AEO 2023 Table 35 Raw'!AG28</f>
        <v>924.64996299999996</v>
      </c>
      <c r="AE38" s="17">
        <f>'AEO 2023 Table 35 Raw'!AH28</f>
        <v>923.808899</v>
      </c>
      <c r="AF38" s="30">
        <f>'AEO 2023 Table 35 Raw'!AI28</f>
        <v>-4.0000000000000001E-3</v>
      </c>
    </row>
    <row r="39" spans="1:32" ht="15" customHeight="1">
      <c r="A39" s="7" t="s">
        <v>340</v>
      </c>
      <c r="B39" s="16" t="s">
        <v>341</v>
      </c>
      <c r="C39" s="17">
        <f>'AEO 2023 Table 35 Raw'!F29</f>
        <v>98.239388000000005</v>
      </c>
      <c r="D39" s="17">
        <f>'AEO 2023 Table 35 Raw'!G29</f>
        <v>98.555594999999997</v>
      </c>
      <c r="E39" s="17">
        <f>'AEO 2023 Table 35 Raw'!H29</f>
        <v>96.731917999999993</v>
      </c>
      <c r="F39" s="17">
        <f>'AEO 2023 Table 35 Raw'!I29</f>
        <v>95.436927999999995</v>
      </c>
      <c r="G39" s="17">
        <f>'AEO 2023 Table 35 Raw'!J29</f>
        <v>94.347915999999998</v>
      </c>
      <c r="H39" s="17">
        <f>'AEO 2023 Table 35 Raw'!K29</f>
        <v>93.10463</v>
      </c>
      <c r="I39" s="17">
        <f>'AEO 2023 Table 35 Raw'!L29</f>
        <v>91.875465000000005</v>
      </c>
      <c r="J39" s="17">
        <f>'AEO 2023 Table 35 Raw'!M29</f>
        <v>90.529846000000006</v>
      </c>
      <c r="K39" s="17">
        <f>'AEO 2023 Table 35 Raw'!N29</f>
        <v>89.324959000000007</v>
      </c>
      <c r="L39" s="17">
        <f>'AEO 2023 Table 35 Raw'!O29</f>
        <v>88.201453999999998</v>
      </c>
      <c r="M39" s="17">
        <f>'AEO 2023 Table 35 Raw'!P29</f>
        <v>87.334311999999997</v>
      </c>
      <c r="N39" s="17">
        <f>'AEO 2023 Table 35 Raw'!Q29</f>
        <v>86.465857999999997</v>
      </c>
      <c r="O39" s="17">
        <f>'AEO 2023 Table 35 Raw'!R29</f>
        <v>85.351685000000003</v>
      </c>
      <c r="P39" s="17">
        <f>'AEO 2023 Table 35 Raw'!S29</f>
        <v>84.240737999999993</v>
      </c>
      <c r="Q39" s="17">
        <f>'AEO 2023 Table 35 Raw'!T29</f>
        <v>83.043732000000006</v>
      </c>
      <c r="R39" s="17">
        <f>'AEO 2023 Table 35 Raw'!U29</f>
        <v>82.109359999999995</v>
      </c>
      <c r="S39" s="17">
        <f>'AEO 2023 Table 35 Raw'!V29</f>
        <v>81.163605000000004</v>
      </c>
      <c r="T39" s="17">
        <f>'AEO 2023 Table 35 Raw'!W29</f>
        <v>80.212753000000006</v>
      </c>
      <c r="U39" s="17">
        <f>'AEO 2023 Table 35 Raw'!X29</f>
        <v>79.316063</v>
      </c>
      <c r="V39" s="17">
        <f>'AEO 2023 Table 35 Raw'!Y29</f>
        <v>78.387878000000001</v>
      </c>
      <c r="W39" s="17">
        <f>'AEO 2023 Table 35 Raw'!Z29</f>
        <v>77.573982000000001</v>
      </c>
      <c r="X39" s="17">
        <f>'AEO 2023 Table 35 Raw'!AA29</f>
        <v>76.789490000000001</v>
      </c>
      <c r="Y39" s="17">
        <f>'AEO 2023 Table 35 Raw'!AB29</f>
        <v>75.995895000000004</v>
      </c>
      <c r="Z39" s="17">
        <f>'AEO 2023 Table 35 Raw'!AC29</f>
        <v>75.232376000000002</v>
      </c>
      <c r="AA39" s="17">
        <f>'AEO 2023 Table 35 Raw'!AD29</f>
        <v>74.504272</v>
      </c>
      <c r="AB39" s="17">
        <f>'AEO 2023 Table 35 Raw'!AE29</f>
        <v>73.715118000000004</v>
      </c>
      <c r="AC39" s="17">
        <f>'AEO 2023 Table 35 Raw'!AF29</f>
        <v>72.897345999999999</v>
      </c>
      <c r="AD39" s="17">
        <f>'AEO 2023 Table 35 Raw'!AG29</f>
        <v>72.268508999999995</v>
      </c>
      <c r="AE39" s="17">
        <f>'AEO 2023 Table 35 Raw'!AH29</f>
        <v>71.703384</v>
      </c>
      <c r="AF39" s="30">
        <f>'AEO 2023 Table 35 Raw'!AI29</f>
        <v>-1.0999999999999999E-2</v>
      </c>
    </row>
    <row r="40" spans="1:32" ht="15" customHeight="1">
      <c r="A40" s="7" t="s">
        <v>342</v>
      </c>
      <c r="B40" s="16" t="s">
        <v>343</v>
      </c>
      <c r="C40" s="17">
        <f>'AEO 2023 Table 35 Raw'!F30</f>
        <v>934.92602499999998</v>
      </c>
      <c r="D40" s="17">
        <f>'AEO 2023 Table 35 Raw'!G30</f>
        <v>881.33642599999996</v>
      </c>
      <c r="E40" s="17">
        <f>'AEO 2023 Table 35 Raw'!H30</f>
        <v>877.78143299999999</v>
      </c>
      <c r="F40" s="17">
        <f>'AEO 2023 Table 35 Raw'!I30</f>
        <v>879.652466</v>
      </c>
      <c r="G40" s="17">
        <f>'AEO 2023 Table 35 Raw'!J30</f>
        <v>872.19812000000002</v>
      </c>
      <c r="H40" s="17">
        <f>'AEO 2023 Table 35 Raw'!K30</f>
        <v>870.39056400000004</v>
      </c>
      <c r="I40" s="17">
        <f>'AEO 2023 Table 35 Raw'!L30</f>
        <v>863.97039800000005</v>
      </c>
      <c r="J40" s="17">
        <f>'AEO 2023 Table 35 Raw'!M30</f>
        <v>860.40081799999996</v>
      </c>
      <c r="K40" s="17">
        <f>'AEO 2023 Table 35 Raw'!N30</f>
        <v>857.82342500000004</v>
      </c>
      <c r="L40" s="17">
        <f>'AEO 2023 Table 35 Raw'!O30</f>
        <v>857.69720500000005</v>
      </c>
      <c r="M40" s="17">
        <f>'AEO 2023 Table 35 Raw'!P30</f>
        <v>857.52087400000005</v>
      </c>
      <c r="N40" s="17">
        <f>'AEO 2023 Table 35 Raw'!Q30</f>
        <v>857.67602499999998</v>
      </c>
      <c r="O40" s="17">
        <f>'AEO 2023 Table 35 Raw'!R30</f>
        <v>857.43133499999999</v>
      </c>
      <c r="P40" s="17">
        <f>'AEO 2023 Table 35 Raw'!S30</f>
        <v>857.17394999999999</v>
      </c>
      <c r="Q40" s="17">
        <f>'AEO 2023 Table 35 Raw'!T30</f>
        <v>856.35455300000001</v>
      </c>
      <c r="R40" s="17">
        <f>'AEO 2023 Table 35 Raw'!U30</f>
        <v>856.28808600000002</v>
      </c>
      <c r="S40" s="17">
        <f>'AEO 2023 Table 35 Raw'!V30</f>
        <v>855.97729500000003</v>
      </c>
      <c r="T40" s="17">
        <f>'AEO 2023 Table 35 Raw'!W30</f>
        <v>855.82580600000006</v>
      </c>
      <c r="U40" s="17">
        <f>'AEO 2023 Table 35 Raw'!X30</f>
        <v>856.450378</v>
      </c>
      <c r="V40" s="17">
        <f>'AEO 2023 Table 35 Raw'!Y30</f>
        <v>855.88885500000004</v>
      </c>
      <c r="W40" s="17">
        <f>'AEO 2023 Table 35 Raw'!Z30</f>
        <v>855.34832800000004</v>
      </c>
      <c r="X40" s="17">
        <f>'AEO 2023 Table 35 Raw'!AA30</f>
        <v>855.03765899999996</v>
      </c>
      <c r="Y40" s="17">
        <f>'AEO 2023 Table 35 Raw'!AB30</f>
        <v>854.86773700000003</v>
      </c>
      <c r="Z40" s="17">
        <f>'AEO 2023 Table 35 Raw'!AC30</f>
        <v>854.39483600000005</v>
      </c>
      <c r="AA40" s="17">
        <f>'AEO 2023 Table 35 Raw'!AD30</f>
        <v>854.49578899999995</v>
      </c>
      <c r="AB40" s="17">
        <f>'AEO 2023 Table 35 Raw'!AE30</f>
        <v>854.22436500000003</v>
      </c>
      <c r="AC40" s="17">
        <f>'AEO 2023 Table 35 Raw'!AF30</f>
        <v>852.29827899999998</v>
      </c>
      <c r="AD40" s="17">
        <f>'AEO 2023 Table 35 Raw'!AG30</f>
        <v>852.38147000000004</v>
      </c>
      <c r="AE40" s="17">
        <f>'AEO 2023 Table 35 Raw'!AH30</f>
        <v>852.10553000000004</v>
      </c>
      <c r="AF40" s="30">
        <f>'AEO 2023 Table 35 Raw'!AI30</f>
        <v>-3.0000000000000001E-3</v>
      </c>
    </row>
    <row r="41" spans="1:32" ht="15" customHeight="1">
      <c r="A41" s="7" t="s">
        <v>344</v>
      </c>
      <c r="B41" s="16" t="s">
        <v>345</v>
      </c>
      <c r="C41" s="17">
        <f>'AEO 2023 Table 35 Raw'!F31</f>
        <v>200.92266799999999</v>
      </c>
      <c r="D41" s="17">
        <f>'AEO 2023 Table 35 Raw'!G31</f>
        <v>193.35183699999999</v>
      </c>
      <c r="E41" s="17">
        <f>'AEO 2023 Table 35 Raw'!H31</f>
        <v>188.88559000000001</v>
      </c>
      <c r="F41" s="17">
        <f>'AEO 2023 Table 35 Raw'!I31</f>
        <v>186.08981299999999</v>
      </c>
      <c r="G41" s="17">
        <f>'AEO 2023 Table 35 Raw'!J31</f>
        <v>184.42950400000001</v>
      </c>
      <c r="H41" s="17">
        <f>'AEO 2023 Table 35 Raw'!K31</f>
        <v>182.75225800000001</v>
      </c>
      <c r="I41" s="17">
        <f>'AEO 2023 Table 35 Raw'!L31</f>
        <v>181.09939600000001</v>
      </c>
      <c r="J41" s="17">
        <f>'AEO 2023 Table 35 Raw'!M31</f>
        <v>179.22065699999999</v>
      </c>
      <c r="K41" s="17">
        <f>'AEO 2023 Table 35 Raw'!N31</f>
        <v>177.12664799999999</v>
      </c>
      <c r="L41" s="17">
        <f>'AEO 2023 Table 35 Raw'!O31</f>
        <v>175.21778900000001</v>
      </c>
      <c r="M41" s="17">
        <f>'AEO 2023 Table 35 Raw'!P31</f>
        <v>173.92523199999999</v>
      </c>
      <c r="N41" s="17">
        <f>'AEO 2023 Table 35 Raw'!Q31</f>
        <v>172.74378999999999</v>
      </c>
      <c r="O41" s="17">
        <f>'AEO 2023 Table 35 Raw'!R31</f>
        <v>171.224457</v>
      </c>
      <c r="P41" s="17">
        <f>'AEO 2023 Table 35 Raw'!S31</f>
        <v>169.736954</v>
      </c>
      <c r="Q41" s="17">
        <f>'AEO 2023 Table 35 Raw'!T31</f>
        <v>168.50386</v>
      </c>
      <c r="R41" s="17">
        <f>'AEO 2023 Table 35 Raw'!U31</f>
        <v>167.59060700000001</v>
      </c>
      <c r="S41" s="17">
        <f>'AEO 2023 Table 35 Raw'!V31</f>
        <v>166.872299</v>
      </c>
      <c r="T41" s="17">
        <f>'AEO 2023 Table 35 Raw'!W31</f>
        <v>166.23266599999999</v>
      </c>
      <c r="U41" s="17">
        <f>'AEO 2023 Table 35 Raw'!X31</f>
        <v>165.79002399999999</v>
      </c>
      <c r="V41" s="17">
        <f>'AEO 2023 Table 35 Raw'!Y31</f>
        <v>165.26821899999999</v>
      </c>
      <c r="W41" s="17">
        <f>'AEO 2023 Table 35 Raw'!Z31</f>
        <v>164.79155</v>
      </c>
      <c r="X41" s="17">
        <f>'AEO 2023 Table 35 Raw'!AA31</f>
        <v>164.32226600000001</v>
      </c>
      <c r="Y41" s="17">
        <f>'AEO 2023 Table 35 Raw'!AB31</f>
        <v>163.888306</v>
      </c>
      <c r="Z41" s="17">
        <f>'AEO 2023 Table 35 Raw'!AC31</f>
        <v>163.40126000000001</v>
      </c>
      <c r="AA41" s="17">
        <f>'AEO 2023 Table 35 Raw'!AD31</f>
        <v>162.96211199999999</v>
      </c>
      <c r="AB41" s="17">
        <f>'AEO 2023 Table 35 Raw'!AE31</f>
        <v>162.59707599999999</v>
      </c>
      <c r="AC41" s="17">
        <f>'AEO 2023 Table 35 Raw'!AF31</f>
        <v>162.268677</v>
      </c>
      <c r="AD41" s="17">
        <f>'AEO 2023 Table 35 Raw'!AG31</f>
        <v>162.15545700000001</v>
      </c>
      <c r="AE41" s="17">
        <f>'AEO 2023 Table 35 Raw'!AH31</f>
        <v>162.10635400000001</v>
      </c>
      <c r="AF41" s="30">
        <f>'AEO 2023 Table 35 Raw'!AI31</f>
        <v>-8.0000000000000002E-3</v>
      </c>
    </row>
    <row r="42" spans="1:32" ht="15" customHeight="1">
      <c r="A42" s="7" t="s">
        <v>346</v>
      </c>
      <c r="B42" s="16" t="s">
        <v>347</v>
      </c>
      <c r="C42" s="17">
        <f>'AEO 2023 Table 35 Raw'!F32</f>
        <v>523.72045900000001</v>
      </c>
      <c r="D42" s="17">
        <f>'AEO 2023 Table 35 Raw'!G32</f>
        <v>519.93841599999996</v>
      </c>
      <c r="E42" s="17">
        <f>'AEO 2023 Table 35 Raw'!H32</f>
        <v>533.38995399999999</v>
      </c>
      <c r="F42" s="17">
        <f>'AEO 2023 Table 35 Raw'!I32</f>
        <v>512.54736300000002</v>
      </c>
      <c r="G42" s="17">
        <f>'AEO 2023 Table 35 Raw'!J32</f>
        <v>490.27654999999999</v>
      </c>
      <c r="H42" s="17">
        <f>'AEO 2023 Table 35 Raw'!K32</f>
        <v>470.94931000000003</v>
      </c>
      <c r="I42" s="17">
        <f>'AEO 2023 Table 35 Raw'!L32</f>
        <v>478.15292399999998</v>
      </c>
      <c r="J42" s="17">
        <f>'AEO 2023 Table 35 Raw'!M32</f>
        <v>471.11038200000002</v>
      </c>
      <c r="K42" s="17">
        <f>'AEO 2023 Table 35 Raw'!N32</f>
        <v>465.75012199999998</v>
      </c>
      <c r="L42" s="17">
        <f>'AEO 2023 Table 35 Raw'!O32</f>
        <v>466.06607100000002</v>
      </c>
      <c r="M42" s="17">
        <f>'AEO 2023 Table 35 Raw'!P32</f>
        <v>469.51413000000002</v>
      </c>
      <c r="N42" s="17">
        <f>'AEO 2023 Table 35 Raw'!Q32</f>
        <v>472.41146900000001</v>
      </c>
      <c r="O42" s="17">
        <f>'AEO 2023 Table 35 Raw'!R32</f>
        <v>470.37924199999998</v>
      </c>
      <c r="P42" s="17">
        <f>'AEO 2023 Table 35 Raw'!S32</f>
        <v>470.10488900000001</v>
      </c>
      <c r="Q42" s="17">
        <f>'AEO 2023 Table 35 Raw'!T32</f>
        <v>467.416809</v>
      </c>
      <c r="R42" s="17">
        <f>'AEO 2023 Table 35 Raw'!U32</f>
        <v>467.62039199999998</v>
      </c>
      <c r="S42" s="17">
        <f>'AEO 2023 Table 35 Raw'!V32</f>
        <v>469.03002900000001</v>
      </c>
      <c r="T42" s="17">
        <f>'AEO 2023 Table 35 Raw'!W32</f>
        <v>467.46713299999999</v>
      </c>
      <c r="U42" s="17">
        <f>'AEO 2023 Table 35 Raw'!X32</f>
        <v>469.23397799999998</v>
      </c>
      <c r="V42" s="17">
        <f>'AEO 2023 Table 35 Raw'!Y32</f>
        <v>470.34136999999998</v>
      </c>
      <c r="W42" s="17">
        <f>'AEO 2023 Table 35 Raw'!Z32</f>
        <v>471.45013399999999</v>
      </c>
      <c r="X42" s="17">
        <f>'AEO 2023 Table 35 Raw'!AA32</f>
        <v>471.40566999999999</v>
      </c>
      <c r="Y42" s="17">
        <f>'AEO 2023 Table 35 Raw'!AB32</f>
        <v>469.35632299999997</v>
      </c>
      <c r="Z42" s="17">
        <f>'AEO 2023 Table 35 Raw'!AC32</f>
        <v>469.03152499999999</v>
      </c>
      <c r="AA42" s="17">
        <f>'AEO 2023 Table 35 Raw'!AD32</f>
        <v>469.47219799999999</v>
      </c>
      <c r="AB42" s="17">
        <f>'AEO 2023 Table 35 Raw'!AE32</f>
        <v>470.77539100000001</v>
      </c>
      <c r="AC42" s="17">
        <f>'AEO 2023 Table 35 Raw'!AF32</f>
        <v>472.10351600000001</v>
      </c>
      <c r="AD42" s="17">
        <f>'AEO 2023 Table 35 Raw'!AG32</f>
        <v>473.252411</v>
      </c>
      <c r="AE42" s="17">
        <f>'AEO 2023 Table 35 Raw'!AH32</f>
        <v>475.92453</v>
      </c>
      <c r="AF42" s="30">
        <f>'AEO 2023 Table 35 Raw'!AI32</f>
        <v>-3.0000000000000001E-3</v>
      </c>
    </row>
    <row r="43" spans="1:32" ht="15" customHeight="1">
      <c r="A43" s="7" t="s">
        <v>348</v>
      </c>
      <c r="B43" s="16" t="s">
        <v>339</v>
      </c>
      <c r="C43" s="17">
        <f>'AEO 2023 Table 35 Raw'!F33</f>
        <v>480.014252</v>
      </c>
      <c r="D43" s="17">
        <f>'AEO 2023 Table 35 Raw'!G33</f>
        <v>475.06915300000003</v>
      </c>
      <c r="E43" s="17">
        <f>'AEO 2023 Table 35 Raw'!H33</f>
        <v>487.58801299999999</v>
      </c>
      <c r="F43" s="17">
        <f>'AEO 2023 Table 35 Raw'!I33</f>
        <v>466.25399800000002</v>
      </c>
      <c r="G43" s="17">
        <f>'AEO 2023 Table 35 Raw'!J33</f>
        <v>443.44238300000001</v>
      </c>
      <c r="H43" s="17">
        <f>'AEO 2023 Table 35 Raw'!K33</f>
        <v>423.669464</v>
      </c>
      <c r="I43" s="17">
        <f>'AEO 2023 Table 35 Raw'!L33</f>
        <v>430.49002100000001</v>
      </c>
      <c r="J43" s="17">
        <f>'AEO 2023 Table 35 Raw'!M33</f>
        <v>423.11758400000002</v>
      </c>
      <c r="K43" s="17">
        <f>'AEO 2023 Table 35 Raw'!N33</f>
        <v>417.39361600000001</v>
      </c>
      <c r="L43" s="17">
        <f>'AEO 2023 Table 35 Raw'!O33</f>
        <v>417.42453</v>
      </c>
      <c r="M43" s="17">
        <f>'AEO 2023 Table 35 Raw'!P33</f>
        <v>420.523865</v>
      </c>
      <c r="N43" s="17">
        <f>'AEO 2023 Table 35 Raw'!Q33</f>
        <v>423.08718900000002</v>
      </c>
      <c r="O43" s="17">
        <f>'AEO 2023 Table 35 Raw'!R33</f>
        <v>420.76303100000001</v>
      </c>
      <c r="P43" s="17">
        <f>'AEO 2023 Table 35 Raw'!S33</f>
        <v>420.27957199999997</v>
      </c>
      <c r="Q43" s="17">
        <f>'AEO 2023 Table 35 Raw'!T33</f>
        <v>417.419556</v>
      </c>
      <c r="R43" s="17">
        <f>'AEO 2023 Table 35 Raw'!U33</f>
        <v>417.43130500000001</v>
      </c>
      <c r="S43" s="17">
        <f>'AEO 2023 Table 35 Raw'!V33</f>
        <v>418.61416600000001</v>
      </c>
      <c r="T43" s="17">
        <f>'AEO 2023 Table 35 Raw'!W33</f>
        <v>416.69549599999999</v>
      </c>
      <c r="U43" s="17">
        <f>'AEO 2023 Table 35 Raw'!X33</f>
        <v>418.10549900000001</v>
      </c>
      <c r="V43" s="17">
        <f>'AEO 2023 Table 35 Raw'!Y33</f>
        <v>418.83862299999998</v>
      </c>
      <c r="W43" s="17">
        <f>'AEO 2023 Table 35 Raw'!Z33</f>
        <v>419.51144399999998</v>
      </c>
      <c r="X43" s="17">
        <f>'AEO 2023 Table 35 Raw'!AA33</f>
        <v>419.10952800000001</v>
      </c>
      <c r="Y43" s="17">
        <f>'AEO 2023 Table 35 Raw'!AB33</f>
        <v>416.69879200000003</v>
      </c>
      <c r="Z43" s="17">
        <f>'AEO 2023 Table 35 Raw'!AC33</f>
        <v>415.93130500000001</v>
      </c>
      <c r="AA43" s="17">
        <f>'AEO 2023 Table 35 Raw'!AD33</f>
        <v>415.897583</v>
      </c>
      <c r="AB43" s="17">
        <f>'AEO 2023 Table 35 Raw'!AE33</f>
        <v>416.65377799999999</v>
      </c>
      <c r="AC43" s="17">
        <f>'AEO 2023 Table 35 Raw'!AF33</f>
        <v>417.404785</v>
      </c>
      <c r="AD43" s="17">
        <f>'AEO 2023 Table 35 Raw'!AG33</f>
        <v>417.98327599999999</v>
      </c>
      <c r="AE43" s="17">
        <f>'AEO 2023 Table 35 Raw'!AH33</f>
        <v>420.001282</v>
      </c>
      <c r="AF43" s="30">
        <f>'AEO 2023 Table 35 Raw'!AI33</f>
        <v>-5.0000000000000001E-3</v>
      </c>
    </row>
    <row r="44" spans="1:32" ht="15" customHeight="1">
      <c r="A44" s="7" t="s">
        <v>349</v>
      </c>
      <c r="B44" s="16" t="s">
        <v>350</v>
      </c>
      <c r="C44" s="17">
        <f>'AEO 2023 Table 35 Raw'!F34</f>
        <v>43.706237999999999</v>
      </c>
      <c r="D44" s="17">
        <f>'AEO 2023 Table 35 Raw'!G34</f>
        <v>44.869281999999998</v>
      </c>
      <c r="E44" s="17">
        <f>'AEO 2023 Table 35 Raw'!H34</f>
        <v>45.801918000000001</v>
      </c>
      <c r="F44" s="17">
        <f>'AEO 2023 Table 35 Raw'!I34</f>
        <v>46.293396000000001</v>
      </c>
      <c r="G44" s="17">
        <f>'AEO 2023 Table 35 Raw'!J34</f>
        <v>46.834175000000002</v>
      </c>
      <c r="H44" s="17">
        <f>'AEO 2023 Table 35 Raw'!K34</f>
        <v>47.279850000000003</v>
      </c>
      <c r="I44" s="17">
        <f>'AEO 2023 Table 35 Raw'!L34</f>
        <v>47.662909999999997</v>
      </c>
      <c r="J44" s="17">
        <f>'AEO 2023 Table 35 Raw'!M34</f>
        <v>47.992789999999999</v>
      </c>
      <c r="K44" s="17">
        <f>'AEO 2023 Table 35 Raw'!N34</f>
        <v>48.356518000000001</v>
      </c>
      <c r="L44" s="17">
        <f>'AEO 2023 Table 35 Raw'!O34</f>
        <v>48.641548</v>
      </c>
      <c r="M44" s="17">
        <f>'AEO 2023 Table 35 Raw'!P34</f>
        <v>48.990273000000002</v>
      </c>
      <c r="N44" s="17">
        <f>'AEO 2023 Table 35 Raw'!Q34</f>
        <v>49.324283999999999</v>
      </c>
      <c r="O44" s="17">
        <f>'AEO 2023 Table 35 Raw'!R34</f>
        <v>49.616211</v>
      </c>
      <c r="P44" s="17">
        <f>'AEO 2023 Table 35 Raw'!S34</f>
        <v>49.825310000000002</v>
      </c>
      <c r="Q44" s="17">
        <f>'AEO 2023 Table 35 Raw'!T34</f>
        <v>49.997238000000003</v>
      </c>
      <c r="R44" s="17">
        <f>'AEO 2023 Table 35 Raw'!U34</f>
        <v>50.189087000000001</v>
      </c>
      <c r="S44" s="17">
        <f>'AEO 2023 Table 35 Raw'!V34</f>
        <v>50.415855000000001</v>
      </c>
      <c r="T44" s="17">
        <f>'AEO 2023 Table 35 Raw'!W34</f>
        <v>50.771625999999998</v>
      </c>
      <c r="U44" s="17">
        <f>'AEO 2023 Table 35 Raw'!X34</f>
        <v>51.128483000000003</v>
      </c>
      <c r="V44" s="17">
        <f>'AEO 2023 Table 35 Raw'!Y34</f>
        <v>51.502738999999998</v>
      </c>
      <c r="W44" s="17">
        <f>'AEO 2023 Table 35 Raw'!Z34</f>
        <v>51.938693999999998</v>
      </c>
      <c r="X44" s="17">
        <f>'AEO 2023 Table 35 Raw'!AA34</f>
        <v>52.296149999999997</v>
      </c>
      <c r="Y44" s="17">
        <f>'AEO 2023 Table 35 Raw'!AB34</f>
        <v>52.657524000000002</v>
      </c>
      <c r="Z44" s="17">
        <f>'AEO 2023 Table 35 Raw'!AC34</f>
        <v>53.100223999999997</v>
      </c>
      <c r="AA44" s="17">
        <f>'AEO 2023 Table 35 Raw'!AD34</f>
        <v>53.574618999999998</v>
      </c>
      <c r="AB44" s="17">
        <f>'AEO 2023 Table 35 Raw'!AE34</f>
        <v>54.121613000000004</v>
      </c>
      <c r="AC44" s="17">
        <f>'AEO 2023 Table 35 Raw'!AF34</f>
        <v>54.698737999999999</v>
      </c>
      <c r="AD44" s="17">
        <f>'AEO 2023 Table 35 Raw'!AG34</f>
        <v>55.269134999999999</v>
      </c>
      <c r="AE44" s="17">
        <f>'AEO 2023 Table 35 Raw'!AH34</f>
        <v>55.923248000000001</v>
      </c>
      <c r="AF44" s="30">
        <f>'AEO 2023 Table 35 Raw'!AI34</f>
        <v>8.9999999999999993E-3</v>
      </c>
    </row>
    <row r="45" spans="1:32" ht="15" customHeight="1">
      <c r="A45" s="7" t="s">
        <v>351</v>
      </c>
      <c r="B45" s="16" t="s">
        <v>352</v>
      </c>
      <c r="C45" s="17">
        <f>'AEO 2023 Table 35 Raw'!F35</f>
        <v>7.5938879999999997</v>
      </c>
      <c r="D45" s="17">
        <f>'AEO 2023 Table 35 Raw'!G35</f>
        <v>8.2630470000000003</v>
      </c>
      <c r="E45" s="17">
        <f>'AEO 2023 Table 35 Raw'!H35</f>
        <v>8.7919619999999998</v>
      </c>
      <c r="F45" s="17">
        <f>'AEO 2023 Table 35 Raw'!I35</f>
        <v>9.2096029999999995</v>
      </c>
      <c r="G45" s="17">
        <f>'AEO 2023 Table 35 Raw'!J35</f>
        <v>9.5422510000000003</v>
      </c>
      <c r="H45" s="17">
        <f>'AEO 2023 Table 35 Raw'!K35</f>
        <v>9.8099410000000002</v>
      </c>
      <c r="I45" s="17">
        <f>'AEO 2023 Table 35 Raw'!L35</f>
        <v>10.02899</v>
      </c>
      <c r="J45" s="17">
        <f>'AEO 2023 Table 35 Raw'!M35</f>
        <v>10.211987000000001</v>
      </c>
      <c r="K45" s="17">
        <f>'AEO 2023 Table 35 Raw'!N35</f>
        <v>10.368161000000001</v>
      </c>
      <c r="L45" s="17">
        <f>'AEO 2023 Table 35 Raw'!O35</f>
        <v>10.503344</v>
      </c>
      <c r="M45" s="17">
        <f>'AEO 2023 Table 35 Raw'!P35</f>
        <v>10.620272999999999</v>
      </c>
      <c r="N45" s="17">
        <f>'AEO 2023 Table 35 Raw'!Q35</f>
        <v>10.720643000000001</v>
      </c>
      <c r="O45" s="17">
        <f>'AEO 2023 Table 35 Raw'!R35</f>
        <v>10.807645000000001</v>
      </c>
      <c r="P45" s="17">
        <f>'AEO 2023 Table 35 Raw'!S35</f>
        <v>10.883571999999999</v>
      </c>
      <c r="Q45" s="17">
        <f>'AEO 2023 Table 35 Raw'!T35</f>
        <v>10.949845</v>
      </c>
      <c r="R45" s="17">
        <f>'AEO 2023 Table 35 Raw'!U35</f>
        <v>11.007377999999999</v>
      </c>
      <c r="S45" s="17">
        <f>'AEO 2023 Table 35 Raw'!V35</f>
        <v>11.064802</v>
      </c>
      <c r="T45" s="17">
        <f>'AEO 2023 Table 35 Raw'!W35</f>
        <v>11.119361</v>
      </c>
      <c r="U45" s="17">
        <f>'AEO 2023 Table 35 Raw'!X35</f>
        <v>11.170999999999999</v>
      </c>
      <c r="V45" s="17">
        <f>'AEO 2023 Table 35 Raw'!Y35</f>
        <v>11.220095000000001</v>
      </c>
      <c r="W45" s="17">
        <f>'AEO 2023 Table 35 Raw'!Z35</f>
        <v>11.267810000000001</v>
      </c>
      <c r="X45" s="17">
        <f>'AEO 2023 Table 35 Raw'!AA35</f>
        <v>11.314655</v>
      </c>
      <c r="Y45" s="17">
        <f>'AEO 2023 Table 35 Raw'!AB35</f>
        <v>11.360689000000001</v>
      </c>
      <c r="Z45" s="17">
        <f>'AEO 2023 Table 35 Raw'!AC35</f>
        <v>11.405897</v>
      </c>
      <c r="AA45" s="17">
        <f>'AEO 2023 Table 35 Raw'!AD35</f>
        <v>11.450664</v>
      </c>
      <c r="AB45" s="17">
        <f>'AEO 2023 Table 35 Raw'!AE35</f>
        <v>11.494776</v>
      </c>
      <c r="AC45" s="17">
        <f>'AEO 2023 Table 35 Raw'!AF35</f>
        <v>11.538198</v>
      </c>
      <c r="AD45" s="17">
        <f>'AEO 2023 Table 35 Raw'!AG35</f>
        <v>11.581163999999999</v>
      </c>
      <c r="AE45" s="17">
        <f>'AEO 2023 Table 35 Raw'!AH35</f>
        <v>11.623652</v>
      </c>
      <c r="AF45" s="30">
        <f>'AEO 2023 Table 35 Raw'!AI35</f>
        <v>1.4999999999999999E-2</v>
      </c>
    </row>
    <row r="46" spans="1:32" ht="15" customHeight="1">
      <c r="A46" s="7" t="s">
        <v>353</v>
      </c>
      <c r="B46" s="16" t="s">
        <v>354</v>
      </c>
      <c r="C46" s="17">
        <f>'AEO 2023 Table 35 Raw'!F36</f>
        <v>16.936598</v>
      </c>
      <c r="D46" s="17">
        <f>'AEO 2023 Table 35 Raw'!G36</f>
        <v>17.052160000000001</v>
      </c>
      <c r="E46" s="17">
        <f>'AEO 2023 Table 35 Raw'!H36</f>
        <v>17.163343000000001</v>
      </c>
      <c r="F46" s="17">
        <f>'AEO 2023 Table 35 Raw'!I36</f>
        <v>17.108516999999999</v>
      </c>
      <c r="G46" s="17">
        <f>'AEO 2023 Table 35 Raw'!J36</f>
        <v>17.156970999999999</v>
      </c>
      <c r="H46" s="17">
        <f>'AEO 2023 Table 35 Raw'!K36</f>
        <v>17.218192999999999</v>
      </c>
      <c r="I46" s="17">
        <f>'AEO 2023 Table 35 Raw'!L36</f>
        <v>17.293527999999998</v>
      </c>
      <c r="J46" s="17">
        <f>'AEO 2023 Table 35 Raw'!M36</f>
        <v>17.372610000000002</v>
      </c>
      <c r="K46" s="17">
        <f>'AEO 2023 Table 35 Raw'!N36</f>
        <v>17.426532999999999</v>
      </c>
      <c r="L46" s="17">
        <f>'AEO 2023 Table 35 Raw'!O36</f>
        <v>17.461701999999999</v>
      </c>
      <c r="M46" s="17">
        <f>'AEO 2023 Table 35 Raw'!P36</f>
        <v>17.548985999999999</v>
      </c>
      <c r="N46" s="17">
        <f>'AEO 2023 Table 35 Raw'!Q36</f>
        <v>17.645508</v>
      </c>
      <c r="O46" s="17">
        <f>'AEO 2023 Table 35 Raw'!R36</f>
        <v>17.733782000000001</v>
      </c>
      <c r="P46" s="17">
        <f>'AEO 2023 Table 35 Raw'!S36</f>
        <v>17.787050000000001</v>
      </c>
      <c r="Q46" s="17">
        <f>'AEO 2023 Table 35 Raw'!T36</f>
        <v>17.832616999999999</v>
      </c>
      <c r="R46" s="17">
        <f>'AEO 2023 Table 35 Raw'!U36</f>
        <v>17.896051</v>
      </c>
      <c r="S46" s="17">
        <f>'AEO 2023 Table 35 Raw'!V36</f>
        <v>17.980246999999999</v>
      </c>
      <c r="T46" s="17">
        <f>'AEO 2023 Table 35 Raw'!W36</f>
        <v>18.065006</v>
      </c>
      <c r="U46" s="17">
        <f>'AEO 2023 Table 35 Raw'!X36</f>
        <v>18.145489000000001</v>
      </c>
      <c r="V46" s="17">
        <f>'AEO 2023 Table 35 Raw'!Y36</f>
        <v>18.261627000000001</v>
      </c>
      <c r="W46" s="17">
        <f>'AEO 2023 Table 35 Raw'!Z36</f>
        <v>18.414162000000001</v>
      </c>
      <c r="X46" s="17">
        <f>'AEO 2023 Table 35 Raw'!AA36</f>
        <v>18.525410000000001</v>
      </c>
      <c r="Y46" s="17">
        <f>'AEO 2023 Table 35 Raw'!AB36</f>
        <v>18.636206000000001</v>
      </c>
      <c r="Z46" s="17">
        <f>'AEO 2023 Table 35 Raw'!AC36</f>
        <v>18.767868</v>
      </c>
      <c r="AA46" s="17">
        <f>'AEO 2023 Table 35 Raw'!AD36</f>
        <v>18.906137000000001</v>
      </c>
      <c r="AB46" s="17">
        <f>'AEO 2023 Table 35 Raw'!AE36</f>
        <v>19.084285999999999</v>
      </c>
      <c r="AC46" s="17">
        <f>'AEO 2023 Table 35 Raw'!AF36</f>
        <v>19.280042999999999</v>
      </c>
      <c r="AD46" s="17">
        <f>'AEO 2023 Table 35 Raw'!AG36</f>
        <v>19.455190999999999</v>
      </c>
      <c r="AE46" s="17">
        <f>'AEO 2023 Table 35 Raw'!AH36</f>
        <v>19.687010000000001</v>
      </c>
      <c r="AF46" s="30">
        <f>'AEO 2023 Table 35 Raw'!AI36</f>
        <v>5.0000000000000001E-3</v>
      </c>
    </row>
    <row r="47" spans="1:32" ht="15" customHeight="1">
      <c r="A47" s="7" t="s">
        <v>355</v>
      </c>
      <c r="B47" s="16" t="s">
        <v>356</v>
      </c>
      <c r="C47" s="17">
        <f>'AEO 2023 Table 35 Raw'!F37</f>
        <v>19.175753</v>
      </c>
      <c r="D47" s="17">
        <f>'AEO 2023 Table 35 Raw'!G37</f>
        <v>19.554075000000001</v>
      </c>
      <c r="E47" s="17">
        <f>'AEO 2023 Table 35 Raw'!H37</f>
        <v>19.846613000000001</v>
      </c>
      <c r="F47" s="17">
        <f>'AEO 2023 Table 35 Raw'!I37</f>
        <v>19.975276999999998</v>
      </c>
      <c r="G47" s="17">
        <f>'AEO 2023 Table 35 Raw'!J37</f>
        <v>20.134955999999999</v>
      </c>
      <c r="H47" s="17">
        <f>'AEO 2023 Table 35 Raw'!K37</f>
        <v>20.251716999999999</v>
      </c>
      <c r="I47" s="17">
        <f>'AEO 2023 Table 35 Raw'!L37</f>
        <v>20.340392999999999</v>
      </c>
      <c r="J47" s="17">
        <f>'AEO 2023 Table 35 Raw'!M37</f>
        <v>20.408192</v>
      </c>
      <c r="K47" s="17">
        <f>'AEO 2023 Table 35 Raw'!N37</f>
        <v>20.561827000000001</v>
      </c>
      <c r="L47" s="17">
        <f>'AEO 2023 Table 35 Raw'!O37</f>
        <v>20.676501999999999</v>
      </c>
      <c r="M47" s="17">
        <f>'AEO 2023 Table 35 Raw'!P37</f>
        <v>20.821014000000002</v>
      </c>
      <c r="N47" s="17">
        <f>'AEO 2023 Table 35 Raw'!Q37</f>
        <v>20.958134000000001</v>
      </c>
      <c r="O47" s="17">
        <f>'AEO 2023 Table 35 Raw'!R37</f>
        <v>21.074787000000001</v>
      </c>
      <c r="P47" s="17">
        <f>'AEO 2023 Table 35 Raw'!S37</f>
        <v>21.154689999999999</v>
      </c>
      <c r="Q47" s="17">
        <f>'AEO 2023 Table 35 Raw'!T37</f>
        <v>21.214779</v>
      </c>
      <c r="R47" s="17">
        <f>'AEO 2023 Table 35 Raw'!U37</f>
        <v>21.28566</v>
      </c>
      <c r="S47" s="17">
        <f>'AEO 2023 Table 35 Raw'!V37</f>
        <v>21.370804</v>
      </c>
      <c r="T47" s="17">
        <f>'AEO 2023 Table 35 Raw'!W37</f>
        <v>21.587259</v>
      </c>
      <c r="U47" s="17">
        <f>'AEO 2023 Table 35 Raw'!X37</f>
        <v>21.811993000000001</v>
      </c>
      <c r="V47" s="17">
        <f>'AEO 2023 Table 35 Raw'!Y37</f>
        <v>22.021018999999999</v>
      </c>
      <c r="W47" s="17">
        <f>'AEO 2023 Table 35 Raw'!Z37</f>
        <v>22.256723000000001</v>
      </c>
      <c r="X47" s="17">
        <f>'AEO 2023 Table 35 Raw'!AA37</f>
        <v>22.456087</v>
      </c>
      <c r="Y47" s="17">
        <f>'AEO 2023 Table 35 Raw'!AB37</f>
        <v>22.660629</v>
      </c>
      <c r="Z47" s="17">
        <f>'AEO 2023 Table 35 Raw'!AC37</f>
        <v>22.926456000000002</v>
      </c>
      <c r="AA47" s="17">
        <f>'AEO 2023 Table 35 Raw'!AD37</f>
        <v>23.217818999999999</v>
      </c>
      <c r="AB47" s="17">
        <f>'AEO 2023 Table 35 Raw'!AE37</f>
        <v>23.542549000000001</v>
      </c>
      <c r="AC47" s="17">
        <f>'AEO 2023 Table 35 Raw'!AF37</f>
        <v>23.880496999999998</v>
      </c>
      <c r="AD47" s="17">
        <f>'AEO 2023 Table 35 Raw'!AG37</f>
        <v>24.232780000000002</v>
      </c>
      <c r="AE47" s="17">
        <f>'AEO 2023 Table 35 Raw'!AH37</f>
        <v>24.612587000000001</v>
      </c>
      <c r="AF47" s="30">
        <f>'AEO 2023 Table 35 Raw'!AI37</f>
        <v>8.9999999999999993E-3</v>
      </c>
    </row>
    <row r="48" spans="1:32" ht="15" customHeight="1">
      <c r="A48" s="7" t="s">
        <v>357</v>
      </c>
      <c r="B48" s="16" t="s">
        <v>358</v>
      </c>
      <c r="C48" s="17">
        <f>'AEO 2023 Table 35 Raw'!F38</f>
        <v>125.899567</v>
      </c>
      <c r="D48" s="17">
        <f>'AEO 2023 Table 35 Raw'!G38</f>
        <v>125.37957</v>
      </c>
      <c r="E48" s="17">
        <f>'AEO 2023 Table 35 Raw'!H38</f>
        <v>125.029449</v>
      </c>
      <c r="F48" s="17">
        <f>'AEO 2023 Table 35 Raw'!I38</f>
        <v>124.801453</v>
      </c>
      <c r="G48" s="17">
        <f>'AEO 2023 Table 35 Raw'!J38</f>
        <v>124.69525899999999</v>
      </c>
      <c r="H48" s="17">
        <f>'AEO 2023 Table 35 Raw'!K38</f>
        <v>124.384125</v>
      </c>
      <c r="I48" s="17">
        <f>'AEO 2023 Table 35 Raw'!L38</f>
        <v>124.116241</v>
      </c>
      <c r="J48" s="17">
        <f>'AEO 2023 Table 35 Raw'!M38</f>
        <v>123.91597</v>
      </c>
      <c r="K48" s="17">
        <f>'AEO 2023 Table 35 Raw'!N38</f>
        <v>123.706886</v>
      </c>
      <c r="L48" s="17">
        <f>'AEO 2023 Table 35 Raw'!O38</f>
        <v>123.50303599999999</v>
      </c>
      <c r="M48" s="17">
        <f>'AEO 2023 Table 35 Raw'!P38</f>
        <v>123.399162</v>
      </c>
      <c r="N48" s="17">
        <f>'AEO 2023 Table 35 Raw'!Q38</f>
        <v>123.350677</v>
      </c>
      <c r="O48" s="17">
        <f>'AEO 2023 Table 35 Raw'!R38</f>
        <v>123.229088</v>
      </c>
      <c r="P48" s="17">
        <f>'AEO 2023 Table 35 Raw'!S38</f>
        <v>123.060562</v>
      </c>
      <c r="Q48" s="17">
        <f>'AEO 2023 Table 35 Raw'!T38</f>
        <v>122.913391</v>
      </c>
      <c r="R48" s="17">
        <f>'AEO 2023 Table 35 Raw'!U38</f>
        <v>122.84301000000001</v>
      </c>
      <c r="S48" s="17">
        <f>'AEO 2023 Table 35 Raw'!V38</f>
        <v>122.868729</v>
      </c>
      <c r="T48" s="17">
        <f>'AEO 2023 Table 35 Raw'!W38</f>
        <v>122.974594</v>
      </c>
      <c r="U48" s="17">
        <f>'AEO 2023 Table 35 Raw'!X38</f>
        <v>123.115875</v>
      </c>
      <c r="V48" s="17">
        <f>'AEO 2023 Table 35 Raw'!Y38</f>
        <v>123.245796</v>
      </c>
      <c r="W48" s="17">
        <f>'AEO 2023 Table 35 Raw'!Z38</f>
        <v>123.376953</v>
      </c>
      <c r="X48" s="17">
        <f>'AEO 2023 Table 35 Raw'!AA38</f>
        <v>123.487793</v>
      </c>
      <c r="Y48" s="17">
        <f>'AEO 2023 Table 35 Raw'!AB38</f>
        <v>123.561241</v>
      </c>
      <c r="Z48" s="17">
        <f>'AEO 2023 Table 35 Raw'!AC38</f>
        <v>123.627106</v>
      </c>
      <c r="AA48" s="17">
        <f>'AEO 2023 Table 35 Raw'!AD38</f>
        <v>123.712143</v>
      </c>
      <c r="AB48" s="17">
        <f>'AEO 2023 Table 35 Raw'!AE38</f>
        <v>123.813293</v>
      </c>
      <c r="AC48" s="17">
        <f>'AEO 2023 Table 35 Raw'!AF38</f>
        <v>123.925461</v>
      </c>
      <c r="AD48" s="17">
        <f>'AEO 2023 Table 35 Raw'!AG38</f>
        <v>124.036011</v>
      </c>
      <c r="AE48" s="17">
        <f>'AEO 2023 Table 35 Raw'!AH38</f>
        <v>124.148155</v>
      </c>
      <c r="AF48" s="30">
        <f>'AEO 2023 Table 35 Raw'!AI38</f>
        <v>-1E-3</v>
      </c>
    </row>
    <row r="49" spans="1:32" ht="15" customHeight="1">
      <c r="A49" s="7" t="s">
        <v>359</v>
      </c>
      <c r="B49" s="16" t="s">
        <v>360</v>
      </c>
      <c r="C49" s="17">
        <f>'AEO 2023 Table 35 Raw'!F39</f>
        <v>905.84051499999998</v>
      </c>
      <c r="D49" s="17">
        <f>'AEO 2023 Table 35 Raw'!G39</f>
        <v>818.09411599999999</v>
      </c>
      <c r="E49" s="17">
        <f>'AEO 2023 Table 35 Raw'!H39</f>
        <v>750.09661900000003</v>
      </c>
      <c r="F49" s="17">
        <f>'AEO 2023 Table 35 Raw'!I39</f>
        <v>710.96716300000003</v>
      </c>
      <c r="G49" s="17">
        <f>'AEO 2023 Table 35 Raw'!J39</f>
        <v>683.21826199999998</v>
      </c>
      <c r="H49" s="17">
        <f>'AEO 2023 Table 35 Raw'!K39</f>
        <v>644.43926999999996</v>
      </c>
      <c r="I49" s="17">
        <f>'AEO 2023 Table 35 Raw'!L39</f>
        <v>605.86267099999998</v>
      </c>
      <c r="J49" s="17">
        <f>'AEO 2023 Table 35 Raw'!M39</f>
        <v>601.30419900000004</v>
      </c>
      <c r="K49" s="17">
        <f>'AEO 2023 Table 35 Raw'!N39</f>
        <v>598.79797399999995</v>
      </c>
      <c r="L49" s="17">
        <f>'AEO 2023 Table 35 Raw'!O39</f>
        <v>601.64556900000002</v>
      </c>
      <c r="M49" s="17">
        <f>'AEO 2023 Table 35 Raw'!P39</f>
        <v>607.49902299999997</v>
      </c>
      <c r="N49" s="17">
        <f>'AEO 2023 Table 35 Raw'!Q39</f>
        <v>616.87213099999997</v>
      </c>
      <c r="O49" s="17">
        <f>'AEO 2023 Table 35 Raw'!R39</f>
        <v>619.33136000000002</v>
      </c>
      <c r="P49" s="17">
        <f>'AEO 2023 Table 35 Raw'!S39</f>
        <v>618.89520300000004</v>
      </c>
      <c r="Q49" s="17">
        <f>'AEO 2023 Table 35 Raw'!T39</f>
        <v>614.86352499999998</v>
      </c>
      <c r="R49" s="17">
        <f>'AEO 2023 Table 35 Raw'!U39</f>
        <v>616.29345699999999</v>
      </c>
      <c r="S49" s="17">
        <f>'AEO 2023 Table 35 Raw'!V39</f>
        <v>618.09863299999995</v>
      </c>
      <c r="T49" s="17">
        <f>'AEO 2023 Table 35 Raw'!W39</f>
        <v>620.82605000000001</v>
      </c>
      <c r="U49" s="17">
        <f>'AEO 2023 Table 35 Raw'!X39</f>
        <v>630.065247</v>
      </c>
      <c r="V49" s="17">
        <f>'AEO 2023 Table 35 Raw'!Y39</f>
        <v>633.584656</v>
      </c>
      <c r="W49" s="17">
        <f>'AEO 2023 Table 35 Raw'!Z39</f>
        <v>638.84863299999995</v>
      </c>
      <c r="X49" s="17">
        <f>'AEO 2023 Table 35 Raw'!AA39</f>
        <v>640.74737500000003</v>
      </c>
      <c r="Y49" s="17">
        <f>'AEO 2023 Table 35 Raw'!AB39</f>
        <v>649.03729199999998</v>
      </c>
      <c r="Z49" s="17">
        <f>'AEO 2023 Table 35 Raw'!AC39</f>
        <v>651.38903800000003</v>
      </c>
      <c r="AA49" s="17">
        <f>'AEO 2023 Table 35 Raw'!AD39</f>
        <v>659.87823500000002</v>
      </c>
      <c r="AB49" s="17">
        <f>'AEO 2023 Table 35 Raw'!AE39</f>
        <v>665.15924099999995</v>
      </c>
      <c r="AC49" s="17">
        <f>'AEO 2023 Table 35 Raw'!AF39</f>
        <v>671.01440400000001</v>
      </c>
      <c r="AD49" s="17">
        <f>'AEO 2023 Table 35 Raw'!AG39</f>
        <v>672.52191200000004</v>
      </c>
      <c r="AE49" s="17">
        <f>'AEO 2023 Table 35 Raw'!AH39</f>
        <v>679.09362799999997</v>
      </c>
      <c r="AF49" s="30">
        <f>'AEO 2023 Table 35 Raw'!AI39</f>
        <v>-0.01</v>
      </c>
    </row>
    <row r="50" spans="1:32" ht="12" customHeight="1">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30"/>
    </row>
    <row r="51" spans="1:32" ht="15" customHeight="1">
      <c r="A51" s="7" t="s">
        <v>361</v>
      </c>
      <c r="B51" s="15" t="s">
        <v>362</v>
      </c>
      <c r="C51" s="17">
        <f>'AEO 2023 Table 35 Raw'!F40</f>
        <v>332.52310199999999</v>
      </c>
      <c r="D51" s="17">
        <f>'AEO 2023 Table 35 Raw'!G40</f>
        <v>377.97052000000002</v>
      </c>
      <c r="E51" s="17">
        <f>'AEO 2023 Table 35 Raw'!H40</f>
        <v>384.00460800000002</v>
      </c>
      <c r="F51" s="17">
        <f>'AEO 2023 Table 35 Raw'!I40</f>
        <v>408.78292800000003</v>
      </c>
      <c r="G51" s="17">
        <f>'AEO 2023 Table 35 Raw'!J40</f>
        <v>446.260651</v>
      </c>
      <c r="H51" s="17">
        <f>'AEO 2023 Table 35 Raw'!K40</f>
        <v>477.17263800000001</v>
      </c>
      <c r="I51" s="17">
        <f>'AEO 2023 Table 35 Raw'!L40</f>
        <v>503.61007699999999</v>
      </c>
      <c r="J51" s="17">
        <f>'AEO 2023 Table 35 Raw'!M40</f>
        <v>527.57086200000003</v>
      </c>
      <c r="K51" s="17">
        <f>'AEO 2023 Table 35 Raw'!N40</f>
        <v>577.96905500000003</v>
      </c>
      <c r="L51" s="17">
        <f>'AEO 2023 Table 35 Raw'!O40</f>
        <v>628.36724900000002</v>
      </c>
      <c r="M51" s="17">
        <f>'AEO 2023 Table 35 Raw'!P40</f>
        <v>680.00372300000004</v>
      </c>
      <c r="N51" s="17">
        <f>'AEO 2023 Table 35 Raw'!Q40</f>
        <v>729.163635</v>
      </c>
      <c r="O51" s="17">
        <f>'AEO 2023 Table 35 Raw'!R40</f>
        <v>779.56182899999999</v>
      </c>
      <c r="P51" s="17">
        <f>'AEO 2023 Table 35 Raw'!S40</f>
        <v>813.16064500000005</v>
      </c>
      <c r="Q51" s="17">
        <f>'AEO 2023 Table 35 Raw'!T40</f>
        <v>831.19830300000001</v>
      </c>
      <c r="R51" s="17">
        <f>'AEO 2023 Table 35 Raw'!U40</f>
        <v>846.75939900000003</v>
      </c>
      <c r="S51" s="17">
        <f>'AEO 2023 Table 35 Raw'!V40</f>
        <v>863.55883800000004</v>
      </c>
      <c r="T51" s="17">
        <f>'AEO 2023 Table 35 Raw'!W40</f>
        <v>871.95855700000004</v>
      </c>
      <c r="U51" s="17">
        <f>'AEO 2023 Table 35 Raw'!X40</f>
        <v>873.19683799999996</v>
      </c>
      <c r="V51" s="17">
        <f>'AEO 2023 Table 35 Raw'!Y40</f>
        <v>871.95855700000004</v>
      </c>
      <c r="W51" s="17">
        <f>'AEO 2023 Table 35 Raw'!Z40</f>
        <v>871.95855700000004</v>
      </c>
      <c r="X51" s="17">
        <f>'AEO 2023 Table 35 Raw'!AA40</f>
        <v>871.95855700000004</v>
      </c>
      <c r="Y51" s="17">
        <f>'AEO 2023 Table 35 Raw'!AB40</f>
        <v>873.19683799999996</v>
      </c>
      <c r="Z51" s="17">
        <f>'AEO 2023 Table 35 Raw'!AC40</f>
        <v>871.95855700000004</v>
      </c>
      <c r="AA51" s="17">
        <f>'AEO 2023 Table 35 Raw'!AD40</f>
        <v>871.95855700000004</v>
      </c>
      <c r="AB51" s="17">
        <f>'AEO 2023 Table 35 Raw'!AE40</f>
        <v>871.95855700000004</v>
      </c>
      <c r="AC51" s="17">
        <f>'AEO 2023 Table 35 Raw'!AF40</f>
        <v>873.19683799999996</v>
      </c>
      <c r="AD51" s="17">
        <f>'AEO 2023 Table 35 Raw'!AG40</f>
        <v>871.95855700000004</v>
      </c>
      <c r="AE51" s="17">
        <f>'AEO 2023 Table 35 Raw'!AH40</f>
        <v>871.95855700000004</v>
      </c>
      <c r="AF51" s="30">
        <f>'AEO 2023 Table 35 Raw'!AI40</f>
        <v>3.5000000000000003E-2</v>
      </c>
    </row>
    <row r="52" spans="1:32" ht="15" customHeight="1">
      <c r="A52" s="7" t="s">
        <v>363</v>
      </c>
      <c r="B52" s="16" t="s">
        <v>364</v>
      </c>
      <c r="C52" s="17">
        <f>'AEO 2023 Table 35 Raw'!F41</f>
        <v>431.00711100000001</v>
      </c>
      <c r="D52" s="17">
        <f>'AEO 2023 Table 35 Raw'!G41</f>
        <v>433.70452899999998</v>
      </c>
      <c r="E52" s="17">
        <f>'AEO 2023 Table 35 Raw'!H41</f>
        <v>434.85916099999997</v>
      </c>
      <c r="F52" s="17">
        <f>'AEO 2023 Table 35 Raw'!I41</f>
        <v>435.85296599999998</v>
      </c>
      <c r="G52" s="17">
        <f>'AEO 2023 Table 35 Raw'!J41</f>
        <v>436.71343999999999</v>
      </c>
      <c r="H52" s="17">
        <f>'AEO 2023 Table 35 Raw'!K41</f>
        <v>437.80352800000003</v>
      </c>
      <c r="I52" s="17">
        <f>'AEO 2023 Table 35 Raw'!L41</f>
        <v>439.04785199999998</v>
      </c>
      <c r="J52" s="17">
        <f>'AEO 2023 Table 35 Raw'!M41</f>
        <v>440.32238799999999</v>
      </c>
      <c r="K52" s="17">
        <f>'AEO 2023 Table 35 Raw'!N41</f>
        <v>441.57388300000002</v>
      </c>
      <c r="L52" s="17">
        <f>'AEO 2023 Table 35 Raw'!O41</f>
        <v>442.73297100000002</v>
      </c>
      <c r="M52" s="17">
        <f>'AEO 2023 Table 35 Raw'!P41</f>
        <v>443.867188</v>
      </c>
      <c r="N52" s="17">
        <f>'AEO 2023 Table 35 Raw'!Q41</f>
        <v>444.95523100000003</v>
      </c>
      <c r="O52" s="17">
        <f>'AEO 2023 Table 35 Raw'!R41</f>
        <v>446.03662100000003</v>
      </c>
      <c r="P52" s="17">
        <f>'AEO 2023 Table 35 Raw'!S41</f>
        <v>447.15206899999998</v>
      </c>
      <c r="Q52" s="17">
        <f>'AEO 2023 Table 35 Raw'!T41</f>
        <v>448.41485599999999</v>
      </c>
      <c r="R52" s="17">
        <f>'AEO 2023 Table 35 Raw'!U41</f>
        <v>449.81106599999998</v>
      </c>
      <c r="S52" s="17">
        <f>'AEO 2023 Table 35 Raw'!V41</f>
        <v>451.25476099999997</v>
      </c>
      <c r="T52" s="17">
        <f>'AEO 2023 Table 35 Raw'!W41</f>
        <v>452.74456800000002</v>
      </c>
      <c r="U52" s="17">
        <f>'AEO 2023 Table 35 Raw'!X41</f>
        <v>454.27905299999998</v>
      </c>
      <c r="V52" s="17">
        <f>'AEO 2023 Table 35 Raw'!Y41</f>
        <v>455.853363</v>
      </c>
      <c r="W52" s="17">
        <f>'AEO 2023 Table 35 Raw'!Z41</f>
        <v>457.46035799999999</v>
      </c>
      <c r="X52" s="17">
        <f>'AEO 2023 Table 35 Raw'!AA41</f>
        <v>459.09814499999999</v>
      </c>
      <c r="Y52" s="17">
        <f>'AEO 2023 Table 35 Raw'!AB41</f>
        <v>460.76711999999998</v>
      </c>
      <c r="Z52" s="17">
        <f>'AEO 2023 Table 35 Raw'!AC41</f>
        <v>462.46490499999999</v>
      </c>
      <c r="AA52" s="17">
        <f>'AEO 2023 Table 35 Raw'!AD41</f>
        <v>464.17974900000002</v>
      </c>
      <c r="AB52" s="17">
        <f>'AEO 2023 Table 35 Raw'!AE41</f>
        <v>465.90911899999998</v>
      </c>
      <c r="AC52" s="17">
        <f>'AEO 2023 Table 35 Raw'!AF41</f>
        <v>467.65033</v>
      </c>
      <c r="AD52" s="17">
        <f>'AEO 2023 Table 35 Raw'!AG41</f>
        <v>469.40213</v>
      </c>
      <c r="AE52" s="17">
        <f>'AEO 2023 Table 35 Raw'!AH41</f>
        <v>471.16201799999999</v>
      </c>
      <c r="AF52" s="30">
        <f>'AEO 2023 Table 35 Raw'!AI41</f>
        <v>3.0000000000000001E-3</v>
      </c>
    </row>
    <row r="53" spans="1:32" ht="15" customHeight="1">
      <c r="A53" s="7" t="s">
        <v>365</v>
      </c>
      <c r="B53" s="16" t="s">
        <v>366</v>
      </c>
      <c r="C53" s="17">
        <f>'AEO 2023 Table 35 Raw'!F42</f>
        <v>334.58492999999999</v>
      </c>
      <c r="D53" s="17">
        <f>'AEO 2023 Table 35 Raw'!G42</f>
        <v>336.67889400000001</v>
      </c>
      <c r="E53" s="17">
        <f>'AEO 2023 Table 35 Raw'!H42</f>
        <v>337.57522599999999</v>
      </c>
      <c r="F53" s="17">
        <f>'AEO 2023 Table 35 Raw'!I42</f>
        <v>338.34670999999997</v>
      </c>
      <c r="G53" s="17">
        <f>'AEO 2023 Table 35 Raw'!J42</f>
        <v>339.014679</v>
      </c>
      <c r="H53" s="17">
        <f>'AEO 2023 Table 35 Raw'!K42</f>
        <v>339.86090100000001</v>
      </c>
      <c r="I53" s="17">
        <f>'AEO 2023 Table 35 Raw'!L42</f>
        <v>340.826843</v>
      </c>
      <c r="J53" s="17">
        <f>'AEO 2023 Table 35 Raw'!M42</f>
        <v>341.81625400000001</v>
      </c>
      <c r="K53" s="17">
        <f>'AEO 2023 Table 35 Raw'!N42</f>
        <v>342.787781</v>
      </c>
      <c r="L53" s="17">
        <f>'AEO 2023 Table 35 Raw'!O42</f>
        <v>343.68756100000002</v>
      </c>
      <c r="M53" s="17">
        <f>'AEO 2023 Table 35 Raw'!P42</f>
        <v>344.56802399999998</v>
      </c>
      <c r="N53" s="17">
        <f>'AEO 2023 Table 35 Raw'!Q42</f>
        <v>345.41265900000002</v>
      </c>
      <c r="O53" s="17">
        <f>'AEO 2023 Table 35 Raw'!R42</f>
        <v>346.25213600000001</v>
      </c>
      <c r="P53" s="17">
        <f>'AEO 2023 Table 35 Raw'!S42</f>
        <v>347.118042</v>
      </c>
      <c r="Q53" s="17">
        <f>'AEO 2023 Table 35 Raw'!T42</f>
        <v>348.09832799999998</v>
      </c>
      <c r="R53" s="17">
        <f>'AEO 2023 Table 35 Raw'!U42</f>
        <v>349.18218999999999</v>
      </c>
      <c r="S53" s="17">
        <f>'AEO 2023 Table 35 Raw'!V42</f>
        <v>350.30291699999998</v>
      </c>
      <c r="T53" s="17">
        <f>'AEO 2023 Table 35 Raw'!W42</f>
        <v>351.45941199999999</v>
      </c>
      <c r="U53" s="17">
        <f>'AEO 2023 Table 35 Raw'!X42</f>
        <v>352.65063500000002</v>
      </c>
      <c r="V53" s="17">
        <f>'AEO 2023 Table 35 Raw'!Y42</f>
        <v>353.87274200000002</v>
      </c>
      <c r="W53" s="17">
        <f>'AEO 2023 Table 35 Raw'!Z42</f>
        <v>355.12023900000003</v>
      </c>
      <c r="X53" s="17">
        <f>'AEO 2023 Table 35 Raw'!AA42</f>
        <v>356.39163200000002</v>
      </c>
      <c r="Y53" s="17">
        <f>'AEO 2023 Table 35 Raw'!AB42</f>
        <v>357.68722500000001</v>
      </c>
      <c r="Z53" s="17">
        <f>'AEO 2023 Table 35 Raw'!AC42</f>
        <v>359.00518799999998</v>
      </c>
      <c r="AA53" s="17">
        <f>'AEO 2023 Table 35 Raw'!AD42</f>
        <v>360.33642600000002</v>
      </c>
      <c r="AB53" s="17">
        <f>'AEO 2023 Table 35 Raw'!AE42</f>
        <v>361.67889400000001</v>
      </c>
      <c r="AC53" s="17">
        <f>'AEO 2023 Table 35 Raw'!AF42</f>
        <v>363.03057899999999</v>
      </c>
      <c r="AD53" s="17">
        <f>'AEO 2023 Table 35 Raw'!AG42</f>
        <v>364.39047199999999</v>
      </c>
      <c r="AE53" s="17">
        <f>'AEO 2023 Table 35 Raw'!AH42</f>
        <v>365.75665300000003</v>
      </c>
      <c r="AF53" s="30">
        <f>'AEO 2023 Table 35 Raw'!AI42</f>
        <v>3.0000000000000001E-3</v>
      </c>
    </row>
    <row r="54" spans="1:32" ht="15" customHeight="1">
      <c r="A54" s="7" t="s">
        <v>367</v>
      </c>
      <c r="B54" s="16" t="s">
        <v>368</v>
      </c>
      <c r="C54" s="17">
        <f>'AEO 2023 Table 35 Raw'!F43</f>
        <v>0</v>
      </c>
      <c r="D54" s="17">
        <f>'AEO 2023 Table 35 Raw'!G43</f>
        <v>0</v>
      </c>
      <c r="E54" s="17">
        <f>'AEO 2023 Table 35 Raw'!H43</f>
        <v>0</v>
      </c>
      <c r="F54" s="17">
        <f>'AEO 2023 Table 35 Raw'!I43</f>
        <v>0</v>
      </c>
      <c r="G54" s="17">
        <f>'AEO 2023 Table 35 Raw'!J43</f>
        <v>0</v>
      </c>
      <c r="H54" s="17">
        <f>'AEO 2023 Table 35 Raw'!K43</f>
        <v>0</v>
      </c>
      <c r="I54" s="17">
        <f>'AEO 2023 Table 35 Raw'!L43</f>
        <v>0</v>
      </c>
      <c r="J54" s="17">
        <f>'AEO 2023 Table 35 Raw'!M43</f>
        <v>0</v>
      </c>
      <c r="K54" s="17">
        <f>'AEO 2023 Table 35 Raw'!N43</f>
        <v>0</v>
      </c>
      <c r="L54" s="17">
        <f>'AEO 2023 Table 35 Raw'!O43</f>
        <v>0</v>
      </c>
      <c r="M54" s="17">
        <f>'AEO 2023 Table 35 Raw'!P43</f>
        <v>0</v>
      </c>
      <c r="N54" s="17">
        <f>'AEO 2023 Table 35 Raw'!Q43</f>
        <v>0</v>
      </c>
      <c r="O54" s="17">
        <f>'AEO 2023 Table 35 Raw'!R43</f>
        <v>0</v>
      </c>
      <c r="P54" s="17">
        <f>'AEO 2023 Table 35 Raw'!S43</f>
        <v>0</v>
      </c>
      <c r="Q54" s="17">
        <f>'AEO 2023 Table 35 Raw'!T43</f>
        <v>0</v>
      </c>
      <c r="R54" s="17">
        <f>'AEO 2023 Table 35 Raw'!U43</f>
        <v>0</v>
      </c>
      <c r="S54" s="17">
        <f>'AEO 2023 Table 35 Raw'!V43</f>
        <v>0</v>
      </c>
      <c r="T54" s="17">
        <f>'AEO 2023 Table 35 Raw'!W43</f>
        <v>0</v>
      </c>
      <c r="U54" s="17">
        <f>'AEO 2023 Table 35 Raw'!X43</f>
        <v>0</v>
      </c>
      <c r="V54" s="17">
        <f>'AEO 2023 Table 35 Raw'!Y43</f>
        <v>0</v>
      </c>
      <c r="W54" s="17">
        <f>'AEO 2023 Table 35 Raw'!Z43</f>
        <v>0</v>
      </c>
      <c r="X54" s="17">
        <f>'AEO 2023 Table 35 Raw'!AA43</f>
        <v>0</v>
      </c>
      <c r="Y54" s="17">
        <f>'AEO 2023 Table 35 Raw'!AB43</f>
        <v>0</v>
      </c>
      <c r="Z54" s="17">
        <f>'AEO 2023 Table 35 Raw'!AC43</f>
        <v>0</v>
      </c>
      <c r="AA54" s="17">
        <f>'AEO 2023 Table 35 Raw'!AD43</f>
        <v>0</v>
      </c>
      <c r="AB54" s="17">
        <f>'AEO 2023 Table 35 Raw'!AE43</f>
        <v>0</v>
      </c>
      <c r="AC54" s="17">
        <f>'AEO 2023 Table 35 Raw'!AF43</f>
        <v>0</v>
      </c>
      <c r="AD54" s="17">
        <f>'AEO 2023 Table 35 Raw'!AG43</f>
        <v>0</v>
      </c>
      <c r="AE54" s="17">
        <f>'AEO 2023 Table 35 Raw'!AH43</f>
        <v>0</v>
      </c>
      <c r="AF54" s="30" t="str">
        <f>'AEO 2023 Table 35 Raw'!AI43</f>
        <v>- -</v>
      </c>
    </row>
    <row r="55" spans="1:32" ht="12" customHeight="1">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30"/>
    </row>
    <row r="56" spans="1:32" ht="15" customHeight="1">
      <c r="A56" s="7" t="s">
        <v>369</v>
      </c>
      <c r="B56" s="15" t="s">
        <v>141</v>
      </c>
      <c r="C56" s="17">
        <f>'AEO 2023 Table 35 Raw'!F44</f>
        <v>96.422173000000001</v>
      </c>
      <c r="D56" s="17">
        <f>'AEO 2023 Table 35 Raw'!G44</f>
        <v>97.025620000000004</v>
      </c>
      <c r="E56" s="17">
        <f>'AEO 2023 Table 35 Raw'!H44</f>
        <v>97.283935999999997</v>
      </c>
      <c r="F56" s="17">
        <f>'AEO 2023 Table 35 Raw'!I44</f>
        <v>97.506255999999993</v>
      </c>
      <c r="G56" s="17">
        <f>'AEO 2023 Table 35 Raw'!J44</f>
        <v>97.698752999999996</v>
      </c>
      <c r="H56" s="17">
        <f>'AEO 2023 Table 35 Raw'!K44</f>
        <v>97.942611999999997</v>
      </c>
      <c r="I56" s="17">
        <f>'AEO 2023 Table 35 Raw'!L44</f>
        <v>98.220993000000007</v>
      </c>
      <c r="J56" s="17">
        <f>'AEO 2023 Table 35 Raw'!M44</f>
        <v>98.506125999999995</v>
      </c>
      <c r="K56" s="17">
        <f>'AEO 2023 Table 35 Raw'!N44</f>
        <v>98.786102</v>
      </c>
      <c r="L56" s="17">
        <f>'AEO 2023 Table 35 Raw'!O44</f>
        <v>99.045417999999998</v>
      </c>
      <c r="M56" s="17">
        <f>'AEO 2023 Table 35 Raw'!P44</f>
        <v>99.299164000000005</v>
      </c>
      <c r="N56" s="17">
        <f>'AEO 2023 Table 35 Raw'!Q44</f>
        <v>99.542572000000007</v>
      </c>
      <c r="O56" s="17">
        <f>'AEO 2023 Table 35 Raw'!R44</f>
        <v>99.784499999999994</v>
      </c>
      <c r="P56" s="17">
        <f>'AEO 2023 Table 35 Raw'!S44</f>
        <v>100.03402699999999</v>
      </c>
      <c r="Q56" s="17">
        <f>'AEO 2023 Table 35 Raw'!T44</f>
        <v>100.31652800000001</v>
      </c>
      <c r="R56" s="17">
        <f>'AEO 2023 Table 35 Raw'!U44</f>
        <v>100.62887600000001</v>
      </c>
      <c r="S56" s="17">
        <f>'AEO 2023 Table 35 Raw'!V44</f>
        <v>100.951851</v>
      </c>
      <c r="T56" s="17">
        <f>'AEO 2023 Table 35 Raw'!W44</f>
        <v>101.285149</v>
      </c>
      <c r="U56" s="17">
        <f>'AEO 2023 Table 35 Raw'!X44</f>
        <v>101.628433</v>
      </c>
      <c r="V56" s="17">
        <f>'AEO 2023 Table 35 Raw'!Y44</f>
        <v>101.98062899999999</v>
      </c>
      <c r="W56" s="17">
        <f>'AEO 2023 Table 35 Raw'!Z44</f>
        <v>102.340126</v>
      </c>
      <c r="X56" s="17">
        <f>'AEO 2023 Table 35 Raw'!AA44</f>
        <v>102.70652800000001</v>
      </c>
      <c r="Y56" s="17">
        <f>'AEO 2023 Table 35 Raw'!AB44</f>
        <v>103.07989499999999</v>
      </c>
      <c r="Z56" s="17">
        <f>'AEO 2023 Table 35 Raw'!AC44</f>
        <v>103.45970199999999</v>
      </c>
      <c r="AA56" s="17">
        <f>'AEO 2023 Table 35 Raw'!AD44</f>
        <v>103.843338</v>
      </c>
      <c r="AB56" s="17">
        <f>'AEO 2023 Table 35 Raw'!AE44</f>
        <v>104.230225</v>
      </c>
      <c r="AC56" s="17">
        <f>'AEO 2023 Table 35 Raw'!AF44</f>
        <v>104.619766</v>
      </c>
      <c r="AD56" s="17">
        <f>'AEO 2023 Table 35 Raw'!AG44</f>
        <v>105.011658</v>
      </c>
      <c r="AE56" s="17">
        <f>'AEO 2023 Table 35 Raw'!AH44</f>
        <v>105.405365</v>
      </c>
      <c r="AF56" s="30">
        <f>'AEO 2023 Table 35 Raw'!AI44</f>
        <v>3.0000000000000001E-3</v>
      </c>
    </row>
    <row r="57" spans="1:32" ht="12" customHeight="1">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30"/>
    </row>
    <row r="58" spans="1:32" ht="15" customHeight="1">
      <c r="B58" s="15" t="s">
        <v>142</v>
      </c>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30"/>
    </row>
    <row r="59" spans="1:32" ht="15" customHeight="1">
      <c r="A59" s="7" t="s">
        <v>370</v>
      </c>
      <c r="B59" s="16" t="s">
        <v>371</v>
      </c>
      <c r="C59" s="17">
        <f>'AEO 2023 Table 35 Raw'!F46</f>
        <v>0</v>
      </c>
      <c r="D59" s="17">
        <f>'AEO 2023 Table 35 Raw'!G46</f>
        <v>0</v>
      </c>
      <c r="E59" s="17">
        <f>'AEO 2023 Table 35 Raw'!H46</f>
        <v>0</v>
      </c>
      <c r="F59" s="17">
        <f>'AEO 2023 Table 35 Raw'!I46</f>
        <v>0</v>
      </c>
      <c r="G59" s="17">
        <f>'AEO 2023 Table 35 Raw'!J46</f>
        <v>0</v>
      </c>
      <c r="H59" s="17">
        <f>'AEO 2023 Table 35 Raw'!K46</f>
        <v>0</v>
      </c>
      <c r="I59" s="17">
        <f>'AEO 2023 Table 35 Raw'!L46</f>
        <v>0</v>
      </c>
      <c r="J59" s="17">
        <f>'AEO 2023 Table 35 Raw'!M46</f>
        <v>0</v>
      </c>
      <c r="K59" s="17">
        <f>'AEO 2023 Table 35 Raw'!N46</f>
        <v>0</v>
      </c>
      <c r="L59" s="17">
        <f>'AEO 2023 Table 35 Raw'!O46</f>
        <v>0</v>
      </c>
      <c r="M59" s="17">
        <f>'AEO 2023 Table 35 Raw'!P46</f>
        <v>0</v>
      </c>
      <c r="N59" s="17">
        <f>'AEO 2023 Table 35 Raw'!Q46</f>
        <v>0</v>
      </c>
      <c r="O59" s="17">
        <f>'AEO 2023 Table 35 Raw'!R46</f>
        <v>0</v>
      </c>
      <c r="P59" s="17">
        <f>'AEO 2023 Table 35 Raw'!S46</f>
        <v>0</v>
      </c>
      <c r="Q59" s="17">
        <f>'AEO 2023 Table 35 Raw'!T46</f>
        <v>0</v>
      </c>
      <c r="R59" s="17">
        <f>'AEO 2023 Table 35 Raw'!U46</f>
        <v>0</v>
      </c>
      <c r="S59" s="17">
        <f>'AEO 2023 Table 35 Raw'!V46</f>
        <v>0</v>
      </c>
      <c r="T59" s="17">
        <f>'AEO 2023 Table 35 Raw'!W46</f>
        <v>0</v>
      </c>
      <c r="U59" s="17">
        <f>'AEO 2023 Table 35 Raw'!X46</f>
        <v>0</v>
      </c>
      <c r="V59" s="17">
        <f>'AEO 2023 Table 35 Raw'!Y46</f>
        <v>0</v>
      </c>
      <c r="W59" s="17">
        <f>'AEO 2023 Table 35 Raw'!Z46</f>
        <v>0</v>
      </c>
      <c r="X59" s="17">
        <f>'AEO 2023 Table 35 Raw'!AA46</f>
        <v>0</v>
      </c>
      <c r="Y59" s="17">
        <f>'AEO 2023 Table 35 Raw'!AB46</f>
        <v>0</v>
      </c>
      <c r="Z59" s="17">
        <f>'AEO 2023 Table 35 Raw'!AC46</f>
        <v>0</v>
      </c>
      <c r="AA59" s="17">
        <f>'AEO 2023 Table 35 Raw'!AD46</f>
        <v>0</v>
      </c>
      <c r="AB59" s="17">
        <f>'AEO 2023 Table 35 Raw'!AE46</f>
        <v>0</v>
      </c>
      <c r="AC59" s="17">
        <f>'AEO 2023 Table 35 Raw'!AF46</f>
        <v>0</v>
      </c>
      <c r="AD59" s="17">
        <f>'AEO 2023 Table 35 Raw'!AG46</f>
        <v>0</v>
      </c>
      <c r="AE59" s="17">
        <f>'AEO 2023 Table 35 Raw'!AH46</f>
        <v>0</v>
      </c>
      <c r="AF59" s="30">
        <f>'AEO 2023 Table 35 Raw'!AI46</f>
        <v>0</v>
      </c>
    </row>
    <row r="60" spans="1:32" ht="15" customHeight="1">
      <c r="A60" s="7" t="s">
        <v>372</v>
      </c>
      <c r="B60" s="16" t="s">
        <v>373</v>
      </c>
      <c r="C60" s="17">
        <f>'AEO 2023 Table 35 Raw'!F47</f>
        <v>15781.978515999999</v>
      </c>
      <c r="D60" s="17">
        <f>'AEO 2023 Table 35 Raw'!G47</f>
        <v>15607.137694999999</v>
      </c>
      <c r="E60" s="17">
        <f>'AEO 2023 Table 35 Raw'!H47</f>
        <v>15323.565430000001</v>
      </c>
      <c r="F60" s="17">
        <f>'AEO 2023 Table 35 Raw'!I47</f>
        <v>15006.644531</v>
      </c>
      <c r="G60" s="17">
        <f>'AEO 2023 Table 35 Raw'!J47</f>
        <v>14758.341796999999</v>
      </c>
      <c r="H60" s="17">
        <f>'AEO 2023 Table 35 Raw'!K47</f>
        <v>14548.008789</v>
      </c>
      <c r="I60" s="17">
        <f>'AEO 2023 Table 35 Raw'!L47</f>
        <v>14329.139648</v>
      </c>
      <c r="J60" s="17">
        <f>'AEO 2023 Table 35 Raw'!M47</f>
        <v>14088.546875</v>
      </c>
      <c r="K60" s="17">
        <f>'AEO 2023 Table 35 Raw'!N47</f>
        <v>13839.788086</v>
      </c>
      <c r="L60" s="17">
        <f>'AEO 2023 Table 35 Raw'!O47</f>
        <v>13612.479492</v>
      </c>
      <c r="M60" s="17">
        <f>'AEO 2023 Table 35 Raw'!P47</f>
        <v>13390.807617</v>
      </c>
      <c r="N60" s="17">
        <f>'AEO 2023 Table 35 Raw'!Q47</f>
        <v>13201.375977</v>
      </c>
      <c r="O60" s="17">
        <f>'AEO 2023 Table 35 Raw'!R47</f>
        <v>13009.751953000001</v>
      </c>
      <c r="P60" s="17">
        <f>'AEO 2023 Table 35 Raw'!S47</f>
        <v>12803.894531</v>
      </c>
      <c r="Q60" s="17">
        <f>'AEO 2023 Table 35 Raw'!T47</f>
        <v>12588.889648</v>
      </c>
      <c r="R60" s="17">
        <f>'AEO 2023 Table 35 Raw'!U47</f>
        <v>12401.971680000001</v>
      </c>
      <c r="S60" s="17">
        <f>'AEO 2023 Table 35 Raw'!V47</f>
        <v>12241.091796999999</v>
      </c>
      <c r="T60" s="17">
        <f>'AEO 2023 Table 35 Raw'!W47</f>
        <v>12092.940430000001</v>
      </c>
      <c r="U60" s="17">
        <f>'AEO 2023 Table 35 Raw'!X47</f>
        <v>11968.771484000001</v>
      </c>
      <c r="V60" s="17">
        <f>'AEO 2023 Table 35 Raw'!Y47</f>
        <v>11852.905273</v>
      </c>
      <c r="W60" s="17">
        <f>'AEO 2023 Table 35 Raw'!Z47</f>
        <v>11756.801758</v>
      </c>
      <c r="X60" s="17">
        <f>'AEO 2023 Table 35 Raw'!AA47</f>
        <v>11675.911133</v>
      </c>
      <c r="Y60" s="17">
        <f>'AEO 2023 Table 35 Raw'!AB47</f>
        <v>11619.558594</v>
      </c>
      <c r="Z60" s="17">
        <f>'AEO 2023 Table 35 Raw'!AC47</f>
        <v>11585.367188</v>
      </c>
      <c r="AA60" s="17">
        <f>'AEO 2023 Table 35 Raw'!AD47</f>
        <v>11577.258789</v>
      </c>
      <c r="AB60" s="17">
        <f>'AEO 2023 Table 35 Raw'!AE47</f>
        <v>11595.715819999999</v>
      </c>
      <c r="AC60" s="17">
        <f>'AEO 2023 Table 35 Raw'!AF47</f>
        <v>11628.708984000001</v>
      </c>
      <c r="AD60" s="17">
        <f>'AEO 2023 Table 35 Raw'!AG47</f>
        <v>11677.589844</v>
      </c>
      <c r="AE60" s="17">
        <f>'AEO 2023 Table 35 Raw'!AH47</f>
        <v>11746.348633</v>
      </c>
      <c r="AF60" s="30">
        <f>'AEO 2023 Table 35 Raw'!AI47</f>
        <v>-0.01</v>
      </c>
    </row>
    <row r="61" spans="1:32" ht="15" customHeight="1">
      <c r="A61" s="7" t="s">
        <v>374</v>
      </c>
      <c r="B61" s="16" t="s">
        <v>375</v>
      </c>
      <c r="C61" s="17">
        <f>'AEO 2023 Table 35 Raw'!F48</f>
        <v>33.203460999999997</v>
      </c>
      <c r="D61" s="17">
        <f>'AEO 2023 Table 35 Raw'!G48</f>
        <v>33.230068000000003</v>
      </c>
      <c r="E61" s="17">
        <f>'AEO 2023 Table 35 Raw'!H48</f>
        <v>32.263480999999999</v>
      </c>
      <c r="F61" s="17">
        <f>'AEO 2023 Table 35 Raw'!I48</f>
        <v>32.096657</v>
      </c>
      <c r="G61" s="17">
        <f>'AEO 2023 Table 35 Raw'!J48</f>
        <v>31.314240000000002</v>
      </c>
      <c r="H61" s="17">
        <f>'AEO 2023 Table 35 Raw'!K48</f>
        <v>30.515791</v>
      </c>
      <c r="I61" s="17">
        <f>'AEO 2023 Table 35 Raw'!L48</f>
        <v>29.796001</v>
      </c>
      <c r="J61" s="17">
        <f>'AEO 2023 Table 35 Raw'!M48</f>
        <v>28.773320999999999</v>
      </c>
      <c r="K61" s="17">
        <f>'AEO 2023 Table 35 Raw'!N48</f>
        <v>27.672865000000002</v>
      </c>
      <c r="L61" s="17">
        <f>'AEO 2023 Table 35 Raw'!O48</f>
        <v>26.703862999999998</v>
      </c>
      <c r="M61" s="17">
        <f>'AEO 2023 Table 35 Raw'!P48</f>
        <v>25.745459</v>
      </c>
      <c r="N61" s="17">
        <f>'AEO 2023 Table 35 Raw'!Q48</f>
        <v>24.876587000000001</v>
      </c>
      <c r="O61" s="17">
        <f>'AEO 2023 Table 35 Raw'!R48</f>
        <v>24.054621000000001</v>
      </c>
      <c r="P61" s="17">
        <f>'AEO 2023 Table 35 Raw'!S48</f>
        <v>23.312283000000001</v>
      </c>
      <c r="Q61" s="17">
        <f>'AEO 2023 Table 35 Raw'!T48</f>
        <v>22.633776000000001</v>
      </c>
      <c r="R61" s="17">
        <f>'AEO 2023 Table 35 Raw'!U48</f>
        <v>22.107336</v>
      </c>
      <c r="S61" s="17">
        <f>'AEO 2023 Table 35 Raw'!V48</f>
        <v>21.794820999999999</v>
      </c>
      <c r="T61" s="17">
        <f>'AEO 2023 Table 35 Raw'!W48</f>
        <v>21.635255999999998</v>
      </c>
      <c r="U61" s="17">
        <f>'AEO 2023 Table 35 Raw'!X48</f>
        <v>21.652248</v>
      </c>
      <c r="V61" s="17">
        <f>'AEO 2023 Table 35 Raw'!Y48</f>
        <v>21.670206</v>
      </c>
      <c r="W61" s="17">
        <f>'AEO 2023 Table 35 Raw'!Z48</f>
        <v>21.712429</v>
      </c>
      <c r="X61" s="17">
        <f>'AEO 2023 Table 35 Raw'!AA48</f>
        <v>21.862431000000001</v>
      </c>
      <c r="Y61" s="17">
        <f>'AEO 2023 Table 35 Raw'!AB48</f>
        <v>22.094992000000001</v>
      </c>
      <c r="Z61" s="17">
        <f>'AEO 2023 Table 35 Raw'!AC48</f>
        <v>22.321005</v>
      </c>
      <c r="AA61" s="17">
        <f>'AEO 2023 Table 35 Raw'!AD48</f>
        <v>22.601568</v>
      </c>
      <c r="AB61" s="17">
        <f>'AEO 2023 Table 35 Raw'!AE48</f>
        <v>22.903946000000001</v>
      </c>
      <c r="AC61" s="17">
        <f>'AEO 2023 Table 35 Raw'!AF48</f>
        <v>23.215596999999999</v>
      </c>
      <c r="AD61" s="17">
        <f>'AEO 2023 Table 35 Raw'!AG48</f>
        <v>23.636827</v>
      </c>
      <c r="AE61" s="17">
        <f>'AEO 2023 Table 35 Raw'!AH48</f>
        <v>24.057039</v>
      </c>
      <c r="AF61" s="30">
        <f>'AEO 2023 Table 35 Raw'!AI48</f>
        <v>-1.0999999999999999E-2</v>
      </c>
    </row>
    <row r="62" spans="1:32" ht="15" customHeight="1">
      <c r="A62" s="7" t="s">
        <v>376</v>
      </c>
      <c r="B62" s="16" t="s">
        <v>377</v>
      </c>
      <c r="C62" s="17">
        <f>'AEO 2023 Table 35 Raw'!F49</f>
        <v>6704.4780270000001</v>
      </c>
      <c r="D62" s="17">
        <f>'AEO 2023 Table 35 Raw'!G49</f>
        <v>6641.2285160000001</v>
      </c>
      <c r="E62" s="17">
        <f>'AEO 2023 Table 35 Raw'!H49</f>
        <v>6507.2739259999998</v>
      </c>
      <c r="F62" s="17">
        <f>'AEO 2023 Table 35 Raw'!I49</f>
        <v>6389.3334960000002</v>
      </c>
      <c r="G62" s="17">
        <f>'AEO 2023 Table 35 Raw'!J49</f>
        <v>6300.5087890000004</v>
      </c>
      <c r="H62" s="17">
        <f>'AEO 2023 Table 35 Raw'!K49</f>
        <v>6204.4648440000001</v>
      </c>
      <c r="I62" s="17">
        <f>'AEO 2023 Table 35 Raw'!L49</f>
        <v>6139.4448240000002</v>
      </c>
      <c r="J62" s="17">
        <f>'AEO 2023 Table 35 Raw'!M49</f>
        <v>6049.7617190000001</v>
      </c>
      <c r="K62" s="17">
        <f>'AEO 2023 Table 35 Raw'!N49</f>
        <v>5967.9492190000001</v>
      </c>
      <c r="L62" s="17">
        <f>'AEO 2023 Table 35 Raw'!O49</f>
        <v>5897.3232420000004</v>
      </c>
      <c r="M62" s="17">
        <f>'AEO 2023 Table 35 Raw'!P49</f>
        <v>5846.7612300000001</v>
      </c>
      <c r="N62" s="17">
        <f>'AEO 2023 Table 35 Raw'!Q49</f>
        <v>5794.6494140000004</v>
      </c>
      <c r="O62" s="17">
        <f>'AEO 2023 Table 35 Raw'!R49</f>
        <v>5733.7749020000001</v>
      </c>
      <c r="P62" s="17">
        <f>'AEO 2023 Table 35 Raw'!S49</f>
        <v>5682.794922</v>
      </c>
      <c r="Q62" s="17">
        <f>'AEO 2023 Table 35 Raw'!T49</f>
        <v>5627.4497069999998</v>
      </c>
      <c r="R62" s="17">
        <f>'AEO 2023 Table 35 Raw'!U49</f>
        <v>5592.6704099999997</v>
      </c>
      <c r="S62" s="17">
        <f>'AEO 2023 Table 35 Raw'!V49</f>
        <v>5566.0898440000001</v>
      </c>
      <c r="T62" s="17">
        <f>'AEO 2023 Table 35 Raw'!W49</f>
        <v>5534.8872069999998</v>
      </c>
      <c r="U62" s="17">
        <f>'AEO 2023 Table 35 Raw'!X49</f>
        <v>5516.1049800000001</v>
      </c>
      <c r="V62" s="17">
        <f>'AEO 2023 Table 35 Raw'!Y49</f>
        <v>5495.767578</v>
      </c>
      <c r="W62" s="17">
        <f>'AEO 2023 Table 35 Raw'!Z49</f>
        <v>5480.3081050000001</v>
      </c>
      <c r="X62" s="17">
        <f>'AEO 2023 Table 35 Raw'!AA49</f>
        <v>5464.3818359999996</v>
      </c>
      <c r="Y62" s="17">
        <f>'AEO 2023 Table 35 Raw'!AB49</f>
        <v>5445.0039059999999</v>
      </c>
      <c r="Z62" s="17">
        <f>'AEO 2023 Table 35 Raw'!AC49</f>
        <v>5426.388672</v>
      </c>
      <c r="AA62" s="17">
        <f>'AEO 2023 Table 35 Raw'!AD49</f>
        <v>5409.7729490000002</v>
      </c>
      <c r="AB62" s="17">
        <f>'AEO 2023 Table 35 Raw'!AE49</f>
        <v>5391.5439450000003</v>
      </c>
      <c r="AC62" s="17">
        <f>'AEO 2023 Table 35 Raw'!AF49</f>
        <v>5373.1655270000001</v>
      </c>
      <c r="AD62" s="17">
        <f>'AEO 2023 Table 35 Raw'!AG49</f>
        <v>5359.6879879999997</v>
      </c>
      <c r="AE62" s="17">
        <f>'AEO 2023 Table 35 Raw'!AH49</f>
        <v>5353.3916019999997</v>
      </c>
      <c r="AF62" s="30">
        <f>'AEO 2023 Table 35 Raw'!AI49</f>
        <v>-8.0000000000000002E-3</v>
      </c>
    </row>
    <row r="63" spans="1:32" ht="15" customHeight="1">
      <c r="A63" s="7" t="s">
        <v>378</v>
      </c>
      <c r="B63" s="16" t="s">
        <v>366</v>
      </c>
      <c r="C63" s="17">
        <f>'AEO 2023 Table 35 Raw'!F50</f>
        <v>3107.8186040000001</v>
      </c>
      <c r="D63" s="17">
        <f>'AEO 2023 Table 35 Raw'!G50</f>
        <v>3300.2145999999998</v>
      </c>
      <c r="E63" s="17">
        <f>'AEO 2023 Table 35 Raw'!H50</f>
        <v>3319.185547</v>
      </c>
      <c r="F63" s="17">
        <f>'AEO 2023 Table 35 Raw'!I50</f>
        <v>3310.3291020000001</v>
      </c>
      <c r="G63" s="17">
        <f>'AEO 2023 Table 35 Raw'!J50</f>
        <v>3326.748047</v>
      </c>
      <c r="H63" s="17">
        <f>'AEO 2023 Table 35 Raw'!K50</f>
        <v>3341.788818</v>
      </c>
      <c r="I63" s="17">
        <f>'AEO 2023 Table 35 Raw'!L50</f>
        <v>3354.9106449999999</v>
      </c>
      <c r="J63" s="17">
        <f>'AEO 2023 Table 35 Raw'!M50</f>
        <v>3361.9091800000001</v>
      </c>
      <c r="K63" s="17">
        <f>'AEO 2023 Table 35 Raw'!N50</f>
        <v>3363.8264159999999</v>
      </c>
      <c r="L63" s="17">
        <f>'AEO 2023 Table 35 Raw'!O50</f>
        <v>3368.1003420000002</v>
      </c>
      <c r="M63" s="17">
        <f>'AEO 2023 Table 35 Raw'!P50</f>
        <v>3383.2751459999999</v>
      </c>
      <c r="N63" s="17">
        <f>'AEO 2023 Table 35 Raw'!Q50</f>
        <v>3393.6684570000002</v>
      </c>
      <c r="O63" s="17">
        <f>'AEO 2023 Table 35 Raw'!R50</f>
        <v>3393.7292480000001</v>
      </c>
      <c r="P63" s="17">
        <f>'AEO 2023 Table 35 Raw'!S50</f>
        <v>3396.8784179999998</v>
      </c>
      <c r="Q63" s="17">
        <f>'AEO 2023 Table 35 Raw'!T50</f>
        <v>3408.642578</v>
      </c>
      <c r="R63" s="17">
        <f>'AEO 2023 Table 35 Raw'!U50</f>
        <v>3428.9067380000001</v>
      </c>
      <c r="S63" s="17">
        <f>'AEO 2023 Table 35 Raw'!V50</f>
        <v>3455.5297850000002</v>
      </c>
      <c r="T63" s="17">
        <f>'AEO 2023 Table 35 Raw'!W50</f>
        <v>3486.1757809999999</v>
      </c>
      <c r="U63" s="17">
        <f>'AEO 2023 Table 35 Raw'!X50</f>
        <v>3522.100586</v>
      </c>
      <c r="V63" s="17">
        <f>'AEO 2023 Table 35 Raw'!Y50</f>
        <v>3554.4704590000001</v>
      </c>
      <c r="W63" s="17">
        <f>'AEO 2023 Table 35 Raw'!Z50</f>
        <v>3588.3232419999999</v>
      </c>
      <c r="X63" s="17">
        <f>'AEO 2023 Table 35 Raw'!AA50</f>
        <v>3622.5583499999998</v>
      </c>
      <c r="Y63" s="17">
        <f>'AEO 2023 Table 35 Raw'!AB50</f>
        <v>3658.4345699999999</v>
      </c>
      <c r="Z63" s="17">
        <f>'AEO 2023 Table 35 Raw'!AC50</f>
        <v>3694.2145999999998</v>
      </c>
      <c r="AA63" s="17">
        <f>'AEO 2023 Table 35 Raw'!AD50</f>
        <v>3730.8022460000002</v>
      </c>
      <c r="AB63" s="17">
        <f>'AEO 2023 Table 35 Raw'!AE50</f>
        <v>3769.9558109999998</v>
      </c>
      <c r="AC63" s="17">
        <f>'AEO 2023 Table 35 Raw'!AF50</f>
        <v>3812.0532229999999</v>
      </c>
      <c r="AD63" s="17">
        <f>'AEO 2023 Table 35 Raw'!AG50</f>
        <v>3855.5913089999999</v>
      </c>
      <c r="AE63" s="17">
        <f>'AEO 2023 Table 35 Raw'!AH50</f>
        <v>3903.7746579999998</v>
      </c>
      <c r="AF63" s="30">
        <f>'AEO 2023 Table 35 Raw'!AI50</f>
        <v>8.0000000000000002E-3</v>
      </c>
    </row>
    <row r="64" spans="1:32" ht="15" customHeight="1">
      <c r="A64" s="7" t="s">
        <v>379</v>
      </c>
      <c r="B64" s="16" t="s">
        <v>380</v>
      </c>
      <c r="C64" s="17">
        <f>'AEO 2023 Table 35 Raw'!F51</f>
        <v>687.54095500000005</v>
      </c>
      <c r="D64" s="17">
        <f>'AEO 2023 Table 35 Raw'!G51</f>
        <v>534.06658900000002</v>
      </c>
      <c r="E64" s="17">
        <f>'AEO 2023 Table 35 Raw'!H51</f>
        <v>523.28320299999996</v>
      </c>
      <c r="F64" s="17">
        <f>'AEO 2023 Table 35 Raw'!I51</f>
        <v>527.48327600000005</v>
      </c>
      <c r="G64" s="17">
        <f>'AEO 2023 Table 35 Raw'!J51</f>
        <v>504.60025000000002</v>
      </c>
      <c r="H64" s="17">
        <f>'AEO 2023 Table 35 Raw'!K51</f>
        <v>498.15963699999998</v>
      </c>
      <c r="I64" s="17">
        <f>'AEO 2023 Table 35 Raw'!L51</f>
        <v>478.73602299999999</v>
      </c>
      <c r="J64" s="17">
        <f>'AEO 2023 Table 35 Raw'!M51</f>
        <v>467.51080300000001</v>
      </c>
      <c r="K64" s="17">
        <f>'AEO 2023 Table 35 Raw'!N51</f>
        <v>459.09939600000001</v>
      </c>
      <c r="L64" s="17">
        <f>'AEO 2023 Table 35 Raw'!O51</f>
        <v>457.60861199999999</v>
      </c>
      <c r="M64" s="17">
        <f>'AEO 2023 Table 35 Raw'!P51</f>
        <v>455.80740400000002</v>
      </c>
      <c r="N64" s="17">
        <f>'AEO 2023 Table 35 Raw'!Q51</f>
        <v>455.02813700000002</v>
      </c>
      <c r="O64" s="17">
        <f>'AEO 2023 Table 35 Raw'!R51</f>
        <v>453.21978799999999</v>
      </c>
      <c r="P64" s="17">
        <f>'AEO 2023 Table 35 Raw'!S51</f>
        <v>451.31939699999998</v>
      </c>
      <c r="Q64" s="17">
        <f>'AEO 2023 Table 35 Raw'!T51</f>
        <v>447.886414</v>
      </c>
      <c r="R64" s="17">
        <f>'AEO 2023 Table 35 Raw'!U51</f>
        <v>446.59118699999999</v>
      </c>
      <c r="S64" s="17">
        <f>'AEO 2023 Table 35 Raw'!V51</f>
        <v>444.524719</v>
      </c>
      <c r="T64" s="17">
        <f>'AEO 2023 Table 35 Raw'!W51</f>
        <v>442.69528200000002</v>
      </c>
      <c r="U64" s="17">
        <f>'AEO 2023 Table 35 Raw'!X51</f>
        <v>443.20181300000002</v>
      </c>
      <c r="V64" s="17">
        <f>'AEO 2023 Table 35 Raw'!Y51</f>
        <v>440.411224</v>
      </c>
      <c r="W64" s="17">
        <f>'AEO 2023 Table 35 Raw'!Z51</f>
        <v>437.5</v>
      </c>
      <c r="X64" s="17">
        <f>'AEO 2023 Table 35 Raw'!AA51</f>
        <v>435.14239500000002</v>
      </c>
      <c r="Y64" s="17">
        <f>'AEO 2023 Table 35 Raw'!AB51</f>
        <v>433.06466699999999</v>
      </c>
      <c r="Z64" s="17">
        <f>'AEO 2023 Table 35 Raw'!AC51</f>
        <v>430.13955700000002</v>
      </c>
      <c r="AA64" s="17">
        <f>'AEO 2023 Table 35 Raw'!AD51</f>
        <v>428.80432100000002</v>
      </c>
      <c r="AB64" s="17">
        <f>'AEO 2023 Table 35 Raw'!AE51</f>
        <v>426.51617399999998</v>
      </c>
      <c r="AC64" s="17">
        <f>'AEO 2023 Table 35 Raw'!AF51</f>
        <v>419.48242199999999</v>
      </c>
      <c r="AD64" s="17">
        <f>'AEO 2023 Table 35 Raw'!AG51</f>
        <v>418.070831</v>
      </c>
      <c r="AE64" s="17">
        <f>'AEO 2023 Table 35 Raw'!AH51</f>
        <v>415.685272</v>
      </c>
      <c r="AF64" s="30">
        <f>'AEO 2023 Table 35 Raw'!AI51</f>
        <v>-1.7999999999999999E-2</v>
      </c>
    </row>
    <row r="65" spans="1:32" ht="15" customHeight="1">
      <c r="A65" s="7" t="s">
        <v>381</v>
      </c>
      <c r="B65" s="16" t="s">
        <v>382</v>
      </c>
      <c r="C65" s="17">
        <f>'AEO 2023 Table 35 Raw'!F52</f>
        <v>22.421617999999999</v>
      </c>
      <c r="D65" s="17">
        <f>'AEO 2023 Table 35 Raw'!G52</f>
        <v>22.410634999999999</v>
      </c>
      <c r="E65" s="17">
        <f>'AEO 2023 Table 35 Raw'!H52</f>
        <v>22.401547999999998</v>
      </c>
      <c r="F65" s="17">
        <f>'AEO 2023 Table 35 Raw'!I52</f>
        <v>22.394031999999999</v>
      </c>
      <c r="G65" s="17">
        <f>'AEO 2023 Table 35 Raw'!J52</f>
        <v>22.387812</v>
      </c>
      <c r="H65" s="17">
        <f>'AEO 2023 Table 35 Raw'!K52</f>
        <v>22.382666</v>
      </c>
      <c r="I65" s="17">
        <f>'AEO 2023 Table 35 Raw'!L52</f>
        <v>22.378406999999999</v>
      </c>
      <c r="J65" s="17">
        <f>'AEO 2023 Table 35 Raw'!M52</f>
        <v>22.374884000000002</v>
      </c>
      <c r="K65" s="17">
        <f>'AEO 2023 Table 35 Raw'!N52</f>
        <v>22.371969</v>
      </c>
      <c r="L65" s="17">
        <f>'AEO 2023 Table 35 Raw'!O52</f>
        <v>22.369558000000001</v>
      </c>
      <c r="M65" s="17">
        <f>'AEO 2023 Table 35 Raw'!P52</f>
        <v>22.367563000000001</v>
      </c>
      <c r="N65" s="17">
        <f>'AEO 2023 Table 35 Raw'!Q52</f>
        <v>22.365911000000001</v>
      </c>
      <c r="O65" s="17">
        <f>'AEO 2023 Table 35 Raw'!R52</f>
        <v>22.364546000000001</v>
      </c>
      <c r="P65" s="17">
        <f>'AEO 2023 Table 35 Raw'!S52</f>
        <v>22.363416999999998</v>
      </c>
      <c r="Q65" s="17">
        <f>'AEO 2023 Table 35 Raw'!T52</f>
        <v>22.362480000000001</v>
      </c>
      <c r="R65" s="17">
        <f>'AEO 2023 Table 35 Raw'!U52</f>
        <v>22.361708</v>
      </c>
      <c r="S65" s="17">
        <f>'AEO 2023 Table 35 Raw'!V52</f>
        <v>22.361066999999998</v>
      </c>
      <c r="T65" s="17">
        <f>'AEO 2023 Table 35 Raw'!W52</f>
        <v>22.360537999999998</v>
      </c>
      <c r="U65" s="17">
        <f>'AEO 2023 Table 35 Raw'!X52</f>
        <v>22.360099999999999</v>
      </c>
      <c r="V65" s="17">
        <f>'AEO 2023 Table 35 Raw'!Y52</f>
        <v>22.359736999999999</v>
      </c>
      <c r="W65" s="17">
        <f>'AEO 2023 Table 35 Raw'!Z52</f>
        <v>22.359438000000001</v>
      </c>
      <c r="X65" s="17">
        <f>'AEO 2023 Table 35 Raw'!AA52</f>
        <v>22.359190000000002</v>
      </c>
      <c r="Y65" s="17">
        <f>'AEO 2023 Table 35 Raw'!AB52</f>
        <v>22.358984</v>
      </c>
      <c r="Z65" s="17">
        <f>'AEO 2023 Table 35 Raw'!AC52</f>
        <v>22.358813999999999</v>
      </c>
      <c r="AA65" s="17">
        <f>'AEO 2023 Table 35 Raw'!AD52</f>
        <v>22.358673</v>
      </c>
      <c r="AB65" s="17">
        <f>'AEO 2023 Table 35 Raw'!AE52</f>
        <v>22.358557000000001</v>
      </c>
      <c r="AC65" s="17">
        <f>'AEO 2023 Table 35 Raw'!AF52</f>
        <v>22.358460999999998</v>
      </c>
      <c r="AD65" s="17">
        <f>'AEO 2023 Table 35 Raw'!AG52</f>
        <v>22.358381000000001</v>
      </c>
      <c r="AE65" s="17">
        <f>'AEO 2023 Table 35 Raw'!AH52</f>
        <v>22.358315000000001</v>
      </c>
      <c r="AF65" s="30">
        <f>'AEO 2023 Table 35 Raw'!AI52</f>
        <v>0</v>
      </c>
    </row>
    <row r="66" spans="1:32" ht="15" customHeight="1">
      <c r="A66" s="7" t="s">
        <v>383</v>
      </c>
      <c r="B66" s="16" t="s">
        <v>358</v>
      </c>
      <c r="C66" s="17">
        <f>'AEO 2023 Table 35 Raw'!F53</f>
        <v>11.098148</v>
      </c>
      <c r="D66" s="17">
        <f>'AEO 2023 Table 35 Raw'!G53</f>
        <v>11.638881</v>
      </c>
      <c r="E66" s="17">
        <f>'AEO 2023 Table 35 Raw'!H53</f>
        <v>11.734691</v>
      </c>
      <c r="F66" s="17">
        <f>'AEO 2023 Table 35 Raw'!I53</f>
        <v>11.841097</v>
      </c>
      <c r="G66" s="17">
        <f>'AEO 2023 Table 35 Raw'!J53</f>
        <v>11.937113999999999</v>
      </c>
      <c r="H66" s="17">
        <f>'AEO 2023 Table 35 Raw'!K53</f>
        <v>12.024255999999999</v>
      </c>
      <c r="I66" s="17">
        <f>'AEO 2023 Table 35 Raw'!L53</f>
        <v>11.830360000000001</v>
      </c>
      <c r="J66" s="17">
        <f>'AEO 2023 Table 35 Raw'!M53</f>
        <v>11.89204</v>
      </c>
      <c r="K66" s="17">
        <f>'AEO 2023 Table 35 Raw'!N53</f>
        <v>11.967136</v>
      </c>
      <c r="L66" s="17">
        <f>'AEO 2023 Table 35 Raw'!O53</f>
        <v>12.037926000000001</v>
      </c>
      <c r="M66" s="17">
        <f>'AEO 2023 Table 35 Raw'!P53</f>
        <v>12.127772</v>
      </c>
      <c r="N66" s="17">
        <f>'AEO 2023 Table 35 Raw'!Q53</f>
        <v>12.238341999999999</v>
      </c>
      <c r="O66" s="17">
        <f>'AEO 2023 Table 35 Raw'!R53</f>
        <v>12.364704</v>
      </c>
      <c r="P66" s="17">
        <f>'AEO 2023 Table 35 Raw'!S53</f>
        <v>12.498858</v>
      </c>
      <c r="Q66" s="17">
        <f>'AEO 2023 Table 35 Raw'!T53</f>
        <v>12.645001000000001</v>
      </c>
      <c r="R66" s="17">
        <f>'AEO 2023 Table 35 Raw'!U53</f>
        <v>12.827757</v>
      </c>
      <c r="S66" s="17">
        <f>'AEO 2023 Table 35 Raw'!V53</f>
        <v>13.023097999999999</v>
      </c>
      <c r="T66" s="17">
        <f>'AEO 2023 Table 35 Raw'!W53</f>
        <v>13.234344</v>
      </c>
      <c r="U66" s="17">
        <f>'AEO 2023 Table 35 Raw'!X53</f>
        <v>13.484800999999999</v>
      </c>
      <c r="V66" s="17">
        <f>'AEO 2023 Table 35 Raw'!Y53</f>
        <v>13.770166</v>
      </c>
      <c r="W66" s="17">
        <f>'AEO 2023 Table 35 Raw'!Z53</f>
        <v>14.090672</v>
      </c>
      <c r="X66" s="17">
        <f>'AEO 2023 Table 35 Raw'!AA53</f>
        <v>14.439</v>
      </c>
      <c r="Y66" s="17">
        <f>'AEO 2023 Table 35 Raw'!AB53</f>
        <v>14.813559</v>
      </c>
      <c r="Z66" s="17">
        <f>'AEO 2023 Table 35 Raw'!AC53</f>
        <v>15.22081</v>
      </c>
      <c r="AA66" s="17">
        <f>'AEO 2023 Table 35 Raw'!AD53</f>
        <v>15.666567000000001</v>
      </c>
      <c r="AB66" s="17">
        <f>'AEO 2023 Table 35 Raw'!AE53</f>
        <v>16.145886999999998</v>
      </c>
      <c r="AC66" s="17">
        <f>'AEO 2023 Table 35 Raw'!AF53</f>
        <v>16.648540000000001</v>
      </c>
      <c r="AD66" s="17">
        <f>'AEO 2023 Table 35 Raw'!AG53</f>
        <v>17.167376000000001</v>
      </c>
      <c r="AE66" s="17">
        <f>'AEO 2023 Table 35 Raw'!AH53</f>
        <v>17.720831</v>
      </c>
      <c r="AF66" s="30">
        <f>'AEO 2023 Table 35 Raw'!AI53</f>
        <v>1.7000000000000001E-2</v>
      </c>
    </row>
    <row r="67" spans="1:32" ht="15" customHeight="1">
      <c r="A67" s="7" t="s">
        <v>384</v>
      </c>
      <c r="B67" s="16" t="s">
        <v>385</v>
      </c>
      <c r="C67" s="17">
        <f>'AEO 2023 Table 35 Raw'!F54</f>
        <v>125.899567</v>
      </c>
      <c r="D67" s="17">
        <f>'AEO 2023 Table 35 Raw'!G54</f>
        <v>125.37957</v>
      </c>
      <c r="E67" s="17">
        <f>'AEO 2023 Table 35 Raw'!H54</f>
        <v>125.029449</v>
      </c>
      <c r="F67" s="17">
        <f>'AEO 2023 Table 35 Raw'!I54</f>
        <v>124.801453</v>
      </c>
      <c r="G67" s="17">
        <f>'AEO 2023 Table 35 Raw'!J54</f>
        <v>124.69525899999999</v>
      </c>
      <c r="H67" s="17">
        <f>'AEO 2023 Table 35 Raw'!K54</f>
        <v>124.384125</v>
      </c>
      <c r="I67" s="17">
        <f>'AEO 2023 Table 35 Raw'!L54</f>
        <v>124.116241</v>
      </c>
      <c r="J67" s="17">
        <f>'AEO 2023 Table 35 Raw'!M54</f>
        <v>123.91597</v>
      </c>
      <c r="K67" s="17">
        <f>'AEO 2023 Table 35 Raw'!N54</f>
        <v>123.706886</v>
      </c>
      <c r="L67" s="17">
        <f>'AEO 2023 Table 35 Raw'!O54</f>
        <v>123.50303599999999</v>
      </c>
      <c r="M67" s="17">
        <f>'AEO 2023 Table 35 Raw'!P54</f>
        <v>123.399162</v>
      </c>
      <c r="N67" s="17">
        <f>'AEO 2023 Table 35 Raw'!Q54</f>
        <v>123.350677</v>
      </c>
      <c r="O67" s="17">
        <f>'AEO 2023 Table 35 Raw'!R54</f>
        <v>123.229088</v>
      </c>
      <c r="P67" s="17">
        <f>'AEO 2023 Table 35 Raw'!S54</f>
        <v>123.060562</v>
      </c>
      <c r="Q67" s="17">
        <f>'AEO 2023 Table 35 Raw'!T54</f>
        <v>122.913391</v>
      </c>
      <c r="R67" s="17">
        <f>'AEO 2023 Table 35 Raw'!U54</f>
        <v>122.84301000000001</v>
      </c>
      <c r="S67" s="17">
        <f>'AEO 2023 Table 35 Raw'!V54</f>
        <v>122.868729</v>
      </c>
      <c r="T67" s="17">
        <f>'AEO 2023 Table 35 Raw'!W54</f>
        <v>122.974594</v>
      </c>
      <c r="U67" s="17">
        <f>'AEO 2023 Table 35 Raw'!X54</f>
        <v>123.115875</v>
      </c>
      <c r="V67" s="17">
        <f>'AEO 2023 Table 35 Raw'!Y54</f>
        <v>123.245796</v>
      </c>
      <c r="W67" s="17">
        <f>'AEO 2023 Table 35 Raw'!Z54</f>
        <v>123.376953</v>
      </c>
      <c r="X67" s="17">
        <f>'AEO 2023 Table 35 Raw'!AA54</f>
        <v>123.487793</v>
      </c>
      <c r="Y67" s="17">
        <f>'AEO 2023 Table 35 Raw'!AB54</f>
        <v>123.561241</v>
      </c>
      <c r="Z67" s="17">
        <f>'AEO 2023 Table 35 Raw'!AC54</f>
        <v>123.627106</v>
      </c>
      <c r="AA67" s="17">
        <f>'AEO 2023 Table 35 Raw'!AD54</f>
        <v>123.712143</v>
      </c>
      <c r="AB67" s="17">
        <f>'AEO 2023 Table 35 Raw'!AE54</f>
        <v>123.813293</v>
      </c>
      <c r="AC67" s="17">
        <f>'AEO 2023 Table 35 Raw'!AF54</f>
        <v>123.925461</v>
      </c>
      <c r="AD67" s="17">
        <f>'AEO 2023 Table 35 Raw'!AG54</f>
        <v>124.036011</v>
      </c>
      <c r="AE67" s="17">
        <f>'AEO 2023 Table 35 Raw'!AH54</f>
        <v>124.148155</v>
      </c>
      <c r="AF67" s="30">
        <f>'AEO 2023 Table 35 Raw'!AI54</f>
        <v>-1E-3</v>
      </c>
    </row>
    <row r="68" spans="1:32" ht="15" customHeight="1">
      <c r="A68" s="7" t="s">
        <v>386</v>
      </c>
      <c r="B68" s="16" t="s">
        <v>387</v>
      </c>
      <c r="C68" s="17">
        <f>'AEO 2023 Table 35 Raw'!F55</f>
        <v>26474.439452999999</v>
      </c>
      <c r="D68" s="17">
        <f>'AEO 2023 Table 35 Raw'!G55</f>
        <v>26275.306640999999</v>
      </c>
      <c r="E68" s="17">
        <f>'AEO 2023 Table 35 Raw'!H55</f>
        <v>25864.738281000002</v>
      </c>
      <c r="F68" s="17">
        <f>'AEO 2023 Table 35 Raw'!I55</f>
        <v>25424.923827999999</v>
      </c>
      <c r="G68" s="17">
        <f>'AEO 2023 Table 35 Raw'!J55</f>
        <v>25080.535156000002</v>
      </c>
      <c r="H68" s="17">
        <f>'AEO 2023 Table 35 Raw'!K55</f>
        <v>24781.728515999999</v>
      </c>
      <c r="I68" s="17">
        <f>'AEO 2023 Table 35 Raw'!L55</f>
        <v>24490.353515999999</v>
      </c>
      <c r="J68" s="17">
        <f>'AEO 2023 Table 35 Raw'!M55</f>
        <v>24154.6875</v>
      </c>
      <c r="K68" s="17">
        <f>'AEO 2023 Table 35 Raw'!N55</f>
        <v>23816.382812</v>
      </c>
      <c r="L68" s="17">
        <f>'AEO 2023 Table 35 Raw'!O55</f>
        <v>23520.125</v>
      </c>
      <c r="M68" s="17">
        <f>'AEO 2023 Table 35 Raw'!P55</f>
        <v>23260.289062</v>
      </c>
      <c r="N68" s="17">
        <f>'AEO 2023 Table 35 Raw'!Q55</f>
        <v>23027.552734000001</v>
      </c>
      <c r="O68" s="17">
        <f>'AEO 2023 Table 35 Raw'!R55</f>
        <v>22772.490234000001</v>
      </c>
      <c r="P68" s="17">
        <f>'AEO 2023 Table 35 Raw'!S55</f>
        <v>22516.123047000001</v>
      </c>
      <c r="Q68" s="17">
        <f>'AEO 2023 Table 35 Raw'!T55</f>
        <v>22253.423827999999</v>
      </c>
      <c r="R68" s="17">
        <f>'AEO 2023 Table 35 Raw'!U55</f>
        <v>22050.28125</v>
      </c>
      <c r="S68" s="17">
        <f>'AEO 2023 Table 35 Raw'!V55</f>
        <v>21887.285156000002</v>
      </c>
      <c r="T68" s="17">
        <f>'AEO 2023 Table 35 Raw'!W55</f>
        <v>21736.904297000001</v>
      </c>
      <c r="U68" s="17">
        <f>'AEO 2023 Table 35 Raw'!X55</f>
        <v>21630.789062</v>
      </c>
      <c r="V68" s="17">
        <f>'AEO 2023 Table 35 Raw'!Y55</f>
        <v>21524.599609000001</v>
      </c>
      <c r="W68" s="17">
        <f>'AEO 2023 Table 35 Raw'!Z55</f>
        <v>21444.472656000002</v>
      </c>
      <c r="X68" s="17">
        <f>'AEO 2023 Table 35 Raw'!AA55</f>
        <v>21380.144531000002</v>
      </c>
      <c r="Y68" s="17">
        <f>'AEO 2023 Table 35 Raw'!AB55</f>
        <v>21338.890625</v>
      </c>
      <c r="Z68" s="17">
        <f>'AEO 2023 Table 35 Raw'!AC55</f>
        <v>21319.636718999998</v>
      </c>
      <c r="AA68" s="17">
        <f>'AEO 2023 Table 35 Raw'!AD55</f>
        <v>21330.978515999999</v>
      </c>
      <c r="AB68" s="17">
        <f>'AEO 2023 Table 35 Raw'!AE55</f>
        <v>21368.953125</v>
      </c>
      <c r="AC68" s="17">
        <f>'AEO 2023 Table 35 Raw'!AF55</f>
        <v>21419.558593999998</v>
      </c>
      <c r="AD68" s="17">
        <f>'AEO 2023 Table 35 Raw'!AG55</f>
        <v>21498.136718999998</v>
      </c>
      <c r="AE68" s="17">
        <f>'AEO 2023 Table 35 Raw'!AH55</f>
        <v>21607.484375</v>
      </c>
      <c r="AF68" s="30">
        <f>'AEO 2023 Table 35 Raw'!AI55</f>
        <v>-7.0000000000000001E-3</v>
      </c>
    </row>
    <row r="69" spans="1:32" ht="15" customHeight="1">
      <c r="A69" s="7" t="s">
        <v>388</v>
      </c>
      <c r="B69" s="16" t="s">
        <v>389</v>
      </c>
      <c r="C69" s="17">
        <f>'AEO 2023 Table 35 Raw'!F56</f>
        <v>57.428192000000003</v>
      </c>
      <c r="D69" s="17">
        <f>'AEO 2023 Table 35 Raw'!G56</f>
        <v>67.812027</v>
      </c>
      <c r="E69" s="17">
        <f>'AEO 2023 Table 35 Raw'!H56</f>
        <v>80.637009000000006</v>
      </c>
      <c r="F69" s="17">
        <f>'AEO 2023 Table 35 Raw'!I56</f>
        <v>94.973990999999998</v>
      </c>
      <c r="G69" s="17">
        <f>'AEO 2023 Table 35 Raw'!J56</f>
        <v>112.106033</v>
      </c>
      <c r="H69" s="17">
        <f>'AEO 2023 Table 35 Raw'!K56</f>
        <v>132.39259300000001</v>
      </c>
      <c r="I69" s="17">
        <f>'AEO 2023 Table 35 Raw'!L56</f>
        <v>155.63859600000001</v>
      </c>
      <c r="J69" s="17">
        <f>'AEO 2023 Table 35 Raw'!M56</f>
        <v>182.34169</v>
      </c>
      <c r="K69" s="17">
        <f>'AEO 2023 Table 35 Raw'!N56</f>
        <v>212.164154</v>
      </c>
      <c r="L69" s="17">
        <f>'AEO 2023 Table 35 Raw'!O56</f>
        <v>239.845001</v>
      </c>
      <c r="M69" s="17">
        <f>'AEO 2023 Table 35 Raw'!P56</f>
        <v>268.92163099999999</v>
      </c>
      <c r="N69" s="17">
        <f>'AEO 2023 Table 35 Raw'!Q56</f>
        <v>298.28753699999999</v>
      </c>
      <c r="O69" s="17">
        <f>'AEO 2023 Table 35 Raw'!R56</f>
        <v>328.235229</v>
      </c>
      <c r="P69" s="17">
        <f>'AEO 2023 Table 35 Raw'!S56</f>
        <v>357.42300399999999</v>
      </c>
      <c r="Q69" s="17">
        <f>'AEO 2023 Table 35 Raw'!T56</f>
        <v>385.22830199999999</v>
      </c>
      <c r="R69" s="17">
        <f>'AEO 2023 Table 35 Raw'!U56</f>
        <v>412.47155800000002</v>
      </c>
      <c r="S69" s="17">
        <f>'AEO 2023 Table 35 Raw'!V56</f>
        <v>439.05050699999998</v>
      </c>
      <c r="T69" s="17">
        <f>'AEO 2023 Table 35 Raw'!W56</f>
        <v>464.62539700000002</v>
      </c>
      <c r="U69" s="17">
        <f>'AEO 2023 Table 35 Raw'!X56</f>
        <v>488.581299</v>
      </c>
      <c r="V69" s="17">
        <f>'AEO 2023 Table 35 Raw'!Y56</f>
        <v>511.21435500000001</v>
      </c>
      <c r="W69" s="17">
        <f>'AEO 2023 Table 35 Raw'!Z56</f>
        <v>532.63305700000001</v>
      </c>
      <c r="X69" s="17">
        <f>'AEO 2023 Table 35 Raw'!AA56</f>
        <v>552.37249799999995</v>
      </c>
      <c r="Y69" s="17">
        <f>'AEO 2023 Table 35 Raw'!AB56</f>
        <v>570.93585199999995</v>
      </c>
      <c r="Z69" s="17">
        <f>'AEO 2023 Table 35 Raw'!AC56</f>
        <v>587.90716599999996</v>
      </c>
      <c r="AA69" s="17">
        <f>'AEO 2023 Table 35 Raw'!AD56</f>
        <v>603.93145800000002</v>
      </c>
      <c r="AB69" s="17">
        <f>'AEO 2023 Table 35 Raw'!AE56</f>
        <v>619.66760299999999</v>
      </c>
      <c r="AC69" s="17">
        <f>'AEO 2023 Table 35 Raw'!AF56</f>
        <v>635.07214399999998</v>
      </c>
      <c r="AD69" s="17">
        <f>'AEO 2023 Table 35 Raw'!AG56</f>
        <v>649.73669400000006</v>
      </c>
      <c r="AE69" s="17">
        <f>'AEO 2023 Table 35 Raw'!AH56</f>
        <v>663.96758999999997</v>
      </c>
      <c r="AF69" s="30">
        <f>'AEO 2023 Table 35 Raw'!AI56</f>
        <v>9.0999999999999998E-2</v>
      </c>
    </row>
    <row r="70" spans="1:32" ht="15" customHeight="1">
      <c r="A70" s="7" t="s">
        <v>390</v>
      </c>
      <c r="B70" s="16" t="s">
        <v>391</v>
      </c>
      <c r="C70" s="17">
        <f>'AEO 2023 Table 35 Raw'!F57</f>
        <v>107.505577</v>
      </c>
      <c r="D70" s="17">
        <f>'AEO 2023 Table 35 Raw'!G57</f>
        <v>113.84777800000001</v>
      </c>
      <c r="E70" s="17">
        <f>'AEO 2023 Table 35 Raw'!H57</f>
        <v>122.752182</v>
      </c>
      <c r="F70" s="17">
        <f>'AEO 2023 Table 35 Raw'!I57</f>
        <v>118.38056899999999</v>
      </c>
      <c r="G70" s="17">
        <f>'AEO 2023 Table 35 Raw'!J57</f>
        <v>128.863663</v>
      </c>
      <c r="H70" s="17">
        <f>'AEO 2023 Table 35 Raw'!K57</f>
        <v>128.79482999999999</v>
      </c>
      <c r="I70" s="17">
        <f>'AEO 2023 Table 35 Raw'!L57</f>
        <v>133.25419600000001</v>
      </c>
      <c r="J70" s="17">
        <f>'AEO 2023 Table 35 Raw'!M57</f>
        <v>136.540436</v>
      </c>
      <c r="K70" s="17">
        <f>'AEO 2023 Table 35 Raw'!N57</f>
        <v>137.63580300000001</v>
      </c>
      <c r="L70" s="17">
        <f>'AEO 2023 Table 35 Raw'!O57</f>
        <v>137.40774500000001</v>
      </c>
      <c r="M70" s="17">
        <f>'AEO 2023 Table 35 Raw'!P57</f>
        <v>137.39987199999999</v>
      </c>
      <c r="N70" s="17">
        <f>'AEO 2023 Table 35 Raw'!Q57</f>
        <v>137.52301</v>
      </c>
      <c r="O70" s="17">
        <f>'AEO 2023 Table 35 Raw'!R57</f>
        <v>138.70100400000001</v>
      </c>
      <c r="P70" s="17">
        <f>'AEO 2023 Table 35 Raw'!S57</f>
        <v>141.654236</v>
      </c>
      <c r="Q70" s="17">
        <f>'AEO 2023 Table 35 Raw'!T57</f>
        <v>146.39292900000001</v>
      </c>
      <c r="R70" s="17">
        <f>'AEO 2023 Table 35 Raw'!U57</f>
        <v>152.01370199999999</v>
      </c>
      <c r="S70" s="17">
        <f>'AEO 2023 Table 35 Raw'!V57</f>
        <v>158.15837099999999</v>
      </c>
      <c r="T70" s="17">
        <f>'AEO 2023 Table 35 Raw'!W57</f>
        <v>164.34667999999999</v>
      </c>
      <c r="U70" s="17">
        <f>'AEO 2023 Table 35 Raw'!X57</f>
        <v>168.489655</v>
      </c>
      <c r="V70" s="17">
        <f>'AEO 2023 Table 35 Raw'!Y57</f>
        <v>175.71121199999999</v>
      </c>
      <c r="W70" s="17">
        <f>'AEO 2023 Table 35 Raw'!Z57</f>
        <v>184.33961500000001</v>
      </c>
      <c r="X70" s="17">
        <f>'AEO 2023 Table 35 Raw'!AA57</f>
        <v>193.912994</v>
      </c>
      <c r="Y70" s="17">
        <f>'AEO 2023 Table 35 Raw'!AB57</f>
        <v>203.51492300000001</v>
      </c>
      <c r="Z70" s="17">
        <f>'AEO 2023 Table 35 Raw'!AC57</f>
        <v>214.54742400000001</v>
      </c>
      <c r="AA70" s="17">
        <f>'AEO 2023 Table 35 Raw'!AD57</f>
        <v>225.16784699999999</v>
      </c>
      <c r="AB70" s="17">
        <f>'AEO 2023 Table 35 Raw'!AE57</f>
        <v>238.10320999999999</v>
      </c>
      <c r="AC70" s="17">
        <f>'AEO 2023 Table 35 Raw'!AF57</f>
        <v>253.38540599999999</v>
      </c>
      <c r="AD70" s="17">
        <f>'AEO 2023 Table 35 Raw'!AG57</f>
        <v>267.18725599999999</v>
      </c>
      <c r="AE70" s="17">
        <f>'AEO 2023 Table 35 Raw'!AH57</f>
        <v>281.74203499999999</v>
      </c>
      <c r="AF70" s="30">
        <f>'AEO 2023 Table 35 Raw'!AI57</f>
        <v>3.5000000000000003E-2</v>
      </c>
    </row>
    <row r="71" spans="1:32" ht="15" customHeight="1">
      <c r="A71" s="7" t="s">
        <v>392</v>
      </c>
      <c r="B71" s="16" t="s">
        <v>393</v>
      </c>
      <c r="C71" s="17">
        <f>'AEO 2023 Table 35 Raw'!F58</f>
        <v>0.44304500000000002</v>
      </c>
      <c r="D71" s="17">
        <f>'AEO 2023 Table 35 Raw'!G58</f>
        <v>0.52097800000000005</v>
      </c>
      <c r="E71" s="17">
        <f>'AEO 2023 Table 35 Raw'!H58</f>
        <v>0.58653200000000005</v>
      </c>
      <c r="F71" s="17">
        <f>'AEO 2023 Table 35 Raw'!I58</f>
        <v>0.64358099999999996</v>
      </c>
      <c r="G71" s="17">
        <f>'AEO 2023 Table 35 Raw'!J58</f>
        <v>0.70382699999999998</v>
      </c>
      <c r="H71" s="17">
        <f>'AEO 2023 Table 35 Raw'!K58</f>
        <v>0.76070499999999996</v>
      </c>
      <c r="I71" s="17">
        <f>'AEO 2023 Table 35 Raw'!L58</f>
        <v>0.82146399999999997</v>
      </c>
      <c r="J71" s="17">
        <f>'AEO 2023 Table 35 Raw'!M58</f>
        <v>0.878104</v>
      </c>
      <c r="K71" s="17">
        <f>'AEO 2023 Table 35 Raw'!N58</f>
        <v>0.938114</v>
      </c>
      <c r="L71" s="17">
        <f>'AEO 2023 Table 35 Raw'!O58</f>
        <v>0.99819199999999997</v>
      </c>
      <c r="M71" s="17">
        <f>'AEO 2023 Table 35 Raw'!P58</f>
        <v>1.0574220000000001</v>
      </c>
      <c r="N71" s="17">
        <f>'AEO 2023 Table 35 Raw'!Q58</f>
        <v>1.1148070000000001</v>
      </c>
      <c r="O71" s="17">
        <f>'AEO 2023 Table 35 Raw'!R58</f>
        <v>1.1702570000000001</v>
      </c>
      <c r="P71" s="17">
        <f>'AEO 2023 Table 35 Raw'!S58</f>
        <v>1.221687</v>
      </c>
      <c r="Q71" s="17">
        <f>'AEO 2023 Table 35 Raw'!T58</f>
        <v>1.266926</v>
      </c>
      <c r="R71" s="17">
        <f>'AEO 2023 Table 35 Raw'!U58</f>
        <v>1.310114</v>
      </c>
      <c r="S71" s="17">
        <f>'AEO 2023 Table 35 Raw'!V58</f>
        <v>1.3480730000000001</v>
      </c>
      <c r="T71" s="17">
        <f>'AEO 2023 Table 35 Raw'!W58</f>
        <v>1.380917</v>
      </c>
      <c r="U71" s="17">
        <f>'AEO 2023 Table 35 Raw'!X58</f>
        <v>1.4054770000000001</v>
      </c>
      <c r="V71" s="17">
        <f>'AEO 2023 Table 35 Raw'!Y58</f>
        <v>1.422318</v>
      </c>
      <c r="W71" s="17">
        <f>'AEO 2023 Table 35 Raw'!Z58</f>
        <v>1.439282</v>
      </c>
      <c r="X71" s="17">
        <f>'AEO 2023 Table 35 Raw'!AA58</f>
        <v>1.4485170000000001</v>
      </c>
      <c r="Y71" s="17">
        <f>'AEO 2023 Table 35 Raw'!AB58</f>
        <v>1.4535089999999999</v>
      </c>
      <c r="Z71" s="17">
        <f>'AEO 2023 Table 35 Raw'!AC58</f>
        <v>1.4530829999999999</v>
      </c>
      <c r="AA71" s="17">
        <f>'AEO 2023 Table 35 Raw'!AD58</f>
        <v>1.4517659999999999</v>
      </c>
      <c r="AB71" s="17">
        <f>'AEO 2023 Table 35 Raw'!AE58</f>
        <v>1.44834</v>
      </c>
      <c r="AC71" s="17">
        <f>'AEO 2023 Table 35 Raw'!AF58</f>
        <v>1.4429700000000001</v>
      </c>
      <c r="AD71" s="17">
        <f>'AEO 2023 Table 35 Raw'!AG58</f>
        <v>1.4353549999999999</v>
      </c>
      <c r="AE71" s="17">
        <f>'AEO 2023 Table 35 Raw'!AH58</f>
        <v>1.425951</v>
      </c>
      <c r="AF71" s="30">
        <f>'AEO 2023 Table 35 Raw'!AI58</f>
        <v>4.2999999999999997E-2</v>
      </c>
    </row>
    <row r="72" spans="1:32" ht="15" customHeight="1">
      <c r="A72" s="7" t="s">
        <v>394</v>
      </c>
      <c r="B72" s="16" t="s">
        <v>395</v>
      </c>
      <c r="C72" s="17">
        <f>'AEO 2023 Table 35 Raw'!F59</f>
        <v>905.84051499999998</v>
      </c>
      <c r="D72" s="17">
        <f>'AEO 2023 Table 35 Raw'!G59</f>
        <v>818.09411599999999</v>
      </c>
      <c r="E72" s="17">
        <f>'AEO 2023 Table 35 Raw'!H59</f>
        <v>750.09661900000003</v>
      </c>
      <c r="F72" s="17">
        <f>'AEO 2023 Table 35 Raw'!I59</f>
        <v>710.96716300000003</v>
      </c>
      <c r="G72" s="17">
        <f>'AEO 2023 Table 35 Raw'!J59</f>
        <v>683.21826199999998</v>
      </c>
      <c r="H72" s="17">
        <f>'AEO 2023 Table 35 Raw'!K59</f>
        <v>644.43926999999996</v>
      </c>
      <c r="I72" s="17">
        <f>'AEO 2023 Table 35 Raw'!L59</f>
        <v>605.86267099999998</v>
      </c>
      <c r="J72" s="17">
        <f>'AEO 2023 Table 35 Raw'!M59</f>
        <v>601.30419900000004</v>
      </c>
      <c r="K72" s="17">
        <f>'AEO 2023 Table 35 Raw'!N59</f>
        <v>598.79797399999995</v>
      </c>
      <c r="L72" s="17">
        <f>'AEO 2023 Table 35 Raw'!O59</f>
        <v>601.64556900000002</v>
      </c>
      <c r="M72" s="17">
        <f>'AEO 2023 Table 35 Raw'!P59</f>
        <v>607.49902299999997</v>
      </c>
      <c r="N72" s="17">
        <f>'AEO 2023 Table 35 Raw'!Q59</f>
        <v>616.87213099999997</v>
      </c>
      <c r="O72" s="17">
        <f>'AEO 2023 Table 35 Raw'!R59</f>
        <v>619.33136000000002</v>
      </c>
      <c r="P72" s="17">
        <f>'AEO 2023 Table 35 Raw'!S59</f>
        <v>618.89520300000004</v>
      </c>
      <c r="Q72" s="17">
        <f>'AEO 2023 Table 35 Raw'!T59</f>
        <v>614.86352499999998</v>
      </c>
      <c r="R72" s="17">
        <f>'AEO 2023 Table 35 Raw'!U59</f>
        <v>616.29345699999999</v>
      </c>
      <c r="S72" s="17">
        <f>'AEO 2023 Table 35 Raw'!V59</f>
        <v>618.09863299999995</v>
      </c>
      <c r="T72" s="17">
        <f>'AEO 2023 Table 35 Raw'!W59</f>
        <v>620.82605000000001</v>
      </c>
      <c r="U72" s="17">
        <f>'AEO 2023 Table 35 Raw'!X59</f>
        <v>630.065247</v>
      </c>
      <c r="V72" s="17">
        <f>'AEO 2023 Table 35 Raw'!Y59</f>
        <v>633.584656</v>
      </c>
      <c r="W72" s="17">
        <f>'AEO 2023 Table 35 Raw'!Z59</f>
        <v>638.84863299999995</v>
      </c>
      <c r="X72" s="17">
        <f>'AEO 2023 Table 35 Raw'!AA59</f>
        <v>640.74737500000003</v>
      </c>
      <c r="Y72" s="17">
        <f>'AEO 2023 Table 35 Raw'!AB59</f>
        <v>649.03729199999998</v>
      </c>
      <c r="Z72" s="17">
        <f>'AEO 2023 Table 35 Raw'!AC59</f>
        <v>651.38903800000003</v>
      </c>
      <c r="AA72" s="17">
        <f>'AEO 2023 Table 35 Raw'!AD59</f>
        <v>659.87823500000002</v>
      </c>
      <c r="AB72" s="17">
        <f>'AEO 2023 Table 35 Raw'!AE59</f>
        <v>665.15924099999995</v>
      </c>
      <c r="AC72" s="17">
        <f>'AEO 2023 Table 35 Raw'!AF59</f>
        <v>671.01440400000001</v>
      </c>
      <c r="AD72" s="17">
        <f>'AEO 2023 Table 35 Raw'!AG59</f>
        <v>672.52191200000004</v>
      </c>
      <c r="AE72" s="17">
        <f>'AEO 2023 Table 35 Raw'!AH59</f>
        <v>679.09362799999997</v>
      </c>
      <c r="AF72" s="30">
        <f>'AEO 2023 Table 35 Raw'!AI59</f>
        <v>-0.01</v>
      </c>
    </row>
    <row r="73" spans="1:32" ht="12" customHeight="1">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30"/>
    </row>
    <row r="74" spans="1:32" ht="15" customHeight="1">
      <c r="A74" s="7" t="s">
        <v>396</v>
      </c>
      <c r="B74" s="15" t="s">
        <v>143</v>
      </c>
      <c r="C74" s="17">
        <f>'AEO 2023 Table 35 Raw'!F60</f>
        <v>332.52310199999999</v>
      </c>
      <c r="D74" s="17">
        <f>'AEO 2023 Table 35 Raw'!G60</f>
        <v>377.97052000000002</v>
      </c>
      <c r="E74" s="17">
        <f>'AEO 2023 Table 35 Raw'!H60</f>
        <v>384.00460800000002</v>
      </c>
      <c r="F74" s="17">
        <f>'AEO 2023 Table 35 Raw'!I60</f>
        <v>408.78292800000003</v>
      </c>
      <c r="G74" s="17">
        <f>'AEO 2023 Table 35 Raw'!J60</f>
        <v>446.260651</v>
      </c>
      <c r="H74" s="17">
        <f>'AEO 2023 Table 35 Raw'!K60</f>
        <v>477.17263800000001</v>
      </c>
      <c r="I74" s="17">
        <f>'AEO 2023 Table 35 Raw'!L60</f>
        <v>503.61007699999999</v>
      </c>
      <c r="J74" s="17">
        <f>'AEO 2023 Table 35 Raw'!M60</f>
        <v>527.57086200000003</v>
      </c>
      <c r="K74" s="17">
        <f>'AEO 2023 Table 35 Raw'!N60</f>
        <v>577.96905500000003</v>
      </c>
      <c r="L74" s="17">
        <f>'AEO 2023 Table 35 Raw'!O60</f>
        <v>628.36724900000002</v>
      </c>
      <c r="M74" s="17">
        <f>'AEO 2023 Table 35 Raw'!P60</f>
        <v>680.00372300000004</v>
      </c>
      <c r="N74" s="17">
        <f>'AEO 2023 Table 35 Raw'!Q60</f>
        <v>729.163635</v>
      </c>
      <c r="O74" s="17">
        <f>'AEO 2023 Table 35 Raw'!R60</f>
        <v>779.56182899999999</v>
      </c>
      <c r="P74" s="17">
        <f>'AEO 2023 Table 35 Raw'!S60</f>
        <v>813.16064500000005</v>
      </c>
      <c r="Q74" s="17">
        <f>'AEO 2023 Table 35 Raw'!T60</f>
        <v>831.19830300000001</v>
      </c>
      <c r="R74" s="17">
        <f>'AEO 2023 Table 35 Raw'!U60</f>
        <v>846.75939900000003</v>
      </c>
      <c r="S74" s="17">
        <f>'AEO 2023 Table 35 Raw'!V60</f>
        <v>863.55883800000004</v>
      </c>
      <c r="T74" s="17">
        <f>'AEO 2023 Table 35 Raw'!W60</f>
        <v>871.95855700000004</v>
      </c>
      <c r="U74" s="17">
        <f>'AEO 2023 Table 35 Raw'!X60</f>
        <v>873.19683799999996</v>
      </c>
      <c r="V74" s="17">
        <f>'AEO 2023 Table 35 Raw'!Y60</f>
        <v>871.95855700000004</v>
      </c>
      <c r="W74" s="17">
        <f>'AEO 2023 Table 35 Raw'!Z60</f>
        <v>871.95855700000004</v>
      </c>
      <c r="X74" s="17">
        <f>'AEO 2023 Table 35 Raw'!AA60</f>
        <v>871.95855700000004</v>
      </c>
      <c r="Y74" s="17">
        <f>'AEO 2023 Table 35 Raw'!AB60</f>
        <v>873.19683799999996</v>
      </c>
      <c r="Z74" s="17">
        <f>'AEO 2023 Table 35 Raw'!AC60</f>
        <v>871.95855700000004</v>
      </c>
      <c r="AA74" s="17">
        <f>'AEO 2023 Table 35 Raw'!AD60</f>
        <v>871.95855700000004</v>
      </c>
      <c r="AB74" s="17">
        <f>'AEO 2023 Table 35 Raw'!AE60</f>
        <v>871.95855700000004</v>
      </c>
      <c r="AC74" s="17">
        <f>'AEO 2023 Table 35 Raw'!AF60</f>
        <v>873.19683799999996</v>
      </c>
      <c r="AD74" s="17">
        <f>'AEO 2023 Table 35 Raw'!AG60</f>
        <v>871.95855700000004</v>
      </c>
      <c r="AE74" s="17">
        <f>'AEO 2023 Table 35 Raw'!AH60</f>
        <v>871.95855700000004</v>
      </c>
      <c r="AF74" s="30">
        <f>'AEO 2023 Table 35 Raw'!AI60</f>
        <v>3.5000000000000003E-2</v>
      </c>
    </row>
    <row r="75" spans="1:32" ht="15" customHeight="1" thickBot="1"/>
    <row r="76" spans="1:32" ht="15" customHeight="1">
      <c r="B76" s="103" t="s">
        <v>397</v>
      </c>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row>
    <row r="77" spans="1:32" ht="15" customHeight="1">
      <c r="B77" s="4" t="s">
        <v>398</v>
      </c>
    </row>
    <row r="78" spans="1:32" ht="15" customHeight="1">
      <c r="B78" s="4" t="s">
        <v>399</v>
      </c>
    </row>
    <row r="79" spans="1:32" ht="15" customHeight="1">
      <c r="B79" s="4" t="s">
        <v>400</v>
      </c>
    </row>
    <row r="80" spans="1:32" ht="15" customHeight="1">
      <c r="B80" s="4" t="s">
        <v>401</v>
      </c>
    </row>
    <row r="81" spans="2:2" ht="15" customHeight="1">
      <c r="B81" s="4" t="s">
        <v>402</v>
      </c>
    </row>
    <row r="82" spans="2:2" ht="15" customHeight="1">
      <c r="B82" s="4" t="s">
        <v>144</v>
      </c>
    </row>
    <row r="83" spans="2:2" ht="15" customHeight="1">
      <c r="B83" s="4" t="s">
        <v>403</v>
      </c>
    </row>
    <row r="84" spans="2:2" ht="15" customHeight="1">
      <c r="B84" s="4" t="s">
        <v>157</v>
      </c>
    </row>
    <row r="85" spans="2:2" ht="15" customHeight="1">
      <c r="B85" s="4" t="s">
        <v>404</v>
      </c>
    </row>
    <row r="86" spans="2:2" ht="15" customHeight="1">
      <c r="B86" s="4" t="s">
        <v>405</v>
      </c>
    </row>
    <row r="87" spans="2:2" ht="15" customHeight="1">
      <c r="B87" s="4" t="s">
        <v>406</v>
      </c>
    </row>
    <row r="90" spans="2:2" ht="12" customHeight="1"/>
    <row r="95" spans="2:2" ht="12" customHeight="1"/>
    <row r="97" ht="12" customHeight="1"/>
    <row r="113" spans="2:32" ht="12" customHeight="1"/>
    <row r="115" spans="2:32" ht="15" customHeight="1"/>
    <row r="116" spans="2:32" ht="15" customHeight="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row>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2" ht="15" customHeight="1"/>
    <row r="258" spans="2:32" ht="15" customHeight="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2" ht="12" customHeight="1"/>
    <row r="498" spans="2:32" ht="12" customHeight="1"/>
    <row r="499" spans="2:32" ht="12" customHeight="1"/>
    <row r="500" spans="2:32" ht="15" customHeight="1">
      <c r="B500" s="102"/>
      <c r="C500" s="101"/>
      <c r="D500" s="101"/>
      <c r="E500" s="101"/>
      <c r="F500" s="101"/>
      <c r="G500" s="101"/>
      <c r="H500" s="101"/>
      <c r="I500" s="101"/>
      <c r="J500" s="101"/>
      <c r="K500" s="101"/>
      <c r="L500" s="101"/>
      <c r="M500" s="101"/>
      <c r="N500" s="101"/>
      <c r="O500" s="101"/>
      <c r="P500" s="101"/>
      <c r="Q500" s="101"/>
      <c r="R500" s="101"/>
      <c r="S500" s="101"/>
      <c r="T500" s="101"/>
      <c r="U500" s="101"/>
      <c r="V500" s="101"/>
      <c r="W500" s="101"/>
      <c r="X500" s="101"/>
      <c r="Y500" s="101"/>
      <c r="Z500" s="101"/>
      <c r="AA500" s="101"/>
      <c r="AB500" s="101"/>
      <c r="AC500" s="101"/>
      <c r="AD500" s="101"/>
      <c r="AE500" s="101"/>
      <c r="AF500" s="101"/>
    </row>
    <row r="503" spans="2:32" ht="15" customHeight="1"/>
    <row r="504" spans="2:32" ht="15" customHeight="1"/>
    <row r="510" spans="2:32" ht="12" customHeight="1"/>
    <row r="527" ht="12" customHeight="1"/>
    <row r="529" ht="12" customHeight="1"/>
    <row r="535" ht="12" customHeight="1"/>
    <row r="552" spans="2:32" ht="12" customHeight="1"/>
    <row r="554" spans="2:32" ht="12" customHeight="1"/>
    <row r="556" spans="2:32" ht="15" customHeight="1"/>
    <row r="557" spans="2:32" ht="15" customHeight="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101"/>
      <c r="C886" s="101"/>
      <c r="D886" s="101"/>
      <c r="E886" s="101"/>
      <c r="F886" s="101"/>
      <c r="G886" s="101"/>
      <c r="H886" s="101"/>
      <c r="I886" s="101"/>
      <c r="J886" s="101"/>
      <c r="K886" s="101"/>
      <c r="L886" s="101"/>
      <c r="M886" s="101"/>
      <c r="N886" s="101"/>
      <c r="O886" s="101"/>
      <c r="P886" s="101"/>
      <c r="Q886" s="101"/>
      <c r="R886" s="101"/>
      <c r="S886" s="101"/>
      <c r="T886" s="101"/>
      <c r="U886" s="101"/>
      <c r="V886" s="101"/>
      <c r="W886" s="101"/>
      <c r="X886" s="101"/>
      <c r="Y886" s="101"/>
      <c r="Z886" s="101"/>
      <c r="AA886" s="101"/>
      <c r="AB886" s="101"/>
      <c r="AC886" s="101"/>
      <c r="AD886" s="101"/>
      <c r="AE886" s="101"/>
      <c r="AF886" s="101"/>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101"/>
      <c r="C969" s="101"/>
      <c r="D969" s="101"/>
      <c r="E969" s="101"/>
      <c r="F969" s="101"/>
      <c r="G969" s="101"/>
      <c r="H969" s="101"/>
      <c r="I969" s="101"/>
      <c r="J969" s="101"/>
      <c r="K969" s="101"/>
      <c r="L969" s="101"/>
      <c r="M969" s="101"/>
      <c r="N969" s="101"/>
      <c r="O969" s="101"/>
      <c r="P969" s="101"/>
      <c r="Q969" s="101"/>
      <c r="R969" s="101"/>
      <c r="S969" s="101"/>
      <c r="T969" s="101"/>
      <c r="U969" s="101"/>
      <c r="V969" s="101"/>
      <c r="W969" s="101"/>
      <c r="X969" s="101"/>
      <c r="Y969" s="101"/>
      <c r="Z969" s="101"/>
      <c r="AA969" s="101"/>
      <c r="AB969" s="101"/>
      <c r="AC969" s="101"/>
      <c r="AD969" s="101"/>
      <c r="AE969" s="101"/>
      <c r="AF969" s="101"/>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101"/>
      <c r="C1071" s="101"/>
      <c r="D1071" s="101"/>
      <c r="E1071" s="101"/>
      <c r="F1071" s="101"/>
      <c r="G1071" s="101"/>
      <c r="H1071" s="101"/>
      <c r="I1071" s="101"/>
      <c r="J1071" s="101"/>
      <c r="K1071" s="101"/>
      <c r="L1071" s="101"/>
      <c r="M1071" s="101"/>
      <c r="N1071" s="101"/>
      <c r="O1071" s="101"/>
      <c r="P1071" s="101"/>
      <c r="Q1071" s="101"/>
      <c r="R1071" s="101"/>
      <c r="S1071" s="101"/>
      <c r="T1071" s="101"/>
      <c r="U1071" s="101"/>
      <c r="V1071" s="101"/>
      <c r="W1071" s="101"/>
      <c r="X1071" s="101"/>
      <c r="Y1071" s="101"/>
      <c r="Z1071" s="101"/>
      <c r="AA1071" s="101"/>
      <c r="AB1071" s="101"/>
      <c r="AC1071" s="101"/>
      <c r="AD1071" s="101"/>
      <c r="AE1071" s="101"/>
      <c r="AF1071" s="10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101"/>
      <c r="C1169" s="101"/>
      <c r="D1169" s="101"/>
      <c r="E1169" s="101"/>
      <c r="F1169" s="101"/>
      <c r="G1169" s="101"/>
      <c r="H1169" s="101"/>
      <c r="I1169" s="101"/>
      <c r="J1169" s="101"/>
      <c r="K1169" s="101"/>
      <c r="L1169" s="101"/>
      <c r="M1169" s="101"/>
      <c r="N1169" s="101"/>
      <c r="O1169" s="101"/>
      <c r="P1169" s="101"/>
      <c r="Q1169" s="101"/>
      <c r="R1169" s="101"/>
      <c r="S1169" s="101"/>
      <c r="T1169" s="101"/>
      <c r="U1169" s="101"/>
      <c r="V1169" s="101"/>
      <c r="W1169" s="101"/>
      <c r="X1169" s="101"/>
      <c r="Y1169" s="101"/>
      <c r="Z1169" s="101"/>
      <c r="AA1169" s="101"/>
      <c r="AB1169" s="101"/>
      <c r="AC1169" s="101"/>
      <c r="AD1169" s="101"/>
      <c r="AE1169" s="101"/>
      <c r="AF1169" s="101"/>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101"/>
      <c r="C1269" s="101"/>
      <c r="D1269" s="101"/>
      <c r="E1269" s="101"/>
      <c r="F1269" s="101"/>
      <c r="G1269" s="101"/>
      <c r="H1269" s="101"/>
      <c r="I1269" s="101"/>
      <c r="J1269" s="101"/>
      <c r="K1269" s="101"/>
      <c r="L1269" s="101"/>
      <c r="M1269" s="101"/>
      <c r="N1269" s="101"/>
      <c r="O1269" s="101"/>
      <c r="P1269" s="101"/>
      <c r="Q1269" s="101"/>
      <c r="R1269" s="101"/>
      <c r="S1269" s="101"/>
      <c r="T1269" s="101"/>
      <c r="U1269" s="101"/>
      <c r="V1269" s="101"/>
      <c r="W1269" s="101"/>
      <c r="X1269" s="101"/>
      <c r="Y1269" s="101"/>
      <c r="Z1269" s="101"/>
      <c r="AA1269" s="101"/>
      <c r="AB1269" s="101"/>
      <c r="AC1269" s="101"/>
      <c r="AD1269" s="101"/>
      <c r="AE1269" s="101"/>
      <c r="AF1269" s="101"/>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101"/>
      <c r="C1484" s="101"/>
      <c r="D1484" s="101"/>
      <c r="E1484" s="101"/>
      <c r="F1484" s="101"/>
      <c r="G1484" s="101"/>
      <c r="H1484" s="101"/>
      <c r="I1484" s="101"/>
      <c r="J1484" s="101"/>
      <c r="K1484" s="101"/>
      <c r="L1484" s="101"/>
      <c r="M1484" s="101"/>
      <c r="N1484" s="101"/>
      <c r="O1484" s="101"/>
      <c r="P1484" s="101"/>
      <c r="Q1484" s="101"/>
      <c r="R1484" s="101"/>
      <c r="S1484" s="101"/>
      <c r="T1484" s="101"/>
      <c r="U1484" s="101"/>
      <c r="V1484" s="101"/>
      <c r="W1484" s="101"/>
      <c r="X1484" s="101"/>
      <c r="Y1484" s="101"/>
      <c r="Z1484" s="101"/>
      <c r="AA1484" s="101"/>
      <c r="AB1484" s="101"/>
      <c r="AC1484" s="101"/>
      <c r="AD1484" s="101"/>
      <c r="AE1484" s="101"/>
      <c r="AF1484" s="10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101"/>
      <c r="C1713" s="101"/>
      <c r="D1713" s="101"/>
      <c r="E1713" s="101"/>
      <c r="F1713" s="101"/>
      <c r="G1713" s="101"/>
      <c r="H1713" s="101"/>
      <c r="I1713" s="101"/>
      <c r="J1713" s="101"/>
      <c r="K1713" s="101"/>
      <c r="L1713" s="101"/>
      <c r="M1713" s="101"/>
      <c r="N1713" s="101"/>
      <c r="O1713" s="101"/>
      <c r="P1713" s="101"/>
      <c r="Q1713" s="101"/>
      <c r="R1713" s="101"/>
      <c r="S1713" s="101"/>
      <c r="T1713" s="101"/>
      <c r="U1713" s="101"/>
      <c r="V1713" s="101"/>
      <c r="W1713" s="101"/>
      <c r="X1713" s="101"/>
      <c r="Y1713" s="101"/>
      <c r="Z1713" s="101"/>
      <c r="AA1713" s="101"/>
      <c r="AB1713" s="101"/>
      <c r="AC1713" s="101"/>
      <c r="AD1713" s="101"/>
      <c r="AE1713" s="101"/>
      <c r="AF1713" s="10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101"/>
      <c r="C1990" s="101"/>
      <c r="D1990" s="101"/>
      <c r="E1990" s="101"/>
      <c r="F1990" s="101"/>
      <c r="G1990" s="101"/>
      <c r="H1990" s="101"/>
      <c r="I1990" s="101"/>
      <c r="J1990" s="101"/>
      <c r="K1990" s="101"/>
      <c r="L1990" s="101"/>
      <c r="M1990" s="101"/>
      <c r="N1990" s="101"/>
      <c r="O1990" s="101"/>
      <c r="P1990" s="101"/>
      <c r="Q1990" s="101"/>
      <c r="R1990" s="101"/>
      <c r="S1990" s="101"/>
      <c r="T1990" s="101"/>
      <c r="U1990" s="101"/>
      <c r="V1990" s="101"/>
      <c r="W1990" s="101"/>
      <c r="X1990" s="101"/>
      <c r="Y1990" s="101"/>
      <c r="Z1990" s="101"/>
      <c r="AA1990" s="101"/>
      <c r="AB1990" s="101"/>
      <c r="AC1990" s="101"/>
      <c r="AD1990" s="101"/>
      <c r="AE1990" s="101"/>
      <c r="AF1990" s="101"/>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101"/>
      <c r="C2325" s="101"/>
      <c r="D2325" s="101"/>
      <c r="E2325" s="101"/>
      <c r="F2325" s="101"/>
      <c r="G2325" s="101"/>
      <c r="H2325" s="101"/>
      <c r="I2325" s="101"/>
      <c r="J2325" s="101"/>
      <c r="K2325" s="101"/>
      <c r="L2325" s="101"/>
      <c r="M2325" s="101"/>
      <c r="N2325" s="101"/>
      <c r="O2325" s="101"/>
      <c r="P2325" s="101"/>
      <c r="Q2325" s="101"/>
      <c r="R2325" s="101"/>
      <c r="S2325" s="101"/>
      <c r="T2325" s="101"/>
      <c r="U2325" s="101"/>
      <c r="V2325" s="101"/>
      <c r="W2325" s="101"/>
      <c r="X2325" s="101"/>
      <c r="Y2325" s="101"/>
      <c r="Z2325" s="101"/>
      <c r="AA2325" s="101"/>
      <c r="AB2325" s="101"/>
      <c r="AC2325" s="101"/>
      <c r="AD2325" s="101"/>
      <c r="AE2325" s="101"/>
      <c r="AF2325" s="101"/>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101"/>
      <c r="C2645" s="101"/>
      <c r="D2645" s="101"/>
      <c r="E2645" s="101"/>
      <c r="F2645" s="101"/>
      <c r="G2645" s="101"/>
      <c r="H2645" s="101"/>
      <c r="I2645" s="101"/>
      <c r="J2645" s="101"/>
      <c r="K2645" s="101"/>
      <c r="L2645" s="101"/>
      <c r="M2645" s="101"/>
      <c r="N2645" s="101"/>
      <c r="O2645" s="101"/>
      <c r="P2645" s="101"/>
      <c r="Q2645" s="101"/>
      <c r="R2645" s="101"/>
      <c r="S2645" s="101"/>
      <c r="T2645" s="101"/>
      <c r="U2645" s="101"/>
      <c r="V2645" s="101"/>
      <c r="W2645" s="101"/>
      <c r="X2645" s="101"/>
      <c r="Y2645" s="101"/>
      <c r="Z2645" s="101"/>
      <c r="AA2645" s="101"/>
      <c r="AB2645" s="101"/>
      <c r="AC2645" s="101"/>
      <c r="AD2645" s="101"/>
      <c r="AE2645" s="101"/>
      <c r="AF2645" s="101"/>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101"/>
      <c r="C2971" s="101"/>
      <c r="D2971" s="101"/>
      <c r="E2971" s="101"/>
      <c r="F2971" s="101"/>
      <c r="G2971" s="101"/>
      <c r="H2971" s="101"/>
      <c r="I2971" s="101"/>
      <c r="J2971" s="101"/>
      <c r="K2971" s="101"/>
      <c r="L2971" s="101"/>
      <c r="M2971" s="101"/>
      <c r="N2971" s="101"/>
      <c r="O2971" s="101"/>
      <c r="P2971" s="101"/>
      <c r="Q2971" s="101"/>
      <c r="R2971" s="101"/>
      <c r="S2971" s="101"/>
      <c r="T2971" s="101"/>
      <c r="U2971" s="101"/>
      <c r="V2971" s="101"/>
      <c r="W2971" s="101"/>
      <c r="X2971" s="101"/>
      <c r="Y2971" s="101"/>
      <c r="Z2971" s="101"/>
      <c r="AA2971" s="101"/>
      <c r="AB2971" s="101"/>
      <c r="AC2971" s="101"/>
      <c r="AD2971" s="101"/>
      <c r="AE2971" s="101"/>
      <c r="AF2971" s="101"/>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101"/>
      <c r="C3293" s="101"/>
      <c r="D3293" s="101"/>
      <c r="E3293" s="101"/>
      <c r="F3293" s="101"/>
      <c r="G3293" s="101"/>
      <c r="H3293" s="101"/>
      <c r="I3293" s="101"/>
      <c r="J3293" s="101"/>
      <c r="K3293" s="101"/>
      <c r="L3293" s="101"/>
      <c r="M3293" s="101"/>
      <c r="N3293" s="101"/>
      <c r="O3293" s="101"/>
      <c r="P3293" s="101"/>
      <c r="Q3293" s="101"/>
      <c r="R3293" s="101"/>
      <c r="S3293" s="101"/>
      <c r="T3293" s="101"/>
      <c r="U3293" s="101"/>
      <c r="V3293" s="101"/>
      <c r="W3293" s="101"/>
      <c r="X3293" s="101"/>
      <c r="Y3293" s="101"/>
      <c r="Z3293" s="101"/>
      <c r="AA3293" s="101"/>
      <c r="AB3293" s="101"/>
      <c r="AC3293" s="101"/>
      <c r="AD3293" s="101"/>
      <c r="AE3293" s="101"/>
      <c r="AF3293" s="10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101"/>
      <c r="C3402" s="101"/>
      <c r="D3402" s="101"/>
      <c r="E3402" s="101"/>
      <c r="F3402" s="101"/>
      <c r="G3402" s="101"/>
      <c r="H3402" s="101"/>
      <c r="I3402" s="101"/>
      <c r="J3402" s="101"/>
      <c r="K3402" s="101"/>
      <c r="L3402" s="101"/>
      <c r="M3402" s="101"/>
      <c r="N3402" s="101"/>
      <c r="O3402" s="101"/>
      <c r="P3402" s="101"/>
      <c r="Q3402" s="101"/>
      <c r="R3402" s="101"/>
      <c r="S3402" s="101"/>
      <c r="T3402" s="101"/>
      <c r="U3402" s="101"/>
      <c r="V3402" s="101"/>
      <c r="W3402" s="101"/>
      <c r="X3402" s="101"/>
      <c r="Y3402" s="101"/>
      <c r="Z3402" s="101"/>
      <c r="AA3402" s="101"/>
      <c r="AB3402" s="101"/>
      <c r="AC3402" s="101"/>
      <c r="AD3402" s="101"/>
      <c r="AE3402" s="101"/>
      <c r="AF3402" s="10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101"/>
      <c r="C3527" s="101"/>
      <c r="D3527" s="101"/>
      <c r="E3527" s="101"/>
      <c r="F3527" s="101"/>
      <c r="G3527" s="101"/>
      <c r="H3527" s="101"/>
      <c r="I3527" s="101"/>
      <c r="J3527" s="101"/>
      <c r="K3527" s="101"/>
      <c r="L3527" s="101"/>
      <c r="M3527" s="101"/>
      <c r="N3527" s="101"/>
      <c r="O3527" s="101"/>
      <c r="P3527" s="101"/>
      <c r="Q3527" s="101"/>
      <c r="R3527" s="101"/>
      <c r="S3527" s="101"/>
      <c r="T3527" s="101"/>
      <c r="U3527" s="101"/>
      <c r="V3527" s="101"/>
      <c r="W3527" s="101"/>
      <c r="X3527" s="101"/>
      <c r="Y3527" s="101"/>
      <c r="Z3527" s="101"/>
      <c r="AA3527" s="101"/>
      <c r="AB3527" s="101"/>
      <c r="AC3527" s="101"/>
      <c r="AD3527" s="101"/>
      <c r="AE3527" s="101"/>
      <c r="AF3527" s="101"/>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101"/>
      <c r="C3652" s="101"/>
      <c r="D3652" s="101"/>
      <c r="E3652" s="101"/>
      <c r="F3652" s="101"/>
      <c r="G3652" s="101"/>
      <c r="H3652" s="101"/>
      <c r="I3652" s="101"/>
      <c r="J3652" s="101"/>
      <c r="K3652" s="101"/>
      <c r="L3652" s="101"/>
      <c r="M3652" s="101"/>
      <c r="N3652" s="101"/>
      <c r="O3652" s="101"/>
      <c r="P3652" s="101"/>
      <c r="Q3652" s="101"/>
      <c r="R3652" s="101"/>
      <c r="S3652" s="101"/>
      <c r="T3652" s="101"/>
      <c r="U3652" s="101"/>
      <c r="V3652" s="101"/>
      <c r="W3652" s="101"/>
      <c r="X3652" s="101"/>
      <c r="Y3652" s="101"/>
      <c r="Z3652" s="101"/>
      <c r="AA3652" s="101"/>
      <c r="AB3652" s="101"/>
      <c r="AC3652" s="101"/>
      <c r="AD3652" s="101"/>
      <c r="AE3652" s="101"/>
      <c r="AF3652" s="101"/>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101"/>
      <c r="C3777" s="101"/>
      <c r="D3777" s="101"/>
      <c r="E3777" s="101"/>
      <c r="F3777" s="101"/>
      <c r="G3777" s="101"/>
      <c r="H3777" s="101"/>
      <c r="I3777" s="101"/>
      <c r="J3777" s="101"/>
      <c r="K3777" s="101"/>
      <c r="L3777" s="101"/>
      <c r="M3777" s="101"/>
      <c r="N3777" s="101"/>
      <c r="O3777" s="101"/>
      <c r="P3777" s="101"/>
      <c r="Q3777" s="101"/>
      <c r="R3777" s="101"/>
      <c r="S3777" s="101"/>
      <c r="T3777" s="101"/>
      <c r="U3777" s="101"/>
      <c r="V3777" s="101"/>
      <c r="W3777" s="101"/>
      <c r="X3777" s="101"/>
      <c r="Y3777" s="101"/>
      <c r="Z3777" s="101"/>
      <c r="AA3777" s="101"/>
      <c r="AB3777" s="101"/>
      <c r="AC3777" s="101"/>
      <c r="AD3777" s="101"/>
      <c r="AE3777" s="101"/>
      <c r="AF3777" s="101"/>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101"/>
      <c r="C3902" s="101"/>
      <c r="D3902" s="101"/>
      <c r="E3902" s="101"/>
      <c r="F3902" s="101"/>
      <c r="G3902" s="101"/>
      <c r="H3902" s="101"/>
      <c r="I3902" s="101"/>
      <c r="J3902" s="101"/>
      <c r="K3902" s="101"/>
      <c r="L3902" s="101"/>
      <c r="M3902" s="101"/>
      <c r="N3902" s="101"/>
      <c r="O3902" s="101"/>
      <c r="P3902" s="101"/>
      <c r="Q3902" s="101"/>
      <c r="R3902" s="101"/>
      <c r="S3902" s="101"/>
      <c r="T3902" s="101"/>
      <c r="U3902" s="101"/>
      <c r="V3902" s="101"/>
      <c r="W3902" s="101"/>
      <c r="X3902" s="101"/>
      <c r="Y3902" s="101"/>
      <c r="Z3902" s="101"/>
      <c r="AA3902" s="101"/>
      <c r="AB3902" s="101"/>
      <c r="AC3902" s="101"/>
      <c r="AD3902" s="101"/>
      <c r="AE3902" s="101"/>
      <c r="AF3902" s="10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101"/>
      <c r="C4027" s="101"/>
      <c r="D4027" s="101"/>
      <c r="E4027" s="101"/>
      <c r="F4027" s="101"/>
      <c r="G4027" s="101"/>
      <c r="H4027" s="101"/>
      <c r="I4027" s="101"/>
      <c r="J4027" s="101"/>
      <c r="K4027" s="101"/>
      <c r="L4027" s="101"/>
      <c r="M4027" s="101"/>
      <c r="N4027" s="101"/>
      <c r="O4027" s="101"/>
      <c r="P4027" s="101"/>
      <c r="Q4027" s="101"/>
      <c r="R4027" s="101"/>
      <c r="S4027" s="101"/>
      <c r="T4027" s="101"/>
      <c r="U4027" s="101"/>
      <c r="V4027" s="101"/>
      <c r="W4027" s="101"/>
      <c r="X4027" s="101"/>
      <c r="Y4027" s="101"/>
      <c r="Z4027" s="101"/>
      <c r="AA4027" s="101"/>
      <c r="AB4027" s="101"/>
      <c r="AC4027" s="101"/>
      <c r="AD4027" s="101"/>
      <c r="AE4027" s="101"/>
      <c r="AF4027" s="10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101"/>
      <c r="C4152" s="101"/>
      <c r="D4152" s="101"/>
      <c r="E4152" s="101"/>
      <c r="F4152" s="101"/>
      <c r="G4152" s="101"/>
      <c r="H4152" s="101"/>
      <c r="I4152" s="101"/>
      <c r="J4152" s="101"/>
      <c r="K4152" s="101"/>
      <c r="L4152" s="101"/>
      <c r="M4152" s="101"/>
      <c r="N4152" s="101"/>
      <c r="O4152" s="101"/>
      <c r="P4152" s="101"/>
      <c r="Q4152" s="101"/>
      <c r="R4152" s="101"/>
      <c r="S4152" s="101"/>
      <c r="T4152" s="101"/>
      <c r="U4152" s="101"/>
      <c r="V4152" s="101"/>
      <c r="W4152" s="101"/>
      <c r="X4152" s="101"/>
      <c r="Y4152" s="101"/>
      <c r="Z4152" s="101"/>
      <c r="AA4152" s="101"/>
      <c r="AB4152" s="101"/>
      <c r="AC4152" s="101"/>
      <c r="AD4152" s="101"/>
      <c r="AE4152" s="101"/>
      <c r="AF4152" s="101"/>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101"/>
      <c r="C4277" s="101"/>
      <c r="D4277" s="101"/>
      <c r="E4277" s="101"/>
      <c r="F4277" s="101"/>
      <c r="G4277" s="101"/>
      <c r="H4277" s="101"/>
      <c r="I4277" s="101"/>
      <c r="J4277" s="101"/>
      <c r="K4277" s="101"/>
      <c r="L4277" s="101"/>
      <c r="M4277" s="101"/>
      <c r="N4277" s="101"/>
      <c r="O4277" s="101"/>
      <c r="P4277" s="101"/>
      <c r="Q4277" s="101"/>
      <c r="R4277" s="101"/>
      <c r="S4277" s="101"/>
      <c r="T4277" s="101"/>
      <c r="U4277" s="101"/>
      <c r="V4277" s="101"/>
      <c r="W4277" s="101"/>
      <c r="X4277" s="101"/>
      <c r="Y4277" s="101"/>
      <c r="Z4277" s="101"/>
      <c r="AA4277" s="101"/>
      <c r="AB4277" s="101"/>
      <c r="AC4277" s="101"/>
      <c r="AD4277" s="101"/>
      <c r="AE4277" s="101"/>
      <c r="AF4277" s="101"/>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101"/>
      <c r="C4402" s="101"/>
      <c r="D4402" s="101"/>
      <c r="E4402" s="101"/>
      <c r="F4402" s="101"/>
      <c r="G4402" s="101"/>
      <c r="H4402" s="101"/>
      <c r="I4402" s="101"/>
      <c r="J4402" s="101"/>
      <c r="K4402" s="101"/>
      <c r="L4402" s="101"/>
      <c r="M4402" s="101"/>
      <c r="N4402" s="101"/>
      <c r="O4402" s="101"/>
      <c r="P4402" s="101"/>
      <c r="Q4402" s="101"/>
      <c r="R4402" s="101"/>
      <c r="S4402" s="101"/>
      <c r="T4402" s="101"/>
      <c r="U4402" s="101"/>
      <c r="V4402" s="101"/>
      <c r="W4402" s="101"/>
      <c r="X4402" s="101"/>
      <c r="Y4402" s="101"/>
      <c r="Z4402" s="101"/>
      <c r="AA4402" s="101"/>
      <c r="AB4402" s="101"/>
      <c r="AC4402" s="101"/>
      <c r="AD4402" s="101"/>
      <c r="AE4402" s="101"/>
      <c r="AF4402" s="101"/>
    </row>
  </sheetData>
  <mergeCells count="30">
    <mergeCell ref="B500:AF500"/>
    <mergeCell ref="B76:AF76"/>
    <mergeCell ref="B116:AF116"/>
    <mergeCell ref="B258:AF258"/>
    <mergeCell ref="B340:AF340"/>
    <mergeCell ref="B452:AF452"/>
    <mergeCell ref="B2325:AF2325"/>
    <mergeCell ref="B557:AF557"/>
    <mergeCell ref="B638:AF638"/>
    <mergeCell ref="B710:AF710"/>
    <mergeCell ref="B886:AF886"/>
    <mergeCell ref="B969:AF969"/>
    <mergeCell ref="B1071:AF1071"/>
    <mergeCell ref="B1169:AF1169"/>
    <mergeCell ref="B1269:AF1269"/>
    <mergeCell ref="B1484:AF1484"/>
    <mergeCell ref="B1713:AF1713"/>
    <mergeCell ref="B1990:AF1990"/>
    <mergeCell ref="B4402:AF4402"/>
    <mergeCell ref="B2645:AF2645"/>
    <mergeCell ref="B2971:AF2971"/>
    <mergeCell ref="B3293:AF3293"/>
    <mergeCell ref="B3402:AF3402"/>
    <mergeCell ref="B3527:AF3527"/>
    <mergeCell ref="B3652:AF3652"/>
    <mergeCell ref="B3777:AF3777"/>
    <mergeCell ref="B3902:AF3902"/>
    <mergeCell ref="B4027:AF4027"/>
    <mergeCell ref="B4152:AF4152"/>
    <mergeCell ref="B4277:AF427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I61"/>
  <sheetViews>
    <sheetView workbookViewId="0"/>
  </sheetViews>
  <sheetFormatPr defaultRowHeight="14.5"/>
  <sheetData>
    <row r="1" spans="1:35">
      <c r="A1" t="s">
        <v>992</v>
      </c>
    </row>
    <row r="2" spans="1:35">
      <c r="A2" t="s">
        <v>1147</v>
      </c>
    </row>
    <row r="3" spans="1:35">
      <c r="A3" t="s">
        <v>1148</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993</v>
      </c>
    </row>
    <row r="7" spans="1:35">
      <c r="A7" t="s">
        <v>994</v>
      </c>
    </row>
    <row r="8" spans="1:35">
      <c r="A8" t="s">
        <v>995</v>
      </c>
      <c r="B8" t="s">
        <v>1149</v>
      </c>
      <c r="C8" t="s">
        <v>1150</v>
      </c>
      <c r="D8" t="s">
        <v>202</v>
      </c>
      <c r="F8">
        <v>49.466006999999998</v>
      </c>
      <c r="G8">
        <v>46.619698</v>
      </c>
      <c r="H8">
        <v>44.295555</v>
      </c>
      <c r="I8">
        <v>42.214077000000003</v>
      </c>
      <c r="J8">
        <v>40.394996999999996</v>
      </c>
      <c r="K8">
        <v>38.478470000000002</v>
      </c>
      <c r="L8">
        <v>36.816710999999998</v>
      </c>
      <c r="M8">
        <v>35.414054999999998</v>
      </c>
      <c r="N8">
        <v>34.183059999999998</v>
      </c>
      <c r="O8">
        <v>33.072498000000003</v>
      </c>
      <c r="P8">
        <v>32.211067</v>
      </c>
      <c r="Q8">
        <v>31.494395999999998</v>
      </c>
      <c r="R8">
        <v>30.740480000000002</v>
      </c>
      <c r="S8">
        <v>29.975055999999999</v>
      </c>
      <c r="T8">
        <v>29.307186000000002</v>
      </c>
      <c r="U8">
        <v>28.795176999999999</v>
      </c>
      <c r="V8">
        <v>28.429549999999999</v>
      </c>
      <c r="W8">
        <v>28.163509000000001</v>
      </c>
      <c r="X8">
        <v>27.894558</v>
      </c>
      <c r="Y8">
        <v>27.594154</v>
      </c>
      <c r="Z8">
        <v>27.308109000000002</v>
      </c>
      <c r="AA8">
        <v>26.995598000000001</v>
      </c>
      <c r="AB8">
        <v>26.631284999999998</v>
      </c>
      <c r="AC8">
        <v>26.261372000000001</v>
      </c>
      <c r="AD8">
        <v>25.912925999999999</v>
      </c>
      <c r="AE8">
        <v>25.597389</v>
      </c>
      <c r="AF8">
        <v>25.312645</v>
      </c>
      <c r="AG8">
        <v>25.004356000000001</v>
      </c>
      <c r="AH8">
        <v>24.704986999999999</v>
      </c>
      <c r="AI8" s="22">
        <v>-2.4E-2</v>
      </c>
    </row>
    <row r="9" spans="1:35">
      <c r="A9" t="s">
        <v>996</v>
      </c>
      <c r="B9" t="s">
        <v>1151</v>
      </c>
      <c r="C9" t="s">
        <v>1152</v>
      </c>
      <c r="D9" t="s">
        <v>202</v>
      </c>
      <c r="F9">
        <v>0.111688</v>
      </c>
      <c r="G9">
        <v>9.6532999999999994E-2</v>
      </c>
      <c r="H9">
        <v>8.3162E-2</v>
      </c>
      <c r="I9">
        <v>7.1313000000000001E-2</v>
      </c>
      <c r="J9">
        <v>6.0877000000000001E-2</v>
      </c>
      <c r="K9">
        <v>5.1618999999999998E-2</v>
      </c>
      <c r="L9">
        <v>4.3394000000000002E-2</v>
      </c>
      <c r="M9">
        <v>3.6202999999999999E-2</v>
      </c>
      <c r="N9">
        <v>3.0032E-2</v>
      </c>
      <c r="O9">
        <v>2.4808E-2</v>
      </c>
      <c r="P9">
        <v>2.0456999999999999E-2</v>
      </c>
      <c r="Q9">
        <v>1.6912E-2</v>
      </c>
      <c r="R9">
        <v>1.4080000000000001E-2</v>
      </c>
      <c r="S9">
        <v>1.1854999999999999E-2</v>
      </c>
      <c r="T9">
        <v>1.0115000000000001E-2</v>
      </c>
      <c r="U9">
        <v>8.7530000000000004E-3</v>
      </c>
      <c r="V9">
        <v>7.6899999999999998E-3</v>
      </c>
      <c r="W9">
        <v>6.8459999999999997E-3</v>
      </c>
      <c r="X9">
        <v>6.1370000000000001E-3</v>
      </c>
      <c r="Y9">
        <v>5.5189999999999996E-3</v>
      </c>
      <c r="Z9">
        <v>4.9779999999999998E-3</v>
      </c>
      <c r="AA9">
        <v>4.4980000000000003E-3</v>
      </c>
      <c r="AB9">
        <v>4.0699999999999998E-3</v>
      </c>
      <c r="AC9">
        <v>3.6849999999999999E-3</v>
      </c>
      <c r="AD9">
        <v>3.339E-3</v>
      </c>
      <c r="AE9">
        <v>3.0279999999999999E-3</v>
      </c>
      <c r="AF9">
        <v>2.748E-3</v>
      </c>
      <c r="AG9">
        <v>2.4970000000000001E-3</v>
      </c>
      <c r="AH9">
        <v>2.2699999999999999E-3</v>
      </c>
      <c r="AI9" s="22">
        <v>-0.13</v>
      </c>
    </row>
    <row r="10" spans="1:35">
      <c r="A10" t="s">
        <v>997</v>
      </c>
      <c r="B10" t="s">
        <v>1153</v>
      </c>
      <c r="C10" t="s">
        <v>1154</v>
      </c>
      <c r="D10" t="s">
        <v>202</v>
      </c>
      <c r="F10">
        <v>49.577694000000001</v>
      </c>
      <c r="G10">
        <v>46.716228000000001</v>
      </c>
      <c r="H10">
        <v>44.378715999999997</v>
      </c>
      <c r="I10">
        <v>42.285389000000002</v>
      </c>
      <c r="J10">
        <v>40.455874999999999</v>
      </c>
      <c r="K10">
        <v>38.530090000000001</v>
      </c>
      <c r="L10">
        <v>36.860106999999999</v>
      </c>
      <c r="M10">
        <v>35.450256000000003</v>
      </c>
      <c r="N10">
        <v>34.213093000000001</v>
      </c>
      <c r="O10">
        <v>33.097304999999999</v>
      </c>
      <c r="P10">
        <v>32.231524999999998</v>
      </c>
      <c r="Q10">
        <v>31.511309000000001</v>
      </c>
      <c r="R10">
        <v>30.754560000000001</v>
      </c>
      <c r="S10">
        <v>29.986910000000002</v>
      </c>
      <c r="T10">
        <v>29.317301</v>
      </c>
      <c r="U10">
        <v>28.803930000000001</v>
      </c>
      <c r="V10">
        <v>28.437241</v>
      </c>
      <c r="W10">
        <v>28.170355000000001</v>
      </c>
      <c r="X10">
        <v>27.900696</v>
      </c>
      <c r="Y10">
        <v>27.599674</v>
      </c>
      <c r="Z10">
        <v>27.313086999999999</v>
      </c>
      <c r="AA10">
        <v>27.000095000000002</v>
      </c>
      <c r="AB10">
        <v>26.635355000000001</v>
      </c>
      <c r="AC10">
        <v>26.265056999999999</v>
      </c>
      <c r="AD10">
        <v>25.916264999999999</v>
      </c>
      <c r="AE10">
        <v>25.600418000000001</v>
      </c>
      <c r="AF10">
        <v>25.315393</v>
      </c>
      <c r="AG10">
        <v>25.006853</v>
      </c>
      <c r="AH10">
        <v>24.707256000000001</v>
      </c>
      <c r="AI10" s="22">
        <v>-2.5000000000000001E-2</v>
      </c>
    </row>
    <row r="11" spans="1:35">
      <c r="A11" t="s">
        <v>998</v>
      </c>
    </row>
    <row r="12" spans="1:35">
      <c r="A12" t="s">
        <v>999</v>
      </c>
      <c r="B12" t="s">
        <v>1155</v>
      </c>
      <c r="C12" t="s">
        <v>1156</v>
      </c>
      <c r="D12" t="s">
        <v>202</v>
      </c>
      <c r="F12">
        <v>2.461112</v>
      </c>
      <c r="G12">
        <v>2.2103090000000001</v>
      </c>
      <c r="H12">
        <v>1.985196</v>
      </c>
      <c r="I12">
        <v>1.7855970000000001</v>
      </c>
      <c r="J12">
        <v>1.618082</v>
      </c>
      <c r="K12">
        <v>1.4676549999999999</v>
      </c>
      <c r="L12">
        <v>1.3403229999999999</v>
      </c>
      <c r="M12">
        <v>1.236246</v>
      </c>
      <c r="N12">
        <v>1.150493</v>
      </c>
      <c r="O12">
        <v>1.079925</v>
      </c>
      <c r="P12">
        <v>1.029307</v>
      </c>
      <c r="Q12">
        <v>0.99377700000000002</v>
      </c>
      <c r="R12">
        <v>0.96236699999999997</v>
      </c>
      <c r="S12">
        <v>0.93445199999999995</v>
      </c>
      <c r="T12">
        <v>0.91421399999999997</v>
      </c>
      <c r="U12">
        <v>0.90237100000000003</v>
      </c>
      <c r="V12">
        <v>0.89766299999999999</v>
      </c>
      <c r="W12">
        <v>0.89760300000000004</v>
      </c>
      <c r="X12">
        <v>0.89686999999999995</v>
      </c>
      <c r="Y12">
        <v>0.89403699999999997</v>
      </c>
      <c r="Z12">
        <v>0.89149800000000001</v>
      </c>
      <c r="AA12">
        <v>0.88747399999999999</v>
      </c>
      <c r="AB12">
        <v>0.88075599999999998</v>
      </c>
      <c r="AC12">
        <v>0.87377800000000005</v>
      </c>
      <c r="AD12">
        <v>0.86814100000000005</v>
      </c>
      <c r="AE12">
        <v>0.86434100000000003</v>
      </c>
      <c r="AF12">
        <v>0.86214599999999997</v>
      </c>
      <c r="AG12">
        <v>0.85861799999999999</v>
      </c>
      <c r="AH12">
        <v>0.85379300000000002</v>
      </c>
      <c r="AI12" s="22">
        <v>-3.6999999999999998E-2</v>
      </c>
    </row>
    <row r="13" spans="1:35">
      <c r="A13" t="s">
        <v>1157</v>
      </c>
      <c r="B13" t="s">
        <v>1158</v>
      </c>
      <c r="C13" t="s">
        <v>1069</v>
      </c>
      <c r="D13" t="s">
        <v>202</v>
      </c>
      <c r="F13">
        <v>8.2278000000000004E-2</v>
      </c>
      <c r="G13">
        <v>8.5696999999999995E-2</v>
      </c>
      <c r="H13">
        <v>9.0184E-2</v>
      </c>
      <c r="I13">
        <v>9.4142000000000003E-2</v>
      </c>
      <c r="J13">
        <v>9.7428000000000001E-2</v>
      </c>
      <c r="K13">
        <v>0.10066899999999999</v>
      </c>
      <c r="L13">
        <v>0.10408000000000001</v>
      </c>
      <c r="M13">
        <v>0.107796</v>
      </c>
      <c r="N13">
        <v>0.111692</v>
      </c>
      <c r="O13">
        <v>0.11568100000000001</v>
      </c>
      <c r="P13">
        <v>0.12048300000000001</v>
      </c>
      <c r="Q13">
        <v>0.12576999999999999</v>
      </c>
      <c r="R13">
        <v>0.13058400000000001</v>
      </c>
      <c r="S13">
        <v>0.135072</v>
      </c>
      <c r="T13">
        <v>0.13986199999999999</v>
      </c>
      <c r="U13">
        <v>0.14538599999999999</v>
      </c>
      <c r="V13">
        <v>0.15171599999999999</v>
      </c>
      <c r="W13">
        <v>0.15862299999999999</v>
      </c>
      <c r="X13">
        <v>0.16536300000000001</v>
      </c>
      <c r="Y13">
        <v>0.171676</v>
      </c>
      <c r="Z13">
        <v>0.17796600000000001</v>
      </c>
      <c r="AA13">
        <v>0.18382599999999999</v>
      </c>
      <c r="AB13">
        <v>0.18898699999999999</v>
      </c>
      <c r="AC13">
        <v>0.19394500000000001</v>
      </c>
      <c r="AD13">
        <v>0.19902</v>
      </c>
      <c r="AE13">
        <v>0.20438600000000001</v>
      </c>
      <c r="AF13">
        <v>0.21005799999999999</v>
      </c>
      <c r="AG13">
        <v>0.21534700000000001</v>
      </c>
      <c r="AH13">
        <v>0.22064600000000001</v>
      </c>
      <c r="AI13" s="22">
        <v>3.5999999999999997E-2</v>
      </c>
    </row>
    <row r="14" spans="1:35">
      <c r="A14" t="s">
        <v>1159</v>
      </c>
      <c r="B14" t="s">
        <v>1160</v>
      </c>
      <c r="C14" t="s">
        <v>1069</v>
      </c>
      <c r="D14" t="s">
        <v>202</v>
      </c>
      <c r="F14">
        <v>0.137378</v>
      </c>
      <c r="G14">
        <v>0.154861</v>
      </c>
      <c r="H14">
        <v>0.18635699999999999</v>
      </c>
      <c r="I14">
        <v>0.227322</v>
      </c>
      <c r="J14">
        <v>0.26983499999999999</v>
      </c>
      <c r="K14">
        <v>0.312718</v>
      </c>
      <c r="L14">
        <v>0.35735699999999998</v>
      </c>
      <c r="M14">
        <v>0.40442699999999998</v>
      </c>
      <c r="N14">
        <v>0.45291999999999999</v>
      </c>
      <c r="O14">
        <v>0.50208200000000003</v>
      </c>
      <c r="P14">
        <v>0.55627700000000002</v>
      </c>
      <c r="Q14">
        <v>0.61317100000000002</v>
      </c>
      <c r="R14">
        <v>0.666736</v>
      </c>
      <c r="S14">
        <v>0.717669</v>
      </c>
      <c r="T14">
        <v>0.77018799999999998</v>
      </c>
      <c r="U14">
        <v>0.82734300000000005</v>
      </c>
      <c r="V14">
        <v>0.88985300000000001</v>
      </c>
      <c r="W14">
        <v>0.95657800000000004</v>
      </c>
      <c r="X14">
        <v>1.0225409999999999</v>
      </c>
      <c r="Y14">
        <v>1.0861050000000001</v>
      </c>
      <c r="Z14">
        <v>1.149972</v>
      </c>
      <c r="AA14">
        <v>1.2112909999999999</v>
      </c>
      <c r="AB14">
        <v>1.2680290000000001</v>
      </c>
      <c r="AC14">
        <v>1.3233820000000001</v>
      </c>
      <c r="AD14">
        <v>1.379407</v>
      </c>
      <c r="AE14">
        <v>1.4372229999999999</v>
      </c>
      <c r="AF14">
        <v>1.4970140000000001</v>
      </c>
      <c r="AG14">
        <v>1.553947</v>
      </c>
      <c r="AH14">
        <v>1.6108560000000001</v>
      </c>
      <c r="AI14" s="22">
        <v>9.1999999999999998E-2</v>
      </c>
    </row>
    <row r="15" spans="1:35">
      <c r="A15" t="s">
        <v>1161</v>
      </c>
      <c r="B15" t="s">
        <v>1162</v>
      </c>
      <c r="C15" t="s">
        <v>1069</v>
      </c>
      <c r="D15" t="s">
        <v>202</v>
      </c>
      <c r="F15">
        <v>0.40151300000000001</v>
      </c>
      <c r="G15">
        <v>0.46051399999999998</v>
      </c>
      <c r="H15">
        <v>0.53044899999999995</v>
      </c>
      <c r="I15">
        <v>0.60993799999999998</v>
      </c>
      <c r="J15">
        <v>0.68546399999999996</v>
      </c>
      <c r="K15">
        <v>0.75662200000000002</v>
      </c>
      <c r="L15">
        <v>0.82606999999999997</v>
      </c>
      <c r="M15">
        <v>0.89533799999999997</v>
      </c>
      <c r="N15">
        <v>0.96288600000000002</v>
      </c>
      <c r="O15">
        <v>1.0279039999999999</v>
      </c>
      <c r="P15">
        <v>1.097982</v>
      </c>
      <c r="Q15">
        <v>1.16961</v>
      </c>
      <c r="R15">
        <v>1.233436</v>
      </c>
      <c r="S15">
        <v>1.291064</v>
      </c>
      <c r="T15">
        <v>1.3493809999999999</v>
      </c>
      <c r="U15">
        <v>1.413192</v>
      </c>
      <c r="V15">
        <v>1.4839640000000001</v>
      </c>
      <c r="W15">
        <v>1.5600350000000001</v>
      </c>
      <c r="X15">
        <v>1.6341699999999999</v>
      </c>
      <c r="Y15">
        <v>1.7040979999999999</v>
      </c>
      <c r="Z15">
        <v>1.774011</v>
      </c>
      <c r="AA15">
        <v>1.8398829999999999</v>
      </c>
      <c r="AB15">
        <v>1.8989780000000001</v>
      </c>
      <c r="AC15">
        <v>1.9562390000000001</v>
      </c>
      <c r="AD15">
        <v>2.0146959999999998</v>
      </c>
      <c r="AE15">
        <v>2.0759669999999999</v>
      </c>
      <c r="AF15">
        <v>2.1402369999999999</v>
      </c>
      <c r="AG15">
        <v>2.200555</v>
      </c>
      <c r="AH15">
        <v>2.2609300000000001</v>
      </c>
      <c r="AI15" s="22">
        <v>6.4000000000000001E-2</v>
      </c>
    </row>
    <row r="16" spans="1:35">
      <c r="A16" t="s">
        <v>1000</v>
      </c>
      <c r="B16" t="s">
        <v>1163</v>
      </c>
      <c r="C16" t="s">
        <v>1164</v>
      </c>
      <c r="D16" t="s">
        <v>202</v>
      </c>
      <c r="F16">
        <v>0.133383</v>
      </c>
      <c r="G16">
        <v>0.134821</v>
      </c>
      <c r="H16">
        <v>0.13941000000000001</v>
      </c>
      <c r="I16">
        <v>0.14457</v>
      </c>
      <c r="J16">
        <v>0.14922199999999999</v>
      </c>
      <c r="K16">
        <v>0.15324299999999999</v>
      </c>
      <c r="L16">
        <v>0.157113</v>
      </c>
      <c r="M16">
        <v>0.16105900000000001</v>
      </c>
      <c r="N16">
        <v>0.16500999999999999</v>
      </c>
      <c r="O16">
        <v>0.16892399999999999</v>
      </c>
      <c r="P16">
        <v>0.17376800000000001</v>
      </c>
      <c r="Q16">
        <v>0.17915800000000001</v>
      </c>
      <c r="R16">
        <v>0.18398400000000001</v>
      </c>
      <c r="S16">
        <v>0.18851499999999999</v>
      </c>
      <c r="T16">
        <v>0.19351699999999999</v>
      </c>
      <c r="U16">
        <v>0.19953799999999999</v>
      </c>
      <c r="V16">
        <v>0.20671400000000001</v>
      </c>
      <c r="W16">
        <v>0.21479599999999999</v>
      </c>
      <c r="X16">
        <v>0.22287599999999999</v>
      </c>
      <c r="Y16">
        <v>0.23064000000000001</v>
      </c>
      <c r="Z16">
        <v>0.23851600000000001</v>
      </c>
      <c r="AA16">
        <v>0.24595900000000001</v>
      </c>
      <c r="AB16">
        <v>0.25263400000000003</v>
      </c>
      <c r="AC16">
        <v>0.25909100000000002</v>
      </c>
      <c r="AD16">
        <v>0.26564399999999999</v>
      </c>
      <c r="AE16">
        <v>0.27249800000000002</v>
      </c>
      <c r="AF16">
        <v>0.27968799999999999</v>
      </c>
      <c r="AG16">
        <v>0.28641800000000001</v>
      </c>
      <c r="AH16">
        <v>0.293157</v>
      </c>
      <c r="AI16" s="22">
        <v>2.9000000000000001E-2</v>
      </c>
    </row>
    <row r="17" spans="1:35">
      <c r="A17" t="s">
        <v>1001</v>
      </c>
      <c r="B17" t="s">
        <v>1165</v>
      </c>
      <c r="C17" t="s">
        <v>1166</v>
      </c>
      <c r="D17" t="s">
        <v>202</v>
      </c>
      <c r="F17">
        <v>6.8515999999999994E-2</v>
      </c>
      <c r="G17">
        <v>6.9584999999999994E-2</v>
      </c>
      <c r="H17">
        <v>7.2609999999999994E-2</v>
      </c>
      <c r="I17">
        <v>7.6588000000000003E-2</v>
      </c>
      <c r="J17">
        <v>8.0639000000000002E-2</v>
      </c>
      <c r="K17">
        <v>8.4719000000000003E-2</v>
      </c>
      <c r="L17">
        <v>8.9145000000000002E-2</v>
      </c>
      <c r="M17">
        <v>9.4184000000000004E-2</v>
      </c>
      <c r="N17">
        <v>9.9724999999999994E-2</v>
      </c>
      <c r="O17">
        <v>0.105665</v>
      </c>
      <c r="P17">
        <v>0.112773</v>
      </c>
      <c r="Q17">
        <v>0.12064</v>
      </c>
      <c r="R17">
        <v>0.12822500000000001</v>
      </c>
      <c r="S17">
        <v>0.13562099999999999</v>
      </c>
      <c r="T17">
        <v>0.143484</v>
      </c>
      <c r="U17">
        <v>0.15227199999999999</v>
      </c>
      <c r="V17">
        <v>0.16208600000000001</v>
      </c>
      <c r="W17">
        <v>0.17270199999999999</v>
      </c>
      <c r="X17">
        <v>0.18326000000000001</v>
      </c>
      <c r="Y17">
        <v>0.19347600000000001</v>
      </c>
      <c r="Z17">
        <v>0.20378499999999999</v>
      </c>
      <c r="AA17">
        <v>0.21368699999999999</v>
      </c>
      <c r="AB17">
        <v>0.22284300000000001</v>
      </c>
      <c r="AC17">
        <v>0.231791</v>
      </c>
      <c r="AD17">
        <v>0.24085200000000001</v>
      </c>
      <c r="AE17">
        <v>0.25020799999999999</v>
      </c>
      <c r="AF17">
        <v>0.25989499999999999</v>
      </c>
      <c r="AG17">
        <v>0.26912000000000003</v>
      </c>
      <c r="AH17">
        <v>0.27834999999999999</v>
      </c>
      <c r="AI17" s="22">
        <v>5.0999999999999997E-2</v>
      </c>
    </row>
    <row r="18" spans="1:35">
      <c r="A18" t="s">
        <v>1002</v>
      </c>
      <c r="B18" t="s">
        <v>1167</v>
      </c>
      <c r="C18" t="s">
        <v>1168</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111</v>
      </c>
    </row>
    <row r="19" spans="1:35">
      <c r="A19" t="s">
        <v>1003</v>
      </c>
      <c r="B19" t="s">
        <v>1169</v>
      </c>
      <c r="C19" t="s">
        <v>1170</v>
      </c>
      <c r="D19" t="s">
        <v>202</v>
      </c>
      <c r="F19">
        <v>2.0884179999999999</v>
      </c>
      <c r="G19">
        <v>2.0554230000000002</v>
      </c>
      <c r="H19">
        <v>2.0266060000000001</v>
      </c>
      <c r="I19">
        <v>1.99352</v>
      </c>
      <c r="J19">
        <v>1.9694149999999999</v>
      </c>
      <c r="K19">
        <v>1.9384250000000001</v>
      </c>
      <c r="L19">
        <v>1.9172</v>
      </c>
      <c r="M19">
        <v>1.90723</v>
      </c>
      <c r="N19">
        <v>1.9056679999999999</v>
      </c>
      <c r="O19">
        <v>1.910166</v>
      </c>
      <c r="P19">
        <v>1.929648</v>
      </c>
      <c r="Q19">
        <v>1.958029</v>
      </c>
      <c r="R19">
        <v>1.982791</v>
      </c>
      <c r="S19">
        <v>2.0052650000000001</v>
      </c>
      <c r="T19">
        <v>2.032648</v>
      </c>
      <c r="U19">
        <v>2.06969</v>
      </c>
      <c r="V19">
        <v>2.1170339999999999</v>
      </c>
      <c r="W19">
        <v>2.1721699999999999</v>
      </c>
      <c r="X19">
        <v>2.226817</v>
      </c>
      <c r="Y19">
        <v>2.2782650000000002</v>
      </c>
      <c r="Z19">
        <v>2.330559</v>
      </c>
      <c r="AA19">
        <v>2.3792659999999999</v>
      </c>
      <c r="AB19">
        <v>2.4213439999999999</v>
      </c>
      <c r="AC19">
        <v>2.4613290000000001</v>
      </c>
      <c r="AD19">
        <v>2.5019070000000001</v>
      </c>
      <c r="AE19">
        <v>2.5446409999999999</v>
      </c>
      <c r="AF19">
        <v>2.5898810000000001</v>
      </c>
      <c r="AG19">
        <v>2.6312850000000001</v>
      </c>
      <c r="AH19">
        <v>2.6727620000000001</v>
      </c>
      <c r="AI19" s="22">
        <v>8.9999999999999993E-3</v>
      </c>
    </row>
    <row r="20" spans="1:35">
      <c r="A20" t="s">
        <v>1004</v>
      </c>
      <c r="B20" t="s">
        <v>1171</v>
      </c>
      <c r="C20" t="s">
        <v>1172</v>
      </c>
      <c r="D20" t="s">
        <v>202</v>
      </c>
      <c r="F20">
        <v>8.4440000000000001E-2</v>
      </c>
      <c r="G20">
        <v>7.8244999999999995E-2</v>
      </c>
      <c r="H20">
        <v>7.1707999999999994E-2</v>
      </c>
      <c r="I20">
        <v>6.5062999999999996E-2</v>
      </c>
      <c r="J20">
        <v>5.8495999999999999E-2</v>
      </c>
      <c r="K20">
        <v>5.1991000000000002E-2</v>
      </c>
      <c r="L20">
        <v>4.5643999999999997E-2</v>
      </c>
      <c r="M20">
        <v>3.9710000000000002E-2</v>
      </c>
      <c r="N20">
        <v>3.4805999999999997E-2</v>
      </c>
      <c r="O20">
        <v>3.0196000000000001E-2</v>
      </c>
      <c r="P20">
        <v>2.6155999999999999E-2</v>
      </c>
      <c r="Q20">
        <v>2.2713000000000001E-2</v>
      </c>
      <c r="R20">
        <v>1.9885E-2</v>
      </c>
      <c r="S20">
        <v>1.7531000000000001E-2</v>
      </c>
      <c r="T20">
        <v>1.5620999999999999E-2</v>
      </c>
      <c r="U20">
        <v>1.4361000000000001E-2</v>
      </c>
      <c r="V20">
        <v>1.3289E-2</v>
      </c>
      <c r="W20">
        <v>1.2399E-2</v>
      </c>
      <c r="X20">
        <v>1.1609E-2</v>
      </c>
      <c r="Y20">
        <v>1.0869999999999999E-2</v>
      </c>
      <c r="Z20">
        <v>1.0177E-2</v>
      </c>
      <c r="AA20">
        <v>9.5289999999999993E-3</v>
      </c>
      <c r="AB20">
        <v>8.9219999999999994E-3</v>
      </c>
      <c r="AC20">
        <v>8.3540000000000003E-3</v>
      </c>
      <c r="AD20">
        <v>7.8209999999999998E-3</v>
      </c>
      <c r="AE20">
        <v>7.3229999999999996E-3</v>
      </c>
      <c r="AF20">
        <v>6.8570000000000002E-3</v>
      </c>
      <c r="AG20">
        <v>6.4200000000000004E-3</v>
      </c>
      <c r="AH20">
        <v>6.0109999999999999E-3</v>
      </c>
      <c r="AI20" s="22">
        <v>-0.09</v>
      </c>
    </row>
    <row r="21" spans="1:35">
      <c r="A21" t="s">
        <v>1005</v>
      </c>
      <c r="B21" t="s">
        <v>1173</v>
      </c>
      <c r="C21" t="s">
        <v>1174</v>
      </c>
      <c r="D21" t="s">
        <v>202</v>
      </c>
      <c r="F21">
        <v>2.2590000000000002E-3</v>
      </c>
      <c r="G21">
        <v>1.944E-3</v>
      </c>
      <c r="H21">
        <v>1.7600000000000001E-3</v>
      </c>
      <c r="I21">
        <v>1.6479999999999999E-3</v>
      </c>
      <c r="J21">
        <v>1.5430000000000001E-3</v>
      </c>
      <c r="K21">
        <v>1.4450000000000001E-3</v>
      </c>
      <c r="L21">
        <v>1.353E-3</v>
      </c>
      <c r="M21">
        <v>1.266E-3</v>
      </c>
      <c r="N21">
        <v>1.186E-3</v>
      </c>
      <c r="O21">
        <v>1.1100000000000001E-3</v>
      </c>
      <c r="P21">
        <v>1.0399999999999999E-3</v>
      </c>
      <c r="Q21">
        <v>9.7300000000000002E-4</v>
      </c>
      <c r="R21">
        <v>9.1100000000000003E-4</v>
      </c>
      <c r="S21">
        <v>8.5300000000000003E-4</v>
      </c>
      <c r="T21">
        <v>7.9900000000000001E-4</v>
      </c>
      <c r="U21">
        <v>7.4799999999999997E-4</v>
      </c>
      <c r="V21">
        <v>6.9999999999999999E-4</v>
      </c>
      <c r="W21">
        <v>6.5600000000000001E-4</v>
      </c>
      <c r="X21">
        <v>6.1399999999999996E-4</v>
      </c>
      <c r="Y21">
        <v>5.7499999999999999E-4</v>
      </c>
      <c r="Z21">
        <v>5.3799999999999996E-4</v>
      </c>
      <c r="AA21">
        <v>5.04E-4</v>
      </c>
      <c r="AB21">
        <v>4.7199999999999998E-4</v>
      </c>
      <c r="AC21">
        <v>4.4200000000000001E-4</v>
      </c>
      <c r="AD21">
        <v>4.1399999999999998E-4</v>
      </c>
      <c r="AE21">
        <v>3.8699999999999997E-4</v>
      </c>
      <c r="AF21">
        <v>3.6299999999999999E-4</v>
      </c>
      <c r="AG21">
        <v>3.4000000000000002E-4</v>
      </c>
      <c r="AH21">
        <v>3.1799999999999998E-4</v>
      </c>
      <c r="AI21" s="22">
        <v>-6.8000000000000005E-2</v>
      </c>
    </row>
    <row r="22" spans="1:35">
      <c r="A22" t="s">
        <v>1006</v>
      </c>
      <c r="B22" t="s">
        <v>1175</v>
      </c>
      <c r="C22" t="s">
        <v>1176</v>
      </c>
      <c r="D22" t="s">
        <v>202</v>
      </c>
      <c r="F22">
        <v>1.5181E-2</v>
      </c>
      <c r="G22">
        <v>1.2968E-2</v>
      </c>
      <c r="H22">
        <v>1.1150999999999999E-2</v>
      </c>
      <c r="I22">
        <v>9.6790000000000001E-3</v>
      </c>
      <c r="J22">
        <v>8.7530000000000004E-3</v>
      </c>
      <c r="K22">
        <v>8.1770000000000002E-3</v>
      </c>
      <c r="L22">
        <v>7.6559999999999996E-3</v>
      </c>
      <c r="M22">
        <v>7.1679999999999999E-3</v>
      </c>
      <c r="N22">
        <v>6.7120000000000001E-3</v>
      </c>
      <c r="O22">
        <v>6.2839999999999997E-3</v>
      </c>
      <c r="P22">
        <v>5.8840000000000003E-3</v>
      </c>
      <c r="Q22">
        <v>5.509E-3</v>
      </c>
      <c r="R22">
        <v>5.1580000000000003E-3</v>
      </c>
      <c r="S22">
        <v>4.829E-3</v>
      </c>
      <c r="T22">
        <v>4.522E-3</v>
      </c>
      <c r="U22">
        <v>4.2339999999999999E-3</v>
      </c>
      <c r="V22">
        <v>3.9639999999999996E-3</v>
      </c>
      <c r="W22">
        <v>3.7109999999999999E-3</v>
      </c>
      <c r="X22">
        <v>3.4749999999999998E-3</v>
      </c>
      <c r="Y22">
        <v>3.2539999999999999E-3</v>
      </c>
      <c r="Z22">
        <v>3.0460000000000001E-3</v>
      </c>
      <c r="AA22">
        <v>2.8519999999999999E-3</v>
      </c>
      <c r="AB22">
        <v>2.6710000000000002E-3</v>
      </c>
      <c r="AC22">
        <v>2.5010000000000002E-3</v>
      </c>
      <c r="AD22">
        <v>2.3410000000000002E-3</v>
      </c>
      <c r="AE22">
        <v>2.1919999999999999E-3</v>
      </c>
      <c r="AF22">
        <v>2.052E-3</v>
      </c>
      <c r="AG22">
        <v>1.9220000000000001E-3</v>
      </c>
      <c r="AH22">
        <v>1.799E-3</v>
      </c>
      <c r="AI22" s="22">
        <v>-7.2999999999999995E-2</v>
      </c>
    </row>
    <row r="23" spans="1:35">
      <c r="A23" t="s">
        <v>1007</v>
      </c>
      <c r="B23" t="s">
        <v>1177</v>
      </c>
      <c r="C23" t="s">
        <v>1178</v>
      </c>
      <c r="D23" t="s">
        <v>202</v>
      </c>
      <c r="F23">
        <v>2.9725000000000001E-2</v>
      </c>
      <c r="G23">
        <v>2.5337999999999999E-2</v>
      </c>
      <c r="H23">
        <v>2.1677999999999999E-2</v>
      </c>
      <c r="I23">
        <v>1.8672999999999999E-2</v>
      </c>
      <c r="J23">
        <v>1.6624E-2</v>
      </c>
      <c r="K23">
        <v>1.5348000000000001E-2</v>
      </c>
      <c r="L23">
        <v>1.4264000000000001E-2</v>
      </c>
      <c r="M23">
        <v>1.3356E-2</v>
      </c>
      <c r="N23">
        <v>1.2505E-2</v>
      </c>
      <c r="O23">
        <v>1.1708E-2</v>
      </c>
      <c r="P23">
        <v>1.0962E-2</v>
      </c>
      <c r="Q23">
        <v>1.0264000000000001E-2</v>
      </c>
      <c r="R23">
        <v>9.6100000000000005E-3</v>
      </c>
      <c r="S23">
        <v>8.9980000000000008E-3</v>
      </c>
      <c r="T23">
        <v>8.4250000000000002E-3</v>
      </c>
      <c r="U23">
        <v>7.8879999999999992E-3</v>
      </c>
      <c r="V23">
        <v>7.3860000000000002E-3</v>
      </c>
      <c r="W23">
        <v>6.9150000000000001E-3</v>
      </c>
      <c r="X23">
        <v>6.4749999999999999E-3</v>
      </c>
      <c r="Y23">
        <v>6.0619999999999997E-3</v>
      </c>
      <c r="Z23">
        <v>5.6759999999999996E-3</v>
      </c>
      <c r="AA23">
        <v>5.3140000000000001E-3</v>
      </c>
      <c r="AB23">
        <v>4.9760000000000004E-3</v>
      </c>
      <c r="AC23">
        <v>4.6589999999999999E-3</v>
      </c>
      <c r="AD23">
        <v>4.3620000000000004E-3</v>
      </c>
      <c r="AE23">
        <v>4.084E-3</v>
      </c>
      <c r="AF23">
        <v>3.8240000000000001E-3</v>
      </c>
      <c r="AG23">
        <v>3.5799999999999998E-3</v>
      </c>
      <c r="AH23">
        <v>3.3519999999999999E-3</v>
      </c>
      <c r="AI23" s="22">
        <v>-7.4999999999999997E-2</v>
      </c>
    </row>
    <row r="24" spans="1:35">
      <c r="A24" t="s">
        <v>1008</v>
      </c>
      <c r="B24" t="s">
        <v>1179</v>
      </c>
      <c r="C24" t="s">
        <v>1180</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111</v>
      </c>
    </row>
    <row r="25" spans="1:35">
      <c r="A25" t="s">
        <v>1009</v>
      </c>
      <c r="B25" t="s">
        <v>1181</v>
      </c>
      <c r="C25" t="s">
        <v>1182</v>
      </c>
      <c r="D25" t="s">
        <v>202</v>
      </c>
      <c r="F25">
        <v>4.8399999999999997E-3</v>
      </c>
      <c r="G25">
        <v>4.7530000000000003E-3</v>
      </c>
      <c r="H25">
        <v>4.9220000000000002E-3</v>
      </c>
      <c r="I25">
        <v>5.2830000000000004E-3</v>
      </c>
      <c r="J25">
        <v>5.7860000000000003E-3</v>
      </c>
      <c r="K25">
        <v>6.378E-3</v>
      </c>
      <c r="L25">
        <v>7.0569999999999999E-3</v>
      </c>
      <c r="M25">
        <v>7.8270000000000006E-3</v>
      </c>
      <c r="N25">
        <v>8.6669999999999994E-3</v>
      </c>
      <c r="O25">
        <v>9.5650000000000006E-3</v>
      </c>
      <c r="P25">
        <v>1.0574999999999999E-2</v>
      </c>
      <c r="Q25">
        <v>1.1660999999999999E-2</v>
      </c>
      <c r="R25">
        <v>1.2754E-2</v>
      </c>
      <c r="S25">
        <v>1.3861999999999999E-2</v>
      </c>
      <c r="T25">
        <v>1.5016E-2</v>
      </c>
      <c r="U25">
        <v>1.6240999999999998E-2</v>
      </c>
      <c r="V25">
        <v>1.7554E-2</v>
      </c>
      <c r="W25">
        <v>1.8945E-2</v>
      </c>
      <c r="X25">
        <v>2.0358000000000001E-2</v>
      </c>
      <c r="Y25">
        <v>2.1772E-2</v>
      </c>
      <c r="Z25">
        <v>2.3202E-2</v>
      </c>
      <c r="AA25">
        <v>2.4597999999999998E-2</v>
      </c>
      <c r="AB25">
        <v>2.5939E-2</v>
      </c>
      <c r="AC25">
        <v>2.7257E-2</v>
      </c>
      <c r="AD25">
        <v>2.8565E-2</v>
      </c>
      <c r="AE25">
        <v>2.9877999999999998E-2</v>
      </c>
      <c r="AF25">
        <v>3.1206999999999999E-2</v>
      </c>
      <c r="AG25">
        <v>3.2496999999999998E-2</v>
      </c>
      <c r="AH25">
        <v>3.3785999999999997E-2</v>
      </c>
      <c r="AI25" s="22">
        <v>7.1999999999999995E-2</v>
      </c>
    </row>
    <row r="26" spans="1:35">
      <c r="A26" t="s">
        <v>1010</v>
      </c>
      <c r="B26" t="s">
        <v>1183</v>
      </c>
      <c r="C26" t="s">
        <v>1184</v>
      </c>
      <c r="D26" t="s">
        <v>202</v>
      </c>
      <c r="F26">
        <v>5.5090430000000001</v>
      </c>
      <c r="G26">
        <v>5.2944570000000004</v>
      </c>
      <c r="H26">
        <v>5.1420300000000001</v>
      </c>
      <c r="I26">
        <v>5.0320220000000004</v>
      </c>
      <c r="J26">
        <v>4.9612869999999996</v>
      </c>
      <c r="K26">
        <v>4.8973899999999997</v>
      </c>
      <c r="L26">
        <v>4.8672620000000002</v>
      </c>
      <c r="M26">
        <v>4.8756060000000003</v>
      </c>
      <c r="N26">
        <v>4.9122690000000002</v>
      </c>
      <c r="O26">
        <v>4.9692109999999996</v>
      </c>
      <c r="P26">
        <v>5.0748540000000002</v>
      </c>
      <c r="Q26">
        <v>5.2112740000000004</v>
      </c>
      <c r="R26">
        <v>5.3364409999999998</v>
      </c>
      <c r="S26">
        <v>5.4537319999999996</v>
      </c>
      <c r="T26">
        <v>5.5876749999999999</v>
      </c>
      <c r="U26">
        <v>5.7532639999999997</v>
      </c>
      <c r="V26">
        <v>5.9519209999999996</v>
      </c>
      <c r="W26">
        <v>6.1751339999999999</v>
      </c>
      <c r="X26">
        <v>6.3944270000000003</v>
      </c>
      <c r="Y26">
        <v>6.6008310000000003</v>
      </c>
      <c r="Z26">
        <v>6.8089449999999996</v>
      </c>
      <c r="AA26">
        <v>7.0041849999999997</v>
      </c>
      <c r="AB26">
        <v>7.1765489999999996</v>
      </c>
      <c r="AC26">
        <v>7.3427660000000001</v>
      </c>
      <c r="AD26">
        <v>7.5131709999999998</v>
      </c>
      <c r="AE26">
        <v>7.6931289999999999</v>
      </c>
      <c r="AF26">
        <v>7.8832199999999997</v>
      </c>
      <c r="AG26">
        <v>8.0600480000000001</v>
      </c>
      <c r="AH26">
        <v>8.2357610000000001</v>
      </c>
      <c r="AI26" s="22">
        <v>1.4E-2</v>
      </c>
    </row>
    <row r="27" spans="1:35">
      <c r="A27" t="s">
        <v>1011</v>
      </c>
      <c r="B27" t="s">
        <v>1185</v>
      </c>
      <c r="C27" t="s">
        <v>1186</v>
      </c>
      <c r="D27" t="s">
        <v>202</v>
      </c>
      <c r="F27">
        <v>55.086739000000001</v>
      </c>
      <c r="G27">
        <v>52.010685000000002</v>
      </c>
      <c r="H27">
        <v>49.520744000000001</v>
      </c>
      <c r="I27">
        <v>47.317413000000002</v>
      </c>
      <c r="J27">
        <v>45.417164</v>
      </c>
      <c r="K27">
        <v>43.427483000000002</v>
      </c>
      <c r="L27">
        <v>41.727370999999998</v>
      </c>
      <c r="M27">
        <v>40.325862999999998</v>
      </c>
      <c r="N27">
        <v>39.125362000000003</v>
      </c>
      <c r="O27">
        <v>38.066516999999997</v>
      </c>
      <c r="P27">
        <v>37.306381000000002</v>
      </c>
      <c r="Q27">
        <v>36.722583999999998</v>
      </c>
      <c r="R27">
        <v>36.091003000000001</v>
      </c>
      <c r="S27">
        <v>35.440643000000001</v>
      </c>
      <c r="T27">
        <v>34.904975999999998</v>
      </c>
      <c r="U27">
        <v>34.557194000000003</v>
      </c>
      <c r="V27">
        <v>34.389159999999997</v>
      </c>
      <c r="W27">
        <v>34.345489999999998</v>
      </c>
      <c r="X27">
        <v>34.295124000000001</v>
      </c>
      <c r="Y27">
        <v>34.200504000000002</v>
      </c>
      <c r="Z27">
        <v>34.122031999999997</v>
      </c>
      <c r="AA27">
        <v>34.004280000000001</v>
      </c>
      <c r="AB27">
        <v>33.811905000000003</v>
      </c>
      <c r="AC27">
        <v>33.607821999999999</v>
      </c>
      <c r="AD27">
        <v>33.429436000000003</v>
      </c>
      <c r="AE27">
        <v>33.293548999999999</v>
      </c>
      <c r="AF27">
        <v>33.198611999999997</v>
      </c>
      <c r="AG27">
        <v>33.066901999999999</v>
      </c>
      <c r="AH27">
        <v>32.943016</v>
      </c>
      <c r="AI27" s="22">
        <v>-1.7999999999999999E-2</v>
      </c>
    </row>
    <row r="28" spans="1:35">
      <c r="A28" t="s">
        <v>162</v>
      </c>
    </row>
    <row r="29" spans="1:35">
      <c r="A29" t="s">
        <v>1012</v>
      </c>
    </row>
    <row r="30" spans="1:35">
      <c r="A30" t="s">
        <v>995</v>
      </c>
      <c r="B30" t="s">
        <v>1187</v>
      </c>
      <c r="C30" t="s">
        <v>1188</v>
      </c>
      <c r="D30" t="s">
        <v>202</v>
      </c>
      <c r="F30">
        <v>83.907561999999999</v>
      </c>
      <c r="G30">
        <v>85.246178</v>
      </c>
      <c r="H30">
        <v>86.675407000000007</v>
      </c>
      <c r="I30">
        <v>88.293334999999999</v>
      </c>
      <c r="J30">
        <v>90.024269000000004</v>
      </c>
      <c r="K30">
        <v>90.869743</v>
      </c>
      <c r="L30">
        <v>91.562454000000002</v>
      </c>
      <c r="M30">
        <v>92.186004999999994</v>
      </c>
      <c r="N30">
        <v>92.519035000000002</v>
      </c>
      <c r="O30">
        <v>92.672759999999997</v>
      </c>
      <c r="P30">
        <v>92.890891999999994</v>
      </c>
      <c r="Q30">
        <v>93.107742000000002</v>
      </c>
      <c r="R30">
        <v>93.025847999999996</v>
      </c>
      <c r="S30">
        <v>92.733376000000007</v>
      </c>
      <c r="T30">
        <v>92.385056000000006</v>
      </c>
      <c r="U30">
        <v>92.133949000000001</v>
      </c>
      <c r="V30">
        <v>92.064437999999996</v>
      </c>
      <c r="W30">
        <v>92.172379000000006</v>
      </c>
      <c r="X30">
        <v>92.406952000000004</v>
      </c>
      <c r="Y30">
        <v>92.627357000000003</v>
      </c>
      <c r="Z30">
        <v>92.833183000000005</v>
      </c>
      <c r="AA30">
        <v>92.988342000000003</v>
      </c>
      <c r="AB30">
        <v>93.056731999999997</v>
      </c>
      <c r="AC30">
        <v>93.097237000000007</v>
      </c>
      <c r="AD30">
        <v>93.178421</v>
      </c>
      <c r="AE30">
        <v>93.277641000000003</v>
      </c>
      <c r="AF30">
        <v>93.379456000000005</v>
      </c>
      <c r="AG30">
        <v>93.499008000000003</v>
      </c>
      <c r="AH30">
        <v>93.613983000000005</v>
      </c>
      <c r="AI30" s="22">
        <v>4.0000000000000001E-3</v>
      </c>
    </row>
    <row r="31" spans="1:35">
      <c r="A31" t="s">
        <v>996</v>
      </c>
      <c r="B31" t="s">
        <v>1189</v>
      </c>
      <c r="C31" t="s">
        <v>1190</v>
      </c>
      <c r="D31" t="s">
        <v>202</v>
      </c>
      <c r="F31">
        <v>0.52666000000000002</v>
      </c>
      <c r="G31">
        <v>0.47596500000000003</v>
      </c>
      <c r="H31">
        <v>0.42480299999999999</v>
      </c>
      <c r="I31">
        <v>0.38073899999999999</v>
      </c>
      <c r="J31">
        <v>0.34478700000000001</v>
      </c>
      <c r="K31">
        <v>0.31091099999999999</v>
      </c>
      <c r="L31">
        <v>0.278391</v>
      </c>
      <c r="M31">
        <v>0.24728900000000001</v>
      </c>
      <c r="N31">
        <v>0.21771699999999999</v>
      </c>
      <c r="O31">
        <v>0.189885</v>
      </c>
      <c r="P31">
        <v>0.16389200000000001</v>
      </c>
      <c r="Q31">
        <v>0.14005300000000001</v>
      </c>
      <c r="R31">
        <v>0.118398</v>
      </c>
      <c r="S31">
        <v>9.9235000000000004E-2</v>
      </c>
      <c r="T31">
        <v>8.2496E-2</v>
      </c>
      <c r="U31">
        <v>6.8190000000000001E-2</v>
      </c>
      <c r="V31">
        <v>5.6337999999999999E-2</v>
      </c>
      <c r="W31">
        <v>4.6649999999999997E-2</v>
      </c>
      <c r="X31">
        <v>3.9010999999999997E-2</v>
      </c>
      <c r="Y31">
        <v>3.3098000000000002E-2</v>
      </c>
      <c r="Z31">
        <v>2.8437E-2</v>
      </c>
      <c r="AA31">
        <v>2.4750000000000001E-2</v>
      </c>
      <c r="AB31">
        <v>2.1794000000000001E-2</v>
      </c>
      <c r="AC31">
        <v>1.9529000000000001E-2</v>
      </c>
      <c r="AD31">
        <v>1.7741E-2</v>
      </c>
      <c r="AE31">
        <v>1.6143000000000001E-2</v>
      </c>
      <c r="AF31">
        <v>1.4714E-2</v>
      </c>
      <c r="AG31">
        <v>1.3434E-2</v>
      </c>
      <c r="AH31">
        <v>1.2286999999999999E-2</v>
      </c>
      <c r="AI31" s="22">
        <v>-0.126</v>
      </c>
    </row>
    <row r="32" spans="1:35">
      <c r="A32" t="s">
        <v>1013</v>
      </c>
      <c r="B32" t="s">
        <v>1191</v>
      </c>
      <c r="C32" t="s">
        <v>1192</v>
      </c>
      <c r="D32" t="s">
        <v>202</v>
      </c>
      <c r="F32">
        <v>84.434218999999999</v>
      </c>
      <c r="G32">
        <v>85.722144999999998</v>
      </c>
      <c r="H32">
        <v>87.100211999999999</v>
      </c>
      <c r="I32">
        <v>88.674071999999995</v>
      </c>
      <c r="J32">
        <v>90.369056999999998</v>
      </c>
      <c r="K32">
        <v>91.180655999999999</v>
      </c>
      <c r="L32">
        <v>91.840843000000007</v>
      </c>
      <c r="M32">
        <v>92.433295999999999</v>
      </c>
      <c r="N32">
        <v>92.736755000000002</v>
      </c>
      <c r="O32">
        <v>92.862647999999993</v>
      </c>
      <c r="P32">
        <v>93.054787000000005</v>
      </c>
      <c r="Q32">
        <v>93.247794999999996</v>
      </c>
      <c r="R32">
        <v>93.144249000000002</v>
      </c>
      <c r="S32">
        <v>92.832611</v>
      </c>
      <c r="T32">
        <v>92.467551999999998</v>
      </c>
      <c r="U32">
        <v>92.202140999999997</v>
      </c>
      <c r="V32">
        <v>92.120773</v>
      </c>
      <c r="W32">
        <v>92.219031999999999</v>
      </c>
      <c r="X32">
        <v>92.445960999999997</v>
      </c>
      <c r="Y32">
        <v>92.660454000000001</v>
      </c>
      <c r="Z32">
        <v>92.861618000000007</v>
      </c>
      <c r="AA32">
        <v>93.013092</v>
      </c>
      <c r="AB32">
        <v>93.078529000000003</v>
      </c>
      <c r="AC32">
        <v>93.116767999999993</v>
      </c>
      <c r="AD32">
        <v>93.196158999999994</v>
      </c>
      <c r="AE32">
        <v>93.293785</v>
      </c>
      <c r="AF32">
        <v>93.394172999999995</v>
      </c>
      <c r="AG32">
        <v>93.512444000000002</v>
      </c>
      <c r="AH32">
        <v>93.626273999999995</v>
      </c>
      <c r="AI32" s="22">
        <v>4.0000000000000001E-3</v>
      </c>
    </row>
    <row r="33" spans="1:35">
      <c r="A33" t="s">
        <v>1014</v>
      </c>
    </row>
    <row r="34" spans="1:35">
      <c r="A34" t="s">
        <v>999</v>
      </c>
      <c r="B34" t="s">
        <v>1193</v>
      </c>
      <c r="C34" t="s">
        <v>1194</v>
      </c>
      <c r="D34" t="s">
        <v>202</v>
      </c>
      <c r="F34">
        <v>13.155381999999999</v>
      </c>
      <c r="G34">
        <v>12.04735</v>
      </c>
      <c r="H34">
        <v>11.079556999999999</v>
      </c>
      <c r="I34">
        <v>10.146872</v>
      </c>
      <c r="J34">
        <v>9.3481640000000006</v>
      </c>
      <c r="K34">
        <v>8.5740239999999996</v>
      </c>
      <c r="L34">
        <v>7.8789559999999996</v>
      </c>
      <c r="M34">
        <v>7.2777609999999999</v>
      </c>
      <c r="N34">
        <v>6.743716</v>
      </c>
      <c r="O34">
        <v>6.2824840000000002</v>
      </c>
      <c r="P34">
        <v>5.9127580000000002</v>
      </c>
      <c r="Q34">
        <v>5.6186930000000004</v>
      </c>
      <c r="R34">
        <v>5.3554360000000001</v>
      </c>
      <c r="S34">
        <v>5.1242859999999997</v>
      </c>
      <c r="T34">
        <v>4.93954</v>
      </c>
      <c r="U34">
        <v>4.8122550000000004</v>
      </c>
      <c r="V34">
        <v>4.7404200000000003</v>
      </c>
      <c r="W34">
        <v>4.7091339999999997</v>
      </c>
      <c r="X34">
        <v>4.7003620000000002</v>
      </c>
      <c r="Y34">
        <v>4.694051</v>
      </c>
      <c r="Z34">
        <v>4.6888899999999998</v>
      </c>
      <c r="AA34">
        <v>4.6818530000000003</v>
      </c>
      <c r="AB34">
        <v>4.6713120000000004</v>
      </c>
      <c r="AC34">
        <v>4.6641450000000004</v>
      </c>
      <c r="AD34">
        <v>4.6687070000000004</v>
      </c>
      <c r="AE34">
        <v>4.6807059999999998</v>
      </c>
      <c r="AF34">
        <v>4.6957659999999999</v>
      </c>
      <c r="AG34">
        <v>4.7141529999999996</v>
      </c>
      <c r="AH34">
        <v>4.7330120000000004</v>
      </c>
      <c r="AI34" s="22">
        <v>-3.5999999999999997E-2</v>
      </c>
    </row>
    <row r="35" spans="1:35">
      <c r="A35" t="s">
        <v>1157</v>
      </c>
      <c r="B35" t="s">
        <v>1195</v>
      </c>
      <c r="C35" t="s">
        <v>1069</v>
      </c>
      <c r="D35" t="s">
        <v>202</v>
      </c>
      <c r="F35">
        <v>3.7000000000000002E-3</v>
      </c>
      <c r="G35">
        <v>3.7959999999999999E-3</v>
      </c>
      <c r="H35">
        <v>3.9370000000000004E-3</v>
      </c>
      <c r="I35">
        <v>4.0819999999999997E-3</v>
      </c>
      <c r="J35">
        <v>4.2009999999999999E-3</v>
      </c>
      <c r="K35">
        <v>4.2950000000000002E-3</v>
      </c>
      <c r="L35">
        <v>4.3670000000000002E-3</v>
      </c>
      <c r="M35">
        <v>4.4180000000000001E-3</v>
      </c>
      <c r="N35">
        <v>4.4409999999999996E-3</v>
      </c>
      <c r="O35">
        <v>4.444E-3</v>
      </c>
      <c r="P35">
        <v>4.4339999999999996E-3</v>
      </c>
      <c r="Q35">
        <v>4.4070000000000003E-3</v>
      </c>
      <c r="R35">
        <v>4.352E-3</v>
      </c>
      <c r="S35">
        <v>4.2750000000000002E-3</v>
      </c>
      <c r="T35">
        <v>4.1780000000000003E-3</v>
      </c>
      <c r="U35">
        <v>4.0639999999999999E-3</v>
      </c>
      <c r="V35">
        <v>3.9319999999999997E-3</v>
      </c>
      <c r="W35">
        <v>3.7859999999999999E-3</v>
      </c>
      <c r="X35">
        <v>3.6259999999999999E-3</v>
      </c>
      <c r="Y35">
        <v>3.4529999999999999E-3</v>
      </c>
      <c r="Z35">
        <v>3.2680000000000001E-3</v>
      </c>
      <c r="AA35">
        <v>3.0730000000000002E-3</v>
      </c>
      <c r="AB35">
        <v>2.8700000000000002E-3</v>
      </c>
      <c r="AC35">
        <v>2.6619999999999999E-3</v>
      </c>
      <c r="AD35">
        <v>2.4499999999999999E-3</v>
      </c>
      <c r="AE35">
        <v>2.2360000000000001E-3</v>
      </c>
      <c r="AF35">
        <v>2.0200000000000001E-3</v>
      </c>
      <c r="AG35">
        <v>1.802E-3</v>
      </c>
      <c r="AH35">
        <v>1.5820000000000001E-3</v>
      </c>
      <c r="AI35" s="22">
        <v>-0.03</v>
      </c>
    </row>
    <row r="36" spans="1:35">
      <c r="A36" t="s">
        <v>1159</v>
      </c>
      <c r="B36" t="s">
        <v>1196</v>
      </c>
      <c r="C36" t="s">
        <v>1069</v>
      </c>
      <c r="D36" t="s">
        <v>202</v>
      </c>
      <c r="F36">
        <v>7.2387999999999994E-2</v>
      </c>
      <c r="G36">
        <v>0.13614100000000001</v>
      </c>
      <c r="H36">
        <v>0.227352</v>
      </c>
      <c r="I36">
        <v>0.34497699999999998</v>
      </c>
      <c r="J36">
        <v>0.48496899999999998</v>
      </c>
      <c r="K36">
        <v>0.63757699999999995</v>
      </c>
      <c r="L36">
        <v>0.80531600000000003</v>
      </c>
      <c r="M36">
        <v>0.987873</v>
      </c>
      <c r="N36">
        <v>1.1777820000000001</v>
      </c>
      <c r="O36">
        <v>1.375702</v>
      </c>
      <c r="P36">
        <v>1.5874010000000001</v>
      </c>
      <c r="Q36">
        <v>1.810111</v>
      </c>
      <c r="R36">
        <v>2.031657</v>
      </c>
      <c r="S36">
        <v>2.2528920000000001</v>
      </c>
      <c r="T36">
        <v>2.4782030000000002</v>
      </c>
      <c r="U36">
        <v>2.713346</v>
      </c>
      <c r="V36">
        <v>2.9625020000000002</v>
      </c>
      <c r="W36">
        <v>3.225902</v>
      </c>
      <c r="X36">
        <v>3.50136</v>
      </c>
      <c r="Y36">
        <v>3.7808540000000002</v>
      </c>
      <c r="Z36">
        <v>4.0638959999999997</v>
      </c>
      <c r="AA36">
        <v>4.3476540000000004</v>
      </c>
      <c r="AB36">
        <v>4.6291830000000003</v>
      </c>
      <c r="AC36">
        <v>4.9124090000000002</v>
      </c>
      <c r="AD36">
        <v>5.2025920000000001</v>
      </c>
      <c r="AE36">
        <v>5.4980599999999997</v>
      </c>
      <c r="AF36">
        <v>5.7977160000000003</v>
      </c>
      <c r="AG36">
        <v>6.1028640000000003</v>
      </c>
      <c r="AH36">
        <v>6.4114500000000003</v>
      </c>
      <c r="AI36" s="22">
        <v>0.17399999999999999</v>
      </c>
    </row>
    <row r="37" spans="1:35">
      <c r="A37" t="s">
        <v>1161</v>
      </c>
      <c r="B37" t="s">
        <v>1197</v>
      </c>
      <c r="C37" t="s">
        <v>1069</v>
      </c>
      <c r="D37" t="s">
        <v>202</v>
      </c>
      <c r="F37">
        <v>4.1378999999999999E-2</v>
      </c>
      <c r="G37">
        <v>5.5634999999999997E-2</v>
      </c>
      <c r="H37">
        <v>7.3841000000000004E-2</v>
      </c>
      <c r="I37">
        <v>9.5920000000000005E-2</v>
      </c>
      <c r="J37">
        <v>0.120613</v>
      </c>
      <c r="K37">
        <v>0.14671799999999999</v>
      </c>
      <c r="L37">
        <v>0.174765</v>
      </c>
      <c r="M37">
        <v>0.204703</v>
      </c>
      <c r="N37">
        <v>0.23532600000000001</v>
      </c>
      <c r="O37">
        <v>0.26680399999999999</v>
      </c>
      <c r="P37">
        <v>0.30012</v>
      </c>
      <c r="Q37">
        <v>0.33483400000000002</v>
      </c>
      <c r="R37">
        <v>0.36905100000000002</v>
      </c>
      <c r="S37">
        <v>0.402945</v>
      </c>
      <c r="T37">
        <v>0.43723099999999998</v>
      </c>
      <c r="U37">
        <v>0.472856</v>
      </c>
      <c r="V37">
        <v>0.51049500000000003</v>
      </c>
      <c r="W37">
        <v>0.55022300000000002</v>
      </c>
      <c r="X37">
        <v>0.59172199999999997</v>
      </c>
      <c r="Y37">
        <v>0.63378599999999996</v>
      </c>
      <c r="Z37">
        <v>0.67637100000000006</v>
      </c>
      <c r="AA37">
        <v>0.71902999999999995</v>
      </c>
      <c r="AB37">
        <v>0.76130399999999998</v>
      </c>
      <c r="AC37">
        <v>0.80379500000000004</v>
      </c>
      <c r="AD37">
        <v>0.84731000000000001</v>
      </c>
      <c r="AE37">
        <v>0.89161699999999999</v>
      </c>
      <c r="AF37">
        <v>0.93655200000000005</v>
      </c>
      <c r="AG37">
        <v>0.98231800000000002</v>
      </c>
      <c r="AH37">
        <v>1.028607</v>
      </c>
      <c r="AI37" s="22">
        <v>0.122</v>
      </c>
    </row>
    <row r="38" spans="1:35">
      <c r="A38" t="s">
        <v>1000</v>
      </c>
      <c r="B38" t="s">
        <v>1198</v>
      </c>
      <c r="C38" t="s">
        <v>1199</v>
      </c>
      <c r="D38" t="s">
        <v>202</v>
      </c>
      <c r="F38">
        <v>0.18983700000000001</v>
      </c>
      <c r="G38">
        <v>0.191692</v>
      </c>
      <c r="H38">
        <v>0.19464200000000001</v>
      </c>
      <c r="I38">
        <v>0.22015499999999999</v>
      </c>
      <c r="J38">
        <v>0.24595900000000001</v>
      </c>
      <c r="K38">
        <v>0.27066499999999999</v>
      </c>
      <c r="L38">
        <v>0.29464200000000002</v>
      </c>
      <c r="M38">
        <v>0.317944</v>
      </c>
      <c r="N38">
        <v>0.339725</v>
      </c>
      <c r="O38">
        <v>0.36045199999999999</v>
      </c>
      <c r="P38">
        <v>0.38098700000000002</v>
      </c>
      <c r="Q38">
        <v>0.40107100000000001</v>
      </c>
      <c r="R38">
        <v>0.41955100000000001</v>
      </c>
      <c r="S38">
        <v>0.436693</v>
      </c>
      <c r="T38">
        <v>0.45296900000000001</v>
      </c>
      <c r="U38">
        <v>0.469028</v>
      </c>
      <c r="V38">
        <v>0.48551899999999998</v>
      </c>
      <c r="W38">
        <v>0.50263599999999997</v>
      </c>
      <c r="X38">
        <v>0.52035500000000001</v>
      </c>
      <c r="Y38">
        <v>0.53812099999999996</v>
      </c>
      <c r="Z38">
        <v>0.55594699999999997</v>
      </c>
      <c r="AA38">
        <v>0.57360100000000003</v>
      </c>
      <c r="AB38">
        <v>0.590862</v>
      </c>
      <c r="AC38">
        <v>0.60809100000000005</v>
      </c>
      <c r="AD38">
        <v>0.62568199999999996</v>
      </c>
      <c r="AE38">
        <v>0.64353899999999997</v>
      </c>
      <c r="AF38">
        <v>0.66165200000000002</v>
      </c>
      <c r="AG38">
        <v>0.68012799999999995</v>
      </c>
      <c r="AH38">
        <v>0.69880299999999995</v>
      </c>
      <c r="AI38" s="22">
        <v>4.8000000000000001E-2</v>
      </c>
    </row>
    <row r="39" spans="1:35">
      <c r="A39" t="s">
        <v>1001</v>
      </c>
      <c r="B39" t="s">
        <v>1200</v>
      </c>
      <c r="C39" t="s">
        <v>1201</v>
      </c>
      <c r="D39" t="s">
        <v>202</v>
      </c>
      <c r="F39">
        <v>1.0998000000000001E-2</v>
      </c>
      <c r="G39">
        <v>1.5812E-2</v>
      </c>
      <c r="H39">
        <v>2.2769999999999999E-2</v>
      </c>
      <c r="I39">
        <v>3.2281999999999998E-2</v>
      </c>
      <c r="J39">
        <v>4.4431999999999999E-2</v>
      </c>
      <c r="K39">
        <v>5.8401000000000002E-2</v>
      </c>
      <c r="L39">
        <v>7.424E-2</v>
      </c>
      <c r="M39">
        <v>9.1879000000000002E-2</v>
      </c>
      <c r="N39">
        <v>0.110764</v>
      </c>
      <c r="O39">
        <v>0.130941</v>
      </c>
      <c r="P39">
        <v>0.15276699999999999</v>
      </c>
      <c r="Q39">
        <v>0.176007</v>
      </c>
      <c r="R39">
        <v>0.199768</v>
      </c>
      <c r="S39">
        <v>0.22403600000000001</v>
      </c>
      <c r="T39">
        <v>0.24896199999999999</v>
      </c>
      <c r="U39">
        <v>0.27486300000000002</v>
      </c>
      <c r="V39">
        <v>0.30209599999999998</v>
      </c>
      <c r="W39">
        <v>0.33073599999999997</v>
      </c>
      <c r="X39">
        <v>0.36068099999999997</v>
      </c>
      <c r="Y39">
        <v>0.39136100000000001</v>
      </c>
      <c r="Z39">
        <v>0.422678</v>
      </c>
      <c r="AA39">
        <v>0.45433400000000002</v>
      </c>
      <c r="AB39">
        <v>0.48603099999999999</v>
      </c>
      <c r="AC39">
        <v>0.51801699999999995</v>
      </c>
      <c r="AD39">
        <v>0.55064599999999997</v>
      </c>
      <c r="AE39">
        <v>0.58380799999999999</v>
      </c>
      <c r="AF39">
        <v>0.61748999999999998</v>
      </c>
      <c r="AG39">
        <v>0.65180099999999996</v>
      </c>
      <c r="AH39">
        <v>0.68656700000000004</v>
      </c>
      <c r="AI39" s="22">
        <v>0.159</v>
      </c>
    </row>
    <row r="40" spans="1:35">
      <c r="A40" t="s">
        <v>1002</v>
      </c>
      <c r="B40" t="s">
        <v>1202</v>
      </c>
      <c r="C40" t="s">
        <v>1203</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111</v>
      </c>
    </row>
    <row r="41" spans="1:35">
      <c r="A41" t="s">
        <v>1003</v>
      </c>
      <c r="B41" t="s">
        <v>1204</v>
      </c>
      <c r="C41" t="s">
        <v>1205</v>
      </c>
      <c r="D41" t="s">
        <v>202</v>
      </c>
      <c r="F41">
        <v>1.4860070000000001</v>
      </c>
      <c r="G41">
        <v>1.7714510000000001</v>
      </c>
      <c r="H41">
        <v>2.0501170000000002</v>
      </c>
      <c r="I41">
        <v>2.3524569999999998</v>
      </c>
      <c r="J41">
        <v>2.6537160000000002</v>
      </c>
      <c r="K41">
        <v>2.9155169999999999</v>
      </c>
      <c r="L41">
        <v>3.1558120000000001</v>
      </c>
      <c r="M41">
        <v>3.3776169999999999</v>
      </c>
      <c r="N41">
        <v>3.5757539999999999</v>
      </c>
      <c r="O41">
        <v>3.7567569999999999</v>
      </c>
      <c r="P41">
        <v>3.9304410000000001</v>
      </c>
      <c r="Q41">
        <v>4.0947690000000003</v>
      </c>
      <c r="R41">
        <v>4.2382939999999998</v>
      </c>
      <c r="S41">
        <v>4.3639780000000004</v>
      </c>
      <c r="T41">
        <v>4.4781870000000001</v>
      </c>
      <c r="U41">
        <v>4.5877489999999996</v>
      </c>
      <c r="V41">
        <v>4.69895</v>
      </c>
      <c r="W41">
        <v>4.8137369999999997</v>
      </c>
      <c r="X41">
        <v>4.9321109999999999</v>
      </c>
      <c r="Y41">
        <v>5.0488580000000001</v>
      </c>
      <c r="Z41">
        <v>5.1645690000000002</v>
      </c>
      <c r="AA41">
        <v>5.2774080000000003</v>
      </c>
      <c r="AB41">
        <v>5.385243</v>
      </c>
      <c r="AC41">
        <v>5.491466</v>
      </c>
      <c r="AD41">
        <v>5.5998190000000001</v>
      </c>
      <c r="AE41">
        <v>5.7090930000000002</v>
      </c>
      <c r="AF41">
        <v>5.8187990000000003</v>
      </c>
      <c r="AG41">
        <v>5.9302020000000004</v>
      </c>
      <c r="AH41">
        <v>6.0421950000000004</v>
      </c>
      <c r="AI41" s="22">
        <v>5.0999999999999997E-2</v>
      </c>
    </row>
    <row r="42" spans="1:35">
      <c r="A42" t="s">
        <v>1004</v>
      </c>
      <c r="B42" t="s">
        <v>1206</v>
      </c>
      <c r="C42" t="s">
        <v>1207</v>
      </c>
      <c r="D42" t="s">
        <v>202</v>
      </c>
      <c r="F42">
        <v>2.7307000000000001E-2</v>
      </c>
      <c r="G42">
        <v>2.538E-2</v>
      </c>
      <c r="H42">
        <v>2.3747000000000001E-2</v>
      </c>
      <c r="I42">
        <v>2.2165000000000001E-2</v>
      </c>
      <c r="J42">
        <v>2.0631E-2</v>
      </c>
      <c r="K42">
        <v>1.9140999999999998E-2</v>
      </c>
      <c r="L42">
        <v>1.7766000000000001E-2</v>
      </c>
      <c r="M42">
        <v>1.6636999999999999E-2</v>
      </c>
      <c r="N42">
        <v>1.5591000000000001E-2</v>
      </c>
      <c r="O42">
        <v>1.4572999999999999E-2</v>
      </c>
      <c r="P42">
        <v>1.3602E-2</v>
      </c>
      <c r="Q42">
        <v>1.268E-2</v>
      </c>
      <c r="R42">
        <v>1.1816E-2</v>
      </c>
      <c r="S42">
        <v>1.1003000000000001E-2</v>
      </c>
      <c r="T42">
        <v>1.0246999999999999E-2</v>
      </c>
      <c r="U42">
        <v>9.6509999999999999E-3</v>
      </c>
      <c r="V42">
        <v>9.0790000000000003E-3</v>
      </c>
      <c r="W42">
        <v>8.5800000000000008E-3</v>
      </c>
      <c r="X42">
        <v>8.1089999999999999E-3</v>
      </c>
      <c r="Y42">
        <v>7.6639999999999998E-3</v>
      </c>
      <c r="Z42">
        <v>7.2430000000000003E-3</v>
      </c>
      <c r="AA42">
        <v>6.8459999999999997E-3</v>
      </c>
      <c r="AB42">
        <v>6.4700000000000001E-3</v>
      </c>
      <c r="AC42">
        <v>6.1149999999999998E-3</v>
      </c>
      <c r="AD42">
        <v>5.7800000000000004E-3</v>
      </c>
      <c r="AE42">
        <v>5.463E-3</v>
      </c>
      <c r="AF42">
        <v>5.1640000000000002E-3</v>
      </c>
      <c r="AG42">
        <v>4.8809999999999999E-3</v>
      </c>
      <c r="AH42">
        <v>4.6129999999999999E-3</v>
      </c>
      <c r="AI42" s="22">
        <v>-6.2E-2</v>
      </c>
    </row>
    <row r="43" spans="1:35">
      <c r="A43" t="s">
        <v>1005</v>
      </c>
      <c r="B43" t="s">
        <v>1208</v>
      </c>
      <c r="C43" t="s">
        <v>1209</v>
      </c>
      <c r="D43" t="s">
        <v>202</v>
      </c>
      <c r="F43">
        <v>2.1069000000000001E-2</v>
      </c>
      <c r="G43">
        <v>1.942E-2</v>
      </c>
      <c r="H43">
        <v>1.8349000000000001E-2</v>
      </c>
      <c r="I43">
        <v>1.7337999999999999E-2</v>
      </c>
      <c r="J43">
        <v>1.6382000000000001E-2</v>
      </c>
      <c r="K43">
        <v>1.5479E-2</v>
      </c>
      <c r="L43">
        <v>1.4626E-2</v>
      </c>
      <c r="M43">
        <v>1.3821E-2</v>
      </c>
      <c r="N43">
        <v>1.3058999999999999E-2</v>
      </c>
      <c r="O43">
        <v>1.234E-2</v>
      </c>
      <c r="P43">
        <v>1.1660999999999999E-2</v>
      </c>
      <c r="Q43">
        <v>1.1018999999999999E-2</v>
      </c>
      <c r="R43">
        <v>1.0413E-2</v>
      </c>
      <c r="S43">
        <v>9.8399999999999998E-3</v>
      </c>
      <c r="T43">
        <v>9.299E-3</v>
      </c>
      <c r="U43">
        <v>8.7869999999999997E-3</v>
      </c>
      <c r="V43">
        <v>8.3040000000000006E-3</v>
      </c>
      <c r="W43">
        <v>7.8480000000000008E-3</v>
      </c>
      <c r="X43">
        <v>7.417E-3</v>
      </c>
      <c r="Y43">
        <v>7.0089999999999996E-3</v>
      </c>
      <c r="Z43">
        <v>6.6239999999999997E-3</v>
      </c>
      <c r="AA43">
        <v>6.2599999999999999E-3</v>
      </c>
      <c r="AB43">
        <v>5.9160000000000003E-3</v>
      </c>
      <c r="AC43">
        <v>5.5919999999999997E-3</v>
      </c>
      <c r="AD43">
        <v>5.2849999999999998E-3</v>
      </c>
      <c r="AE43">
        <v>4.9950000000000003E-3</v>
      </c>
      <c r="AF43">
        <v>4.7210000000000004E-3</v>
      </c>
      <c r="AG43">
        <v>4.4619999999999998E-3</v>
      </c>
      <c r="AH43">
        <v>4.2170000000000003E-3</v>
      </c>
      <c r="AI43" s="22">
        <v>-5.6000000000000001E-2</v>
      </c>
    </row>
    <row r="44" spans="1:35">
      <c r="A44" t="s">
        <v>1006</v>
      </c>
      <c r="B44" t="s">
        <v>1210</v>
      </c>
      <c r="C44" t="s">
        <v>1211</v>
      </c>
      <c r="D44" t="s">
        <v>202</v>
      </c>
      <c r="F44">
        <v>5.5518999999999999E-2</v>
      </c>
      <c r="G44">
        <v>4.9865E-2</v>
      </c>
      <c r="H44">
        <v>4.4665000000000003E-2</v>
      </c>
      <c r="I44">
        <v>4.0508000000000002E-2</v>
      </c>
      <c r="J44">
        <v>3.746E-2</v>
      </c>
      <c r="K44">
        <v>3.5242999999999997E-2</v>
      </c>
      <c r="L44">
        <v>3.3300999999999997E-2</v>
      </c>
      <c r="M44">
        <v>3.1466000000000001E-2</v>
      </c>
      <c r="N44">
        <v>2.9732999999999999E-2</v>
      </c>
      <c r="O44">
        <v>2.8094999999999998E-2</v>
      </c>
      <c r="P44">
        <v>2.6547999999999999E-2</v>
      </c>
      <c r="Q44">
        <v>2.5087000000000002E-2</v>
      </c>
      <c r="R44">
        <v>2.3706000000000001E-2</v>
      </c>
      <c r="S44">
        <v>2.2401999999999998E-2</v>
      </c>
      <c r="T44">
        <v>2.1169E-2</v>
      </c>
      <c r="U44">
        <v>2.0004999999999998E-2</v>
      </c>
      <c r="V44">
        <v>1.8905000000000002E-2</v>
      </c>
      <c r="W44">
        <v>1.7864999999999999E-2</v>
      </c>
      <c r="X44">
        <v>1.6882999999999999E-2</v>
      </c>
      <c r="Y44">
        <v>1.5955E-2</v>
      </c>
      <c r="Z44">
        <v>1.5077999999999999E-2</v>
      </c>
      <c r="AA44">
        <v>1.4250000000000001E-2</v>
      </c>
      <c r="AB44">
        <v>1.3467E-2</v>
      </c>
      <c r="AC44">
        <v>1.2728E-2</v>
      </c>
      <c r="AD44">
        <v>1.2029E-2</v>
      </c>
      <c r="AE44">
        <v>1.1369000000000001E-2</v>
      </c>
      <c r="AF44">
        <v>1.0744999999999999E-2</v>
      </c>
      <c r="AG44">
        <v>1.0155000000000001E-2</v>
      </c>
      <c r="AH44">
        <v>9.5980000000000006E-3</v>
      </c>
      <c r="AI44" s="22">
        <v>-6.0999999999999999E-2</v>
      </c>
    </row>
    <row r="45" spans="1:35">
      <c r="A45" t="s">
        <v>1007</v>
      </c>
      <c r="B45" t="s">
        <v>1212</v>
      </c>
      <c r="C45" t="s">
        <v>1213</v>
      </c>
      <c r="D45" t="s">
        <v>202</v>
      </c>
      <c r="F45">
        <v>4.9424999999999997E-2</v>
      </c>
      <c r="G45">
        <v>4.5553999999999997E-2</v>
      </c>
      <c r="H45">
        <v>4.3041999999999997E-2</v>
      </c>
      <c r="I45">
        <v>4.0668999999999997E-2</v>
      </c>
      <c r="J45">
        <v>3.8427000000000003E-2</v>
      </c>
      <c r="K45">
        <v>3.6310000000000002E-2</v>
      </c>
      <c r="L45">
        <v>3.4308999999999999E-2</v>
      </c>
      <c r="M45">
        <v>3.2419000000000003E-2</v>
      </c>
      <c r="N45">
        <v>3.0634000000000002E-2</v>
      </c>
      <c r="O45">
        <v>2.8947000000000001E-2</v>
      </c>
      <c r="P45">
        <v>2.7354E-2</v>
      </c>
      <c r="Q45">
        <v>2.5847999999999999E-2</v>
      </c>
      <c r="R45">
        <v>2.4426E-2</v>
      </c>
      <c r="S45">
        <v>2.3081999999999998E-2</v>
      </c>
      <c r="T45">
        <v>2.1812000000000002E-2</v>
      </c>
      <c r="U45">
        <v>2.0612999999999999E-2</v>
      </c>
      <c r="V45">
        <v>1.9479E-2</v>
      </c>
      <c r="W45">
        <v>1.8408999999999998E-2</v>
      </c>
      <c r="X45">
        <v>1.7396999999999999E-2</v>
      </c>
      <c r="Y45">
        <v>1.6441000000000001E-2</v>
      </c>
      <c r="Z45">
        <v>1.5538E-2</v>
      </c>
      <c r="AA45">
        <v>1.4683999999999999E-2</v>
      </c>
      <c r="AB45">
        <v>1.3878E-2</v>
      </c>
      <c r="AC45">
        <v>1.3115999999999999E-2</v>
      </c>
      <c r="AD45">
        <v>1.2396000000000001E-2</v>
      </c>
      <c r="AE45">
        <v>1.1716000000000001E-2</v>
      </c>
      <c r="AF45">
        <v>1.1073E-2</v>
      </c>
      <c r="AG45">
        <v>1.0466E-2</v>
      </c>
      <c r="AH45">
        <v>9.8919999999999998E-3</v>
      </c>
      <c r="AI45" s="22">
        <v>-5.6000000000000001E-2</v>
      </c>
    </row>
    <row r="46" spans="1:35">
      <c r="A46" t="s">
        <v>1008</v>
      </c>
      <c r="B46" t="s">
        <v>1214</v>
      </c>
      <c r="C46" t="s">
        <v>1215</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111</v>
      </c>
    </row>
    <row r="47" spans="1:35">
      <c r="A47" t="s">
        <v>1009</v>
      </c>
      <c r="B47" t="s">
        <v>1216</v>
      </c>
      <c r="C47" t="s">
        <v>1217</v>
      </c>
      <c r="D47" t="s">
        <v>202</v>
      </c>
      <c r="F47">
        <v>2.3E-5</v>
      </c>
      <c r="G47">
        <v>6.4999999999999994E-5</v>
      </c>
      <c r="H47">
        <v>1.2999999999999999E-4</v>
      </c>
      <c r="I47">
        <v>2.2100000000000001E-4</v>
      </c>
      <c r="J47">
        <v>3.3599999999999998E-4</v>
      </c>
      <c r="K47">
        <v>4.7199999999999998E-4</v>
      </c>
      <c r="L47">
        <v>6.3000000000000003E-4</v>
      </c>
      <c r="M47">
        <v>8.0900000000000004E-4</v>
      </c>
      <c r="N47">
        <v>1.0039999999999999E-3</v>
      </c>
      <c r="O47">
        <v>1.2149999999999999E-3</v>
      </c>
      <c r="P47">
        <v>1.444E-3</v>
      </c>
      <c r="Q47">
        <v>1.689E-3</v>
      </c>
      <c r="R47">
        <v>1.9430000000000001E-3</v>
      </c>
      <c r="S47">
        <v>2.2030000000000001E-3</v>
      </c>
      <c r="T47">
        <v>2.4719999999999998E-3</v>
      </c>
      <c r="U47">
        <v>2.751E-3</v>
      </c>
      <c r="V47">
        <v>3.042E-3</v>
      </c>
      <c r="W47">
        <v>3.3470000000000001E-3</v>
      </c>
      <c r="X47">
        <v>3.666E-3</v>
      </c>
      <c r="Y47">
        <v>3.993E-3</v>
      </c>
      <c r="Z47">
        <v>4.3290000000000004E-3</v>
      </c>
      <c r="AA47">
        <v>4.6709999999999998E-3</v>
      </c>
      <c r="AB47">
        <v>5.0150000000000004E-3</v>
      </c>
      <c r="AC47">
        <v>5.365E-3</v>
      </c>
      <c r="AD47">
        <v>5.7210000000000004E-3</v>
      </c>
      <c r="AE47">
        <v>6.084E-3</v>
      </c>
      <c r="AF47">
        <v>6.4520000000000003E-3</v>
      </c>
      <c r="AG47">
        <v>6.8279999999999999E-3</v>
      </c>
      <c r="AH47">
        <v>7.2100000000000003E-3</v>
      </c>
      <c r="AI47" s="22">
        <v>0.22900000000000001</v>
      </c>
    </row>
    <row r="48" spans="1:35">
      <c r="A48" t="s">
        <v>1015</v>
      </c>
      <c r="B48" t="s">
        <v>1218</v>
      </c>
      <c r="C48" t="s">
        <v>1219</v>
      </c>
      <c r="D48" t="s">
        <v>202</v>
      </c>
      <c r="F48">
        <v>15.113032</v>
      </c>
      <c r="G48">
        <v>14.362161</v>
      </c>
      <c r="H48">
        <v>13.78215</v>
      </c>
      <c r="I48">
        <v>13.317646</v>
      </c>
      <c r="J48">
        <v>13.015288999999999</v>
      </c>
      <c r="K48">
        <v>12.713843000000001</v>
      </c>
      <c r="L48">
        <v>12.48873</v>
      </c>
      <c r="M48">
        <v>12.357347000000001</v>
      </c>
      <c r="N48">
        <v>12.277528999999999</v>
      </c>
      <c r="O48">
        <v>12.262755</v>
      </c>
      <c r="P48">
        <v>12.349518</v>
      </c>
      <c r="Q48">
        <v>12.516215000000001</v>
      </c>
      <c r="R48">
        <v>12.690412999999999</v>
      </c>
      <c r="S48">
        <v>12.877636000000001</v>
      </c>
      <c r="T48">
        <v>13.10427</v>
      </c>
      <c r="U48">
        <v>13.395966</v>
      </c>
      <c r="V48">
        <v>13.762724</v>
      </c>
      <c r="W48">
        <v>14.192204</v>
      </c>
      <c r="X48">
        <v>14.663688</v>
      </c>
      <c r="Y48">
        <v>15.141544</v>
      </c>
      <c r="Z48">
        <v>15.624432000000001</v>
      </c>
      <c r="AA48">
        <v>16.103663999999998</v>
      </c>
      <c r="AB48">
        <v>16.571552000000001</v>
      </c>
      <c r="AC48">
        <v>17.043500999999999</v>
      </c>
      <c r="AD48">
        <v>17.538418</v>
      </c>
      <c r="AE48">
        <v>18.048683</v>
      </c>
      <c r="AF48">
        <v>18.568145999999999</v>
      </c>
      <c r="AG48">
        <v>19.100059999999999</v>
      </c>
      <c r="AH48">
        <v>19.637744999999999</v>
      </c>
      <c r="AI48" s="22">
        <v>8.9999999999999993E-3</v>
      </c>
    </row>
    <row r="49" spans="1:35">
      <c r="A49" t="s">
        <v>1016</v>
      </c>
      <c r="B49" t="s">
        <v>1220</v>
      </c>
      <c r="C49" t="s">
        <v>1221</v>
      </c>
      <c r="D49" t="s">
        <v>202</v>
      </c>
      <c r="F49">
        <v>99.547248999999994</v>
      </c>
      <c r="G49">
        <v>100.084305</v>
      </c>
      <c r="H49">
        <v>100.882362</v>
      </c>
      <c r="I49">
        <v>101.991714</v>
      </c>
      <c r="J49">
        <v>103.38434599999999</v>
      </c>
      <c r="K49">
        <v>103.89450100000001</v>
      </c>
      <c r="L49">
        <v>104.32957500000001</v>
      </c>
      <c r="M49">
        <v>104.79064200000001</v>
      </c>
      <c r="N49">
        <v>105.01428199999999</v>
      </c>
      <c r="O49">
        <v>105.125404</v>
      </c>
      <c r="P49">
        <v>105.40430499999999</v>
      </c>
      <c r="Q49">
        <v>105.764008</v>
      </c>
      <c r="R49">
        <v>105.83466300000001</v>
      </c>
      <c r="S49">
        <v>105.710251</v>
      </c>
      <c r="T49">
        <v>105.57182299999999</v>
      </c>
      <c r="U49">
        <v>105.598106</v>
      </c>
      <c r="V49">
        <v>105.883499</v>
      </c>
      <c r="W49">
        <v>106.41124000000001</v>
      </c>
      <c r="X49">
        <v>107.10965</v>
      </c>
      <c r="Y49">
        <v>107.802002</v>
      </c>
      <c r="Z49">
        <v>108.486053</v>
      </c>
      <c r="AA49">
        <v>109.11676</v>
      </c>
      <c r="AB49">
        <v>109.650085</v>
      </c>
      <c r="AC49">
        <v>110.16027099999999</v>
      </c>
      <c r="AD49">
        <v>110.734573</v>
      </c>
      <c r="AE49">
        <v>111.342468</v>
      </c>
      <c r="AF49">
        <v>111.962318</v>
      </c>
      <c r="AG49">
        <v>112.612503</v>
      </c>
      <c r="AH49">
        <v>113.26402299999999</v>
      </c>
      <c r="AI49" s="22">
        <v>5.0000000000000001E-3</v>
      </c>
    </row>
    <row r="50" spans="1:35">
      <c r="A50" t="s">
        <v>478</v>
      </c>
      <c r="B50" t="s">
        <v>1222</v>
      </c>
      <c r="C50" t="s">
        <v>1223</v>
      </c>
      <c r="D50" t="s">
        <v>202</v>
      </c>
      <c r="F50">
        <v>154.63398699999999</v>
      </c>
      <c r="G50">
        <v>152.09498600000001</v>
      </c>
      <c r="H50">
        <v>150.40310700000001</v>
      </c>
      <c r="I50">
        <v>149.30912799999999</v>
      </c>
      <c r="J50">
        <v>148.801514</v>
      </c>
      <c r="K50">
        <v>147.321991</v>
      </c>
      <c r="L50">
        <v>146.05694600000001</v>
      </c>
      <c r="M50">
        <v>145.116501</v>
      </c>
      <c r="N50">
        <v>144.13964799999999</v>
      </c>
      <c r="O50">
        <v>143.191925</v>
      </c>
      <c r="P50">
        <v>142.71069299999999</v>
      </c>
      <c r="Q50">
        <v>142.48658800000001</v>
      </c>
      <c r="R50">
        <v>141.925659</v>
      </c>
      <c r="S50">
        <v>141.15089399999999</v>
      </c>
      <c r="T50">
        <v>140.47680700000001</v>
      </c>
      <c r="U50">
        <v>140.155304</v>
      </c>
      <c r="V50">
        <v>140.272659</v>
      </c>
      <c r="W50">
        <v>140.75672900000001</v>
      </c>
      <c r="X50">
        <v>141.40477000000001</v>
      </c>
      <c r="Y50">
        <v>142.00250199999999</v>
      </c>
      <c r="Z50">
        <v>142.608093</v>
      </c>
      <c r="AA50">
        <v>143.12103300000001</v>
      </c>
      <c r="AB50">
        <v>143.46198999999999</v>
      </c>
      <c r="AC50">
        <v>143.76809700000001</v>
      </c>
      <c r="AD50">
        <v>144.16400100000001</v>
      </c>
      <c r="AE50">
        <v>144.63601700000001</v>
      </c>
      <c r="AF50">
        <v>145.160934</v>
      </c>
      <c r="AG50">
        <v>145.67941300000001</v>
      </c>
      <c r="AH50">
        <v>146.207031</v>
      </c>
      <c r="AI50" s="22">
        <v>-2E-3</v>
      </c>
    </row>
    <row r="51" spans="1:35">
      <c r="A51" t="s">
        <v>164</v>
      </c>
    </row>
    <row r="52" spans="1:35">
      <c r="A52" t="s">
        <v>235</v>
      </c>
      <c r="B52" t="s">
        <v>1224</v>
      </c>
      <c r="C52" t="s">
        <v>1225</v>
      </c>
      <c r="D52" t="s">
        <v>202</v>
      </c>
      <c r="F52">
        <v>51.717686</v>
      </c>
      <c r="G52">
        <v>52.413936999999997</v>
      </c>
      <c r="H52">
        <v>53.034408999999997</v>
      </c>
      <c r="I52">
        <v>54.100948000000002</v>
      </c>
      <c r="J52">
        <v>55.411284999999999</v>
      </c>
      <c r="K52">
        <v>56.196621</v>
      </c>
      <c r="L52">
        <v>56.944622000000003</v>
      </c>
      <c r="M52">
        <v>57.482886999999998</v>
      </c>
      <c r="N52">
        <v>57.94923</v>
      </c>
      <c r="O52">
        <v>58.397101999999997</v>
      </c>
      <c r="P52">
        <v>58.978805999999999</v>
      </c>
      <c r="Q52">
        <v>59.442059</v>
      </c>
      <c r="R52">
        <v>59.697144000000002</v>
      </c>
      <c r="S52">
        <v>59.918407000000002</v>
      </c>
      <c r="T52">
        <v>60.065964000000001</v>
      </c>
      <c r="U52">
        <v>60.277831999999997</v>
      </c>
      <c r="V52">
        <v>60.541545999999997</v>
      </c>
      <c r="W52">
        <v>60.742508000000001</v>
      </c>
      <c r="X52">
        <v>61.006068999999997</v>
      </c>
      <c r="Y52">
        <v>61.262115000000001</v>
      </c>
      <c r="Z52">
        <v>61.535606000000001</v>
      </c>
      <c r="AA52">
        <v>61.792842999999998</v>
      </c>
      <c r="AB52">
        <v>62.031379999999999</v>
      </c>
      <c r="AC52">
        <v>62.273009999999999</v>
      </c>
      <c r="AD52">
        <v>62.596626000000001</v>
      </c>
      <c r="AE52">
        <v>62.961078999999998</v>
      </c>
      <c r="AF52">
        <v>63.311115000000001</v>
      </c>
      <c r="AG52">
        <v>63.728230000000003</v>
      </c>
      <c r="AH52">
        <v>64.290756000000002</v>
      </c>
      <c r="AI52" s="22">
        <v>8.0000000000000002E-3</v>
      </c>
    </row>
    <row r="53" spans="1:35">
      <c r="A53" t="s">
        <v>189</v>
      </c>
      <c r="B53" t="s">
        <v>1226</v>
      </c>
      <c r="C53" t="s">
        <v>1227</v>
      </c>
      <c r="D53" t="s">
        <v>202</v>
      </c>
      <c r="F53">
        <v>34.813164</v>
      </c>
      <c r="G53">
        <v>34.524287999999999</v>
      </c>
      <c r="H53">
        <v>34.014198</v>
      </c>
      <c r="I53">
        <v>33.750988</v>
      </c>
      <c r="J53">
        <v>33.787548000000001</v>
      </c>
      <c r="K53">
        <v>34.085323000000002</v>
      </c>
      <c r="L53">
        <v>34.241962000000001</v>
      </c>
      <c r="M53">
        <v>34.320473</v>
      </c>
      <c r="N53">
        <v>34.328772999999998</v>
      </c>
      <c r="O53">
        <v>34.328837999999998</v>
      </c>
      <c r="P53">
        <v>34.445278000000002</v>
      </c>
      <c r="Q53">
        <v>34.507216999999997</v>
      </c>
      <c r="R53">
        <v>34.489876000000002</v>
      </c>
      <c r="S53">
        <v>34.494262999999997</v>
      </c>
      <c r="T53">
        <v>34.487063999999997</v>
      </c>
      <c r="U53">
        <v>34.558998000000003</v>
      </c>
      <c r="V53">
        <v>34.688918999999999</v>
      </c>
      <c r="W53">
        <v>34.817211</v>
      </c>
      <c r="X53">
        <v>34.970844</v>
      </c>
      <c r="Y53">
        <v>35.141055999999999</v>
      </c>
      <c r="Z53">
        <v>35.334144999999999</v>
      </c>
      <c r="AA53">
        <v>35.553607999999997</v>
      </c>
      <c r="AB53">
        <v>35.778236</v>
      </c>
      <c r="AC53">
        <v>36.002406999999998</v>
      </c>
      <c r="AD53">
        <v>36.272179000000001</v>
      </c>
      <c r="AE53">
        <v>36.565658999999997</v>
      </c>
      <c r="AF53">
        <v>36.847777999999998</v>
      </c>
      <c r="AG53">
        <v>37.146068999999997</v>
      </c>
      <c r="AH53">
        <v>37.522060000000003</v>
      </c>
      <c r="AI53" s="22">
        <v>3.0000000000000001E-3</v>
      </c>
    </row>
    <row r="54" spans="1:35">
      <c r="A54" t="s">
        <v>192</v>
      </c>
      <c r="B54" t="s">
        <v>1228</v>
      </c>
      <c r="C54" t="s">
        <v>1229</v>
      </c>
      <c r="D54" t="s">
        <v>202</v>
      </c>
      <c r="F54">
        <v>8.2999999999999998E-5</v>
      </c>
      <c r="G54">
        <v>6.0029999999999997E-3</v>
      </c>
      <c r="H54">
        <v>1.1818E-2</v>
      </c>
      <c r="I54">
        <v>1.7534000000000001E-2</v>
      </c>
      <c r="J54">
        <v>2.3442999999999999E-2</v>
      </c>
      <c r="K54">
        <v>2.9012E-2</v>
      </c>
      <c r="L54">
        <v>3.4540000000000001E-2</v>
      </c>
      <c r="M54">
        <v>4.0638000000000001E-2</v>
      </c>
      <c r="N54">
        <v>4.5418E-2</v>
      </c>
      <c r="O54">
        <v>5.0842999999999999E-2</v>
      </c>
      <c r="P54">
        <v>5.7272000000000003E-2</v>
      </c>
      <c r="Q54">
        <v>6.4630000000000007E-2</v>
      </c>
      <c r="R54">
        <v>7.2790999999999995E-2</v>
      </c>
      <c r="S54">
        <v>8.2072000000000006E-2</v>
      </c>
      <c r="T54">
        <v>9.2707999999999999E-2</v>
      </c>
      <c r="U54">
        <v>0.10530200000000001</v>
      </c>
      <c r="V54">
        <v>0.12026199999999999</v>
      </c>
      <c r="W54">
        <v>0.137651</v>
      </c>
      <c r="X54">
        <v>0.157888</v>
      </c>
      <c r="Y54">
        <v>0.180872</v>
      </c>
      <c r="Z54">
        <v>0.20671400000000001</v>
      </c>
      <c r="AA54">
        <v>0.23544699999999999</v>
      </c>
      <c r="AB54">
        <v>0.26687300000000003</v>
      </c>
      <c r="AC54">
        <v>0.30111100000000002</v>
      </c>
      <c r="AD54">
        <v>0.33838499999999999</v>
      </c>
      <c r="AE54">
        <v>0.378195</v>
      </c>
      <c r="AF54">
        <v>0.419763</v>
      </c>
      <c r="AG54">
        <v>0.46323199999999998</v>
      </c>
      <c r="AH54">
        <v>0.50883800000000001</v>
      </c>
      <c r="AI54" s="22">
        <v>0.36499999999999999</v>
      </c>
    </row>
    <row r="55" spans="1:35">
      <c r="A55" t="s">
        <v>195</v>
      </c>
      <c r="B55" t="s">
        <v>1230</v>
      </c>
      <c r="C55" t="s">
        <v>1231</v>
      </c>
      <c r="D55" t="s">
        <v>202</v>
      </c>
      <c r="F55">
        <v>8.2286999999999999E-2</v>
      </c>
      <c r="G55">
        <v>7.6387999999999998E-2</v>
      </c>
      <c r="H55">
        <v>7.0837999999999998E-2</v>
      </c>
      <c r="I55">
        <v>6.3034999999999994E-2</v>
      </c>
      <c r="J55">
        <v>5.5190999999999997E-2</v>
      </c>
      <c r="K55">
        <v>4.8587999999999999E-2</v>
      </c>
      <c r="L55">
        <v>4.3872000000000001E-2</v>
      </c>
      <c r="M55">
        <v>3.9718999999999997E-2</v>
      </c>
      <c r="N55">
        <v>3.5532000000000001E-2</v>
      </c>
      <c r="O55">
        <v>3.1558000000000003E-2</v>
      </c>
      <c r="P55">
        <v>2.8025999999999999E-2</v>
      </c>
      <c r="Q55">
        <v>2.4915E-2</v>
      </c>
      <c r="R55">
        <v>2.2168E-2</v>
      </c>
      <c r="S55">
        <v>1.9909E-2</v>
      </c>
      <c r="T55">
        <v>1.7824E-2</v>
      </c>
      <c r="U55">
        <v>1.5911999999999999E-2</v>
      </c>
      <c r="V55">
        <v>1.4262E-2</v>
      </c>
      <c r="W55">
        <v>1.29E-2</v>
      </c>
      <c r="X55">
        <v>1.1752E-2</v>
      </c>
      <c r="Y55">
        <v>1.0692999999999999E-2</v>
      </c>
      <c r="Z55">
        <v>9.7190000000000002E-3</v>
      </c>
      <c r="AA55">
        <v>8.8269999999999998E-3</v>
      </c>
      <c r="AB55">
        <v>8.0160000000000006E-3</v>
      </c>
      <c r="AC55">
        <v>7.2579999999999997E-3</v>
      </c>
      <c r="AD55">
        <v>6.3769999999999999E-3</v>
      </c>
      <c r="AE55">
        <v>5.3099999999999996E-3</v>
      </c>
      <c r="AF55">
        <v>4.3660000000000001E-3</v>
      </c>
      <c r="AG55">
        <v>3.4659999999999999E-3</v>
      </c>
      <c r="AH55">
        <v>2.7780000000000001E-3</v>
      </c>
      <c r="AI55" s="22">
        <v>-0.114</v>
      </c>
    </row>
    <row r="56" spans="1:35">
      <c r="A56" t="s">
        <v>236</v>
      </c>
      <c r="B56" t="s">
        <v>1232</v>
      </c>
      <c r="C56" t="s">
        <v>1233</v>
      </c>
      <c r="D56" t="s">
        <v>202</v>
      </c>
      <c r="F56">
        <v>15.398766999999999</v>
      </c>
      <c r="G56">
        <v>14.384566</v>
      </c>
      <c r="H56">
        <v>13.220724000000001</v>
      </c>
      <c r="I56">
        <v>12.420685000000001</v>
      </c>
      <c r="J56">
        <v>11.700251</v>
      </c>
      <c r="K56">
        <v>11.309018999999999</v>
      </c>
      <c r="L56">
        <v>11.007885</v>
      </c>
      <c r="M56">
        <v>10.934968</v>
      </c>
      <c r="N56">
        <v>10.875622999999999</v>
      </c>
      <c r="O56">
        <v>10.875476000000001</v>
      </c>
      <c r="P56">
        <v>10.957039999999999</v>
      </c>
      <c r="Q56">
        <v>11.091353</v>
      </c>
      <c r="R56">
        <v>11.243194000000001</v>
      </c>
      <c r="S56">
        <v>11.462101000000001</v>
      </c>
      <c r="T56">
        <v>11.712192</v>
      </c>
      <c r="U56">
        <v>12.030602</v>
      </c>
      <c r="V56">
        <v>12.393787</v>
      </c>
      <c r="W56">
        <v>12.776002999999999</v>
      </c>
      <c r="X56">
        <v>13.181653000000001</v>
      </c>
      <c r="Y56">
        <v>13.588577000000001</v>
      </c>
      <c r="Z56">
        <v>13.982295000000001</v>
      </c>
      <c r="AA56">
        <v>14.350991</v>
      </c>
      <c r="AB56">
        <v>14.680471000000001</v>
      </c>
      <c r="AC56">
        <v>14.988163</v>
      </c>
      <c r="AD56">
        <v>15.298442</v>
      </c>
      <c r="AE56">
        <v>15.590885</v>
      </c>
      <c r="AF56">
        <v>15.857104</v>
      </c>
      <c r="AG56">
        <v>16.112196000000001</v>
      </c>
      <c r="AH56">
        <v>16.389751</v>
      </c>
      <c r="AI56" s="22">
        <v>2E-3</v>
      </c>
    </row>
    <row r="57" spans="1:35">
      <c r="A57" t="s">
        <v>237</v>
      </c>
      <c r="B57" t="s">
        <v>1234</v>
      </c>
      <c r="C57" t="s">
        <v>1235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111</v>
      </c>
    </row>
    <row r="58" spans="1:35">
      <c r="A58" t="s">
        <v>239</v>
      </c>
      <c r="B58" t="s">
        <v>1236</v>
      </c>
      <c r="C58" t="s">
        <v>1237</v>
      </c>
      <c r="D58" t="s">
        <v>202</v>
      </c>
      <c r="F58">
        <v>0</v>
      </c>
      <c r="G58">
        <v>1.2361E-2</v>
      </c>
      <c r="H58">
        <v>2.4101999999999998E-2</v>
      </c>
      <c r="I58">
        <v>3.5229000000000003E-2</v>
      </c>
      <c r="J58">
        <v>4.6115999999999997E-2</v>
      </c>
      <c r="K58">
        <v>5.5775999999999999E-2</v>
      </c>
      <c r="L58">
        <v>6.4683000000000004E-2</v>
      </c>
      <c r="M58">
        <v>7.3900999999999994E-2</v>
      </c>
      <c r="N58">
        <v>7.9486000000000001E-2</v>
      </c>
      <c r="O58">
        <v>8.5474999999999995E-2</v>
      </c>
      <c r="P58">
        <v>9.2364000000000002E-2</v>
      </c>
      <c r="Q58">
        <v>0.100011</v>
      </c>
      <c r="R58">
        <v>0.10816000000000001</v>
      </c>
      <c r="S58">
        <v>0.117216</v>
      </c>
      <c r="T58">
        <v>0.12726999999999999</v>
      </c>
      <c r="U58">
        <v>0.13889599999999999</v>
      </c>
      <c r="V58">
        <v>0.15229699999999999</v>
      </c>
      <c r="W58">
        <v>0.16730500000000001</v>
      </c>
      <c r="X58">
        <v>0.18437000000000001</v>
      </c>
      <c r="Y58">
        <v>0.20325699999999999</v>
      </c>
      <c r="Z58">
        <v>0.223803</v>
      </c>
      <c r="AA58">
        <v>0.24573800000000001</v>
      </c>
      <c r="AB58">
        <v>0.26862999999999998</v>
      </c>
      <c r="AC58">
        <v>0.29245500000000002</v>
      </c>
      <c r="AD58">
        <v>0.31730700000000001</v>
      </c>
      <c r="AE58">
        <v>0.342584</v>
      </c>
      <c r="AF58">
        <v>0.36765700000000001</v>
      </c>
      <c r="AG58">
        <v>0.39278200000000002</v>
      </c>
      <c r="AH58">
        <v>0.41828799999999999</v>
      </c>
      <c r="AI58" t="s">
        <v>111</v>
      </c>
    </row>
    <row r="59" spans="1:35">
      <c r="A59" t="s">
        <v>238</v>
      </c>
      <c r="B59" t="s">
        <v>1238</v>
      </c>
      <c r="C59" t="s">
        <v>1239</v>
      </c>
      <c r="D59" t="s">
        <v>202</v>
      </c>
      <c r="F59">
        <v>0</v>
      </c>
      <c r="G59">
        <v>1.0956E-2</v>
      </c>
      <c r="H59">
        <v>2.1444000000000001E-2</v>
      </c>
      <c r="I59">
        <v>3.1660000000000001E-2</v>
      </c>
      <c r="J59">
        <v>4.1856999999999998E-2</v>
      </c>
      <c r="K59">
        <v>5.1083999999999997E-2</v>
      </c>
      <c r="L59">
        <v>5.9813999999999999E-2</v>
      </c>
      <c r="M59">
        <v>6.9025000000000003E-2</v>
      </c>
      <c r="N59">
        <v>7.5124999999999997E-2</v>
      </c>
      <c r="O59">
        <v>8.1587999999999994E-2</v>
      </c>
      <c r="P59">
        <v>8.8802000000000006E-2</v>
      </c>
      <c r="Q59">
        <v>9.6568000000000001E-2</v>
      </c>
      <c r="R59">
        <v>0.10462</v>
      </c>
      <c r="S59">
        <v>0.11324099999999999</v>
      </c>
      <c r="T59">
        <v>0.122502</v>
      </c>
      <c r="U59">
        <v>0.13290399999999999</v>
      </c>
      <c r="V59">
        <v>0.14464299999999999</v>
      </c>
      <c r="W59">
        <v>0.15751299999999999</v>
      </c>
      <c r="X59">
        <v>0.17191000000000001</v>
      </c>
      <c r="Y59">
        <v>0.18760499999999999</v>
      </c>
      <c r="Z59">
        <v>0.204536</v>
      </c>
      <c r="AA59">
        <v>0.2225</v>
      </c>
      <c r="AB59">
        <v>0.24115700000000001</v>
      </c>
      <c r="AC59">
        <v>0.260467</v>
      </c>
      <c r="AD59">
        <v>0.28057500000000002</v>
      </c>
      <c r="AE59">
        <v>0.30101899999999998</v>
      </c>
      <c r="AF59">
        <v>0.32130799999999998</v>
      </c>
      <c r="AG59">
        <v>0.34167999999999998</v>
      </c>
      <c r="AH59">
        <v>0.36244999999999999</v>
      </c>
      <c r="AI59" t="s">
        <v>111</v>
      </c>
    </row>
    <row r="60" spans="1:35">
      <c r="A60" t="s">
        <v>240</v>
      </c>
      <c r="B60" t="s">
        <v>1240</v>
      </c>
      <c r="C60" t="s">
        <v>1241</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t="s">
        <v>111</v>
      </c>
    </row>
    <row r="61" spans="1:35">
      <c r="A61" t="s">
        <v>1017</v>
      </c>
      <c r="B61" t="s">
        <v>1242</v>
      </c>
      <c r="C61" t="s">
        <v>1243</v>
      </c>
      <c r="D61" t="s">
        <v>202</v>
      </c>
      <c r="F61">
        <v>102.01198599999999</v>
      </c>
      <c r="G61">
        <v>101.42849699999999</v>
      </c>
      <c r="H61">
        <v>100.397537</v>
      </c>
      <c r="I61">
        <v>100.42008199999999</v>
      </c>
      <c r="J61">
        <v>101.065697</v>
      </c>
      <c r="K61">
        <v>101.775436</v>
      </c>
      <c r="L61">
        <v>102.397369</v>
      </c>
      <c r="M61">
        <v>102.961609</v>
      </c>
      <c r="N61">
        <v>103.389183</v>
      </c>
      <c r="O61">
        <v>103.85086800000001</v>
      </c>
      <c r="P61">
        <v>104.647583</v>
      </c>
      <c r="Q61">
        <v>105.326759</v>
      </c>
      <c r="R61">
        <v>105.737961</v>
      </c>
      <c r="S61">
        <v>106.207207</v>
      </c>
      <c r="T61">
        <v>106.625519</v>
      </c>
      <c r="U61">
        <v>107.260445</v>
      </c>
      <c r="V61">
        <v>108.055717</v>
      </c>
      <c r="W61">
        <v>108.811089</v>
      </c>
      <c r="X61">
        <v>109.684494</v>
      </c>
      <c r="Y61">
        <v>110.574173</v>
      </c>
      <c r="Z61">
        <v>111.49681099999999</v>
      </c>
      <c r="AA61">
        <v>112.40994999999999</v>
      </c>
      <c r="AB61">
        <v>113.274773</v>
      </c>
      <c r="AC61">
        <v>114.12487</v>
      </c>
      <c r="AD61">
        <v>115.109894</v>
      </c>
      <c r="AE61">
        <v>116.14473</v>
      </c>
      <c r="AF61">
        <v>117.12908899999999</v>
      </c>
      <c r="AG61">
        <v>118.18765999999999</v>
      </c>
      <c r="AH61">
        <v>119.49492600000001</v>
      </c>
      <c r="AI61" s="22">
        <v>6.0000000000000001E-3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G4409"/>
  <sheetViews>
    <sheetView topLeftCell="B1" workbookViewId="0"/>
  </sheetViews>
  <sheetFormatPr defaultColWidth="8.7265625" defaultRowHeight="14.5"/>
  <cols>
    <col min="1" max="1" width="21.453125" hidden="1" customWidth="1"/>
    <col min="2" max="2" width="46.726562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407</v>
      </c>
      <c r="B10" s="14" t="s">
        <v>408</v>
      </c>
      <c r="AF10" s="23" t="s">
        <v>290</v>
      </c>
    </row>
    <row r="11" spans="1:32" ht="15" customHeight="1">
      <c r="B11" s="12" t="s">
        <v>409</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410</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411</v>
      </c>
    </row>
    <row r="16" spans="1:32" ht="15" customHeight="1">
      <c r="B16" s="15" t="s">
        <v>412</v>
      </c>
    </row>
    <row r="17" spans="1:32" ht="15" customHeight="1">
      <c r="A17" s="7" t="s">
        <v>413</v>
      </c>
      <c r="B17" s="16" t="s">
        <v>414</v>
      </c>
      <c r="C17" s="19">
        <f>'AEO 2023 Table 46 Raw'!F8</f>
        <v>49.466006999999998</v>
      </c>
      <c r="D17" s="19">
        <f>'AEO 2023 Table 46 Raw'!G8</f>
        <v>46.619698</v>
      </c>
      <c r="E17" s="19">
        <f>'AEO 2023 Table 46 Raw'!H8</f>
        <v>44.295555</v>
      </c>
      <c r="F17" s="19">
        <f>'AEO 2023 Table 46 Raw'!I8</f>
        <v>42.214077000000003</v>
      </c>
      <c r="G17" s="19">
        <f>'AEO 2023 Table 46 Raw'!J8</f>
        <v>40.394996999999996</v>
      </c>
      <c r="H17" s="19">
        <f>'AEO 2023 Table 46 Raw'!K8</f>
        <v>38.478470000000002</v>
      </c>
      <c r="I17" s="19">
        <f>'AEO 2023 Table 46 Raw'!L8</f>
        <v>36.816710999999998</v>
      </c>
      <c r="J17" s="19">
        <f>'AEO 2023 Table 46 Raw'!M8</f>
        <v>35.414054999999998</v>
      </c>
      <c r="K17" s="19">
        <f>'AEO 2023 Table 46 Raw'!N8</f>
        <v>34.183059999999998</v>
      </c>
      <c r="L17" s="19">
        <f>'AEO 2023 Table 46 Raw'!O8</f>
        <v>33.072498000000003</v>
      </c>
      <c r="M17" s="19">
        <f>'AEO 2023 Table 46 Raw'!P8</f>
        <v>32.211067</v>
      </c>
      <c r="N17" s="19">
        <f>'AEO 2023 Table 46 Raw'!Q8</f>
        <v>31.494395999999998</v>
      </c>
      <c r="O17" s="19">
        <f>'AEO 2023 Table 46 Raw'!R8</f>
        <v>30.740480000000002</v>
      </c>
      <c r="P17" s="19">
        <f>'AEO 2023 Table 46 Raw'!S8</f>
        <v>29.975055999999999</v>
      </c>
      <c r="Q17" s="19">
        <f>'AEO 2023 Table 46 Raw'!T8</f>
        <v>29.307186000000002</v>
      </c>
      <c r="R17" s="19">
        <f>'AEO 2023 Table 46 Raw'!U8</f>
        <v>28.795176999999999</v>
      </c>
      <c r="S17" s="19">
        <f>'AEO 2023 Table 46 Raw'!V8</f>
        <v>28.429549999999999</v>
      </c>
      <c r="T17" s="19">
        <f>'AEO 2023 Table 46 Raw'!W8</f>
        <v>28.163509000000001</v>
      </c>
      <c r="U17" s="19">
        <f>'AEO 2023 Table 46 Raw'!X8</f>
        <v>27.894558</v>
      </c>
      <c r="V17" s="19">
        <f>'AEO 2023 Table 46 Raw'!Y8</f>
        <v>27.594154</v>
      </c>
      <c r="W17" s="19">
        <f>'AEO 2023 Table 46 Raw'!Z8</f>
        <v>27.308109000000002</v>
      </c>
      <c r="X17" s="19">
        <f>'AEO 2023 Table 46 Raw'!AA8</f>
        <v>26.995598000000001</v>
      </c>
      <c r="Y17" s="19">
        <f>'AEO 2023 Table 46 Raw'!AB8</f>
        <v>26.631284999999998</v>
      </c>
      <c r="Z17" s="19">
        <f>'AEO 2023 Table 46 Raw'!AC8</f>
        <v>26.261372000000001</v>
      </c>
      <c r="AA17" s="19">
        <f>'AEO 2023 Table 46 Raw'!AD8</f>
        <v>25.912925999999999</v>
      </c>
      <c r="AB17" s="19">
        <f>'AEO 2023 Table 46 Raw'!AE8</f>
        <v>25.597389</v>
      </c>
      <c r="AC17" s="19">
        <f>'AEO 2023 Table 46 Raw'!AF8</f>
        <v>25.312645</v>
      </c>
      <c r="AD17" s="19">
        <f>'AEO 2023 Table 46 Raw'!AG8</f>
        <v>25.004356000000001</v>
      </c>
      <c r="AE17" s="19">
        <f>'AEO 2023 Table 46 Raw'!AH8</f>
        <v>24.704986999999999</v>
      </c>
      <c r="AF17" s="30">
        <f>'AEO 2023 Table 46 Raw'!AI8</f>
        <v>-2.4E-2</v>
      </c>
    </row>
    <row r="18" spans="1:32" ht="15" customHeight="1">
      <c r="A18" s="7" t="s">
        <v>415</v>
      </c>
      <c r="B18" s="16" t="s">
        <v>416</v>
      </c>
      <c r="C18" s="19">
        <f>'AEO 2023 Table 46 Raw'!F9</f>
        <v>0.111688</v>
      </c>
      <c r="D18" s="19">
        <f>'AEO 2023 Table 46 Raw'!G9</f>
        <v>9.6532999999999994E-2</v>
      </c>
      <c r="E18" s="19">
        <f>'AEO 2023 Table 46 Raw'!H9</f>
        <v>8.3162E-2</v>
      </c>
      <c r="F18" s="19">
        <f>'AEO 2023 Table 46 Raw'!I9</f>
        <v>7.1313000000000001E-2</v>
      </c>
      <c r="G18" s="19">
        <f>'AEO 2023 Table 46 Raw'!J9</f>
        <v>6.0877000000000001E-2</v>
      </c>
      <c r="H18" s="19">
        <f>'AEO 2023 Table 46 Raw'!K9</f>
        <v>5.1618999999999998E-2</v>
      </c>
      <c r="I18" s="19">
        <f>'AEO 2023 Table 46 Raw'!L9</f>
        <v>4.3394000000000002E-2</v>
      </c>
      <c r="J18" s="19">
        <f>'AEO 2023 Table 46 Raw'!M9</f>
        <v>3.6202999999999999E-2</v>
      </c>
      <c r="K18" s="19">
        <f>'AEO 2023 Table 46 Raw'!N9</f>
        <v>3.0032E-2</v>
      </c>
      <c r="L18" s="19">
        <f>'AEO 2023 Table 46 Raw'!O9</f>
        <v>2.4808E-2</v>
      </c>
      <c r="M18" s="19">
        <f>'AEO 2023 Table 46 Raw'!P9</f>
        <v>2.0456999999999999E-2</v>
      </c>
      <c r="N18" s="19">
        <f>'AEO 2023 Table 46 Raw'!Q9</f>
        <v>1.6912E-2</v>
      </c>
      <c r="O18" s="19">
        <f>'AEO 2023 Table 46 Raw'!R9</f>
        <v>1.4080000000000001E-2</v>
      </c>
      <c r="P18" s="19">
        <f>'AEO 2023 Table 46 Raw'!S9</f>
        <v>1.1854999999999999E-2</v>
      </c>
      <c r="Q18" s="19">
        <f>'AEO 2023 Table 46 Raw'!T9</f>
        <v>1.0115000000000001E-2</v>
      </c>
      <c r="R18" s="19">
        <f>'AEO 2023 Table 46 Raw'!U9</f>
        <v>8.7530000000000004E-3</v>
      </c>
      <c r="S18" s="19">
        <f>'AEO 2023 Table 46 Raw'!V9</f>
        <v>7.6899999999999998E-3</v>
      </c>
      <c r="T18" s="19">
        <f>'AEO 2023 Table 46 Raw'!W9</f>
        <v>6.8459999999999997E-3</v>
      </c>
      <c r="U18" s="19">
        <f>'AEO 2023 Table 46 Raw'!X9</f>
        <v>6.1370000000000001E-3</v>
      </c>
      <c r="V18" s="19">
        <f>'AEO 2023 Table 46 Raw'!Y9</f>
        <v>5.5189999999999996E-3</v>
      </c>
      <c r="W18" s="19">
        <f>'AEO 2023 Table 46 Raw'!Z9</f>
        <v>4.9779999999999998E-3</v>
      </c>
      <c r="X18" s="19">
        <f>'AEO 2023 Table 46 Raw'!AA9</f>
        <v>4.4980000000000003E-3</v>
      </c>
      <c r="Y18" s="19">
        <f>'AEO 2023 Table 46 Raw'!AB9</f>
        <v>4.0699999999999998E-3</v>
      </c>
      <c r="Z18" s="19">
        <f>'AEO 2023 Table 46 Raw'!AC9</f>
        <v>3.6849999999999999E-3</v>
      </c>
      <c r="AA18" s="19">
        <f>'AEO 2023 Table 46 Raw'!AD9</f>
        <v>3.339E-3</v>
      </c>
      <c r="AB18" s="19">
        <f>'AEO 2023 Table 46 Raw'!AE9</f>
        <v>3.0279999999999999E-3</v>
      </c>
      <c r="AC18" s="19">
        <f>'AEO 2023 Table 46 Raw'!AF9</f>
        <v>2.748E-3</v>
      </c>
      <c r="AD18" s="19">
        <f>'AEO 2023 Table 46 Raw'!AG9</f>
        <v>2.4970000000000001E-3</v>
      </c>
      <c r="AE18" s="19">
        <f>'AEO 2023 Table 46 Raw'!AH9</f>
        <v>2.2699999999999999E-3</v>
      </c>
      <c r="AF18" s="30">
        <f>'AEO 2023 Table 46 Raw'!AI9</f>
        <v>-0.13</v>
      </c>
    </row>
    <row r="19" spans="1:32" ht="15" customHeight="1">
      <c r="A19" s="7" t="s">
        <v>417</v>
      </c>
      <c r="B19" s="16" t="s">
        <v>418</v>
      </c>
      <c r="C19" s="19">
        <f>'AEO 2023 Table 46 Raw'!F10</f>
        <v>49.577694000000001</v>
      </c>
      <c r="D19" s="19">
        <f>'AEO 2023 Table 46 Raw'!G10</f>
        <v>46.716228000000001</v>
      </c>
      <c r="E19" s="19">
        <f>'AEO 2023 Table 46 Raw'!H10</f>
        <v>44.378715999999997</v>
      </c>
      <c r="F19" s="19">
        <f>'AEO 2023 Table 46 Raw'!I10</f>
        <v>42.285389000000002</v>
      </c>
      <c r="G19" s="19">
        <f>'AEO 2023 Table 46 Raw'!J10</f>
        <v>40.455874999999999</v>
      </c>
      <c r="H19" s="19">
        <f>'AEO 2023 Table 46 Raw'!K10</f>
        <v>38.530090000000001</v>
      </c>
      <c r="I19" s="19">
        <f>'AEO 2023 Table 46 Raw'!L10</f>
        <v>36.860106999999999</v>
      </c>
      <c r="J19" s="19">
        <f>'AEO 2023 Table 46 Raw'!M10</f>
        <v>35.450256000000003</v>
      </c>
      <c r="K19" s="19">
        <f>'AEO 2023 Table 46 Raw'!N10</f>
        <v>34.213093000000001</v>
      </c>
      <c r="L19" s="19">
        <f>'AEO 2023 Table 46 Raw'!O10</f>
        <v>33.097304999999999</v>
      </c>
      <c r="M19" s="19">
        <f>'AEO 2023 Table 46 Raw'!P10</f>
        <v>32.231524999999998</v>
      </c>
      <c r="N19" s="19">
        <f>'AEO 2023 Table 46 Raw'!Q10</f>
        <v>31.511309000000001</v>
      </c>
      <c r="O19" s="19">
        <f>'AEO 2023 Table 46 Raw'!R10</f>
        <v>30.754560000000001</v>
      </c>
      <c r="P19" s="19">
        <f>'AEO 2023 Table 46 Raw'!S10</f>
        <v>29.986910000000002</v>
      </c>
      <c r="Q19" s="19">
        <f>'AEO 2023 Table 46 Raw'!T10</f>
        <v>29.317301</v>
      </c>
      <c r="R19" s="19">
        <f>'AEO 2023 Table 46 Raw'!U10</f>
        <v>28.803930000000001</v>
      </c>
      <c r="S19" s="19">
        <f>'AEO 2023 Table 46 Raw'!V10</f>
        <v>28.437241</v>
      </c>
      <c r="T19" s="19">
        <f>'AEO 2023 Table 46 Raw'!W10</f>
        <v>28.170355000000001</v>
      </c>
      <c r="U19" s="19">
        <f>'AEO 2023 Table 46 Raw'!X10</f>
        <v>27.900696</v>
      </c>
      <c r="V19" s="19">
        <f>'AEO 2023 Table 46 Raw'!Y10</f>
        <v>27.599674</v>
      </c>
      <c r="W19" s="19">
        <f>'AEO 2023 Table 46 Raw'!Z10</f>
        <v>27.313086999999999</v>
      </c>
      <c r="X19" s="19">
        <f>'AEO 2023 Table 46 Raw'!AA10</f>
        <v>27.000095000000002</v>
      </c>
      <c r="Y19" s="19">
        <f>'AEO 2023 Table 46 Raw'!AB10</f>
        <v>26.635355000000001</v>
      </c>
      <c r="Z19" s="19">
        <f>'AEO 2023 Table 46 Raw'!AC10</f>
        <v>26.265056999999999</v>
      </c>
      <c r="AA19" s="19">
        <f>'AEO 2023 Table 46 Raw'!AD10</f>
        <v>25.916264999999999</v>
      </c>
      <c r="AB19" s="19">
        <f>'AEO 2023 Table 46 Raw'!AE10</f>
        <v>25.600418000000001</v>
      </c>
      <c r="AC19" s="19">
        <f>'AEO 2023 Table 46 Raw'!AF10</f>
        <v>25.315393</v>
      </c>
      <c r="AD19" s="19">
        <f>'AEO 2023 Table 46 Raw'!AG10</f>
        <v>25.006853</v>
      </c>
      <c r="AE19" s="19">
        <f>'AEO 2023 Table 46 Raw'!AH10</f>
        <v>24.707256000000001</v>
      </c>
      <c r="AF19" s="30">
        <f>'AEO 2023 Table 46 Raw'!AI10</f>
        <v>-2.5000000000000001E-2</v>
      </c>
    </row>
    <row r="20" spans="1:32" ht="15" customHeight="1">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30"/>
    </row>
    <row r="21" spans="1:32" ht="15" customHeight="1">
      <c r="B21" s="15" t="s">
        <v>419</v>
      </c>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30"/>
    </row>
    <row r="22" spans="1:32" ht="15" customHeight="1">
      <c r="A22" s="7" t="s">
        <v>420</v>
      </c>
      <c r="B22" s="16" t="s">
        <v>421</v>
      </c>
      <c r="C22" s="19">
        <f>'AEO 2023 Table 46 Raw'!F12</f>
        <v>2.461112</v>
      </c>
      <c r="D22" s="19">
        <f>'AEO 2023 Table 46 Raw'!G12</f>
        <v>2.2103090000000001</v>
      </c>
      <c r="E22" s="19">
        <f>'AEO 2023 Table 46 Raw'!H12</f>
        <v>1.985196</v>
      </c>
      <c r="F22" s="19">
        <f>'AEO 2023 Table 46 Raw'!I12</f>
        <v>1.7855970000000001</v>
      </c>
      <c r="G22" s="19">
        <f>'AEO 2023 Table 46 Raw'!J12</f>
        <v>1.618082</v>
      </c>
      <c r="H22" s="19">
        <f>'AEO 2023 Table 46 Raw'!K12</f>
        <v>1.4676549999999999</v>
      </c>
      <c r="I22" s="19">
        <f>'AEO 2023 Table 46 Raw'!L12</f>
        <v>1.3403229999999999</v>
      </c>
      <c r="J22" s="19">
        <f>'AEO 2023 Table 46 Raw'!M12</f>
        <v>1.236246</v>
      </c>
      <c r="K22" s="19">
        <f>'AEO 2023 Table 46 Raw'!N12</f>
        <v>1.150493</v>
      </c>
      <c r="L22" s="19">
        <f>'AEO 2023 Table 46 Raw'!O12</f>
        <v>1.079925</v>
      </c>
      <c r="M22" s="19">
        <f>'AEO 2023 Table 46 Raw'!P12</f>
        <v>1.029307</v>
      </c>
      <c r="N22" s="19">
        <f>'AEO 2023 Table 46 Raw'!Q12</f>
        <v>0.99377700000000002</v>
      </c>
      <c r="O22" s="19">
        <f>'AEO 2023 Table 46 Raw'!R12</f>
        <v>0.96236699999999997</v>
      </c>
      <c r="P22" s="19">
        <f>'AEO 2023 Table 46 Raw'!S12</f>
        <v>0.93445199999999995</v>
      </c>
      <c r="Q22" s="19">
        <f>'AEO 2023 Table 46 Raw'!T12</f>
        <v>0.91421399999999997</v>
      </c>
      <c r="R22" s="19">
        <f>'AEO 2023 Table 46 Raw'!U12</f>
        <v>0.90237100000000003</v>
      </c>
      <c r="S22" s="19">
        <f>'AEO 2023 Table 46 Raw'!V12</f>
        <v>0.89766299999999999</v>
      </c>
      <c r="T22" s="19">
        <f>'AEO 2023 Table 46 Raw'!W12</f>
        <v>0.89760300000000004</v>
      </c>
      <c r="U22" s="19">
        <f>'AEO 2023 Table 46 Raw'!X12</f>
        <v>0.89686999999999995</v>
      </c>
      <c r="V22" s="19">
        <f>'AEO 2023 Table 46 Raw'!Y12</f>
        <v>0.89403699999999997</v>
      </c>
      <c r="W22" s="19">
        <f>'AEO 2023 Table 46 Raw'!Z12</f>
        <v>0.89149800000000001</v>
      </c>
      <c r="X22" s="19">
        <f>'AEO 2023 Table 46 Raw'!AA12</f>
        <v>0.88747399999999999</v>
      </c>
      <c r="Y22" s="19">
        <f>'AEO 2023 Table 46 Raw'!AB12</f>
        <v>0.88075599999999998</v>
      </c>
      <c r="Z22" s="19">
        <f>'AEO 2023 Table 46 Raw'!AC12</f>
        <v>0.87377800000000005</v>
      </c>
      <c r="AA22" s="19">
        <f>'AEO 2023 Table 46 Raw'!AD12</f>
        <v>0.86814100000000005</v>
      </c>
      <c r="AB22" s="19">
        <f>'AEO 2023 Table 46 Raw'!AE12</f>
        <v>0.86434100000000003</v>
      </c>
      <c r="AC22" s="19">
        <f>'AEO 2023 Table 46 Raw'!AF12</f>
        <v>0.86214599999999997</v>
      </c>
      <c r="AD22" s="19">
        <f>'AEO 2023 Table 46 Raw'!AG12</f>
        <v>0.85861799999999999</v>
      </c>
      <c r="AE22" s="19">
        <f>'AEO 2023 Table 46 Raw'!AH12</f>
        <v>0.85379300000000002</v>
      </c>
      <c r="AF22" s="30">
        <f>'AEO 2023 Table 46 Raw'!AI12</f>
        <v>-3.6999999999999998E-2</v>
      </c>
    </row>
    <row r="23" spans="1:32" ht="15" customHeight="1">
      <c r="A23" s="7" t="s">
        <v>422</v>
      </c>
      <c r="B23" s="16" t="s">
        <v>423</v>
      </c>
      <c r="C23" s="19">
        <f>'AEO 2023 Table 46 Raw'!F13</f>
        <v>8.2278000000000004E-2</v>
      </c>
      <c r="D23" s="19">
        <f>'AEO 2023 Table 46 Raw'!G13</f>
        <v>8.5696999999999995E-2</v>
      </c>
      <c r="E23" s="19">
        <f>'AEO 2023 Table 46 Raw'!H13</f>
        <v>9.0184E-2</v>
      </c>
      <c r="F23" s="19">
        <f>'AEO 2023 Table 46 Raw'!I13</f>
        <v>9.4142000000000003E-2</v>
      </c>
      <c r="G23" s="19">
        <f>'AEO 2023 Table 46 Raw'!J13</f>
        <v>9.7428000000000001E-2</v>
      </c>
      <c r="H23" s="19">
        <f>'AEO 2023 Table 46 Raw'!K13</f>
        <v>0.10066899999999999</v>
      </c>
      <c r="I23" s="19">
        <f>'AEO 2023 Table 46 Raw'!L13</f>
        <v>0.10408000000000001</v>
      </c>
      <c r="J23" s="19">
        <f>'AEO 2023 Table 46 Raw'!M13</f>
        <v>0.107796</v>
      </c>
      <c r="K23" s="19">
        <f>'AEO 2023 Table 46 Raw'!N13</f>
        <v>0.111692</v>
      </c>
      <c r="L23" s="19">
        <f>'AEO 2023 Table 46 Raw'!O13</f>
        <v>0.11568100000000001</v>
      </c>
      <c r="M23" s="19">
        <f>'AEO 2023 Table 46 Raw'!P13</f>
        <v>0.12048300000000001</v>
      </c>
      <c r="N23" s="19">
        <f>'AEO 2023 Table 46 Raw'!Q13</f>
        <v>0.12576999999999999</v>
      </c>
      <c r="O23" s="19">
        <f>'AEO 2023 Table 46 Raw'!R13</f>
        <v>0.13058400000000001</v>
      </c>
      <c r="P23" s="19">
        <f>'AEO 2023 Table 46 Raw'!S13</f>
        <v>0.135072</v>
      </c>
      <c r="Q23" s="19">
        <f>'AEO 2023 Table 46 Raw'!T13</f>
        <v>0.13986199999999999</v>
      </c>
      <c r="R23" s="19">
        <f>'AEO 2023 Table 46 Raw'!U13</f>
        <v>0.14538599999999999</v>
      </c>
      <c r="S23" s="19">
        <f>'AEO 2023 Table 46 Raw'!V13</f>
        <v>0.15171599999999999</v>
      </c>
      <c r="T23" s="19">
        <f>'AEO 2023 Table 46 Raw'!W13</f>
        <v>0.15862299999999999</v>
      </c>
      <c r="U23" s="19">
        <f>'AEO 2023 Table 46 Raw'!X13</f>
        <v>0.16536300000000001</v>
      </c>
      <c r="V23" s="19">
        <f>'AEO 2023 Table 46 Raw'!Y13</f>
        <v>0.171676</v>
      </c>
      <c r="W23" s="19">
        <f>'AEO 2023 Table 46 Raw'!Z13</f>
        <v>0.17796600000000001</v>
      </c>
      <c r="X23" s="19">
        <f>'AEO 2023 Table 46 Raw'!AA13</f>
        <v>0.18382599999999999</v>
      </c>
      <c r="Y23" s="19">
        <f>'AEO 2023 Table 46 Raw'!AB13</f>
        <v>0.18898699999999999</v>
      </c>
      <c r="Z23" s="19">
        <f>'AEO 2023 Table 46 Raw'!AC13</f>
        <v>0.19394500000000001</v>
      </c>
      <c r="AA23" s="19">
        <f>'AEO 2023 Table 46 Raw'!AD13</f>
        <v>0.19902</v>
      </c>
      <c r="AB23" s="19">
        <f>'AEO 2023 Table 46 Raw'!AE13</f>
        <v>0.20438600000000001</v>
      </c>
      <c r="AC23" s="19">
        <f>'AEO 2023 Table 46 Raw'!AF13</f>
        <v>0.21005799999999999</v>
      </c>
      <c r="AD23" s="19">
        <f>'AEO 2023 Table 46 Raw'!AG13</f>
        <v>0.21534700000000001</v>
      </c>
      <c r="AE23" s="19">
        <f>'AEO 2023 Table 46 Raw'!AH13</f>
        <v>0.22064600000000001</v>
      </c>
      <c r="AF23" s="30">
        <f>'AEO 2023 Table 46 Raw'!AI13</f>
        <v>3.5999999999999997E-2</v>
      </c>
    </row>
    <row r="24" spans="1:32" ht="15" customHeight="1">
      <c r="A24" s="7" t="s">
        <v>424</v>
      </c>
      <c r="B24" s="16" t="s">
        <v>425</v>
      </c>
      <c r="C24" s="19">
        <f>'AEO 2023 Table 46 Raw'!F14</f>
        <v>0.137378</v>
      </c>
      <c r="D24" s="19">
        <f>'AEO 2023 Table 46 Raw'!G14</f>
        <v>0.154861</v>
      </c>
      <c r="E24" s="19">
        <f>'AEO 2023 Table 46 Raw'!H14</f>
        <v>0.18635699999999999</v>
      </c>
      <c r="F24" s="19">
        <f>'AEO 2023 Table 46 Raw'!I14</f>
        <v>0.227322</v>
      </c>
      <c r="G24" s="19">
        <f>'AEO 2023 Table 46 Raw'!J14</f>
        <v>0.26983499999999999</v>
      </c>
      <c r="H24" s="19">
        <f>'AEO 2023 Table 46 Raw'!K14</f>
        <v>0.312718</v>
      </c>
      <c r="I24" s="19">
        <f>'AEO 2023 Table 46 Raw'!L14</f>
        <v>0.35735699999999998</v>
      </c>
      <c r="J24" s="19">
        <f>'AEO 2023 Table 46 Raw'!M14</f>
        <v>0.40442699999999998</v>
      </c>
      <c r="K24" s="19">
        <f>'AEO 2023 Table 46 Raw'!N14</f>
        <v>0.45291999999999999</v>
      </c>
      <c r="L24" s="19">
        <f>'AEO 2023 Table 46 Raw'!O14</f>
        <v>0.50208200000000003</v>
      </c>
      <c r="M24" s="19">
        <f>'AEO 2023 Table 46 Raw'!P14</f>
        <v>0.55627700000000002</v>
      </c>
      <c r="N24" s="19">
        <f>'AEO 2023 Table 46 Raw'!Q14</f>
        <v>0.61317100000000002</v>
      </c>
      <c r="O24" s="19">
        <f>'AEO 2023 Table 46 Raw'!R14</f>
        <v>0.666736</v>
      </c>
      <c r="P24" s="19">
        <f>'AEO 2023 Table 46 Raw'!S14</f>
        <v>0.717669</v>
      </c>
      <c r="Q24" s="19">
        <f>'AEO 2023 Table 46 Raw'!T14</f>
        <v>0.77018799999999998</v>
      </c>
      <c r="R24" s="19">
        <f>'AEO 2023 Table 46 Raw'!U14</f>
        <v>0.82734300000000005</v>
      </c>
      <c r="S24" s="19">
        <f>'AEO 2023 Table 46 Raw'!V14</f>
        <v>0.88985300000000001</v>
      </c>
      <c r="T24" s="19">
        <f>'AEO 2023 Table 46 Raw'!W14</f>
        <v>0.95657800000000004</v>
      </c>
      <c r="U24" s="19">
        <f>'AEO 2023 Table 46 Raw'!X14</f>
        <v>1.0225409999999999</v>
      </c>
      <c r="V24" s="19">
        <f>'AEO 2023 Table 46 Raw'!Y14</f>
        <v>1.0861050000000001</v>
      </c>
      <c r="W24" s="19">
        <f>'AEO 2023 Table 46 Raw'!Z14</f>
        <v>1.149972</v>
      </c>
      <c r="X24" s="19">
        <f>'AEO 2023 Table 46 Raw'!AA14</f>
        <v>1.2112909999999999</v>
      </c>
      <c r="Y24" s="19">
        <f>'AEO 2023 Table 46 Raw'!AB14</f>
        <v>1.2680290000000001</v>
      </c>
      <c r="Z24" s="19">
        <f>'AEO 2023 Table 46 Raw'!AC14</f>
        <v>1.3233820000000001</v>
      </c>
      <c r="AA24" s="19">
        <f>'AEO 2023 Table 46 Raw'!AD14</f>
        <v>1.379407</v>
      </c>
      <c r="AB24" s="19">
        <f>'AEO 2023 Table 46 Raw'!AE14</f>
        <v>1.4372229999999999</v>
      </c>
      <c r="AC24" s="19">
        <f>'AEO 2023 Table 46 Raw'!AF14</f>
        <v>1.4970140000000001</v>
      </c>
      <c r="AD24" s="19">
        <f>'AEO 2023 Table 46 Raw'!AG14</f>
        <v>1.553947</v>
      </c>
      <c r="AE24" s="19">
        <f>'AEO 2023 Table 46 Raw'!AH14</f>
        <v>1.6108560000000001</v>
      </c>
      <c r="AF24" s="30">
        <f>'AEO 2023 Table 46 Raw'!AI14</f>
        <v>9.1999999999999998E-2</v>
      </c>
    </row>
    <row r="25" spans="1:32" ht="15" customHeight="1">
      <c r="A25" s="7" t="s">
        <v>426</v>
      </c>
      <c r="B25" s="16" t="s">
        <v>427</v>
      </c>
      <c r="C25" s="19">
        <f>'AEO 2023 Table 46 Raw'!F15</f>
        <v>0.40151300000000001</v>
      </c>
      <c r="D25" s="19">
        <f>'AEO 2023 Table 46 Raw'!G15</f>
        <v>0.46051399999999998</v>
      </c>
      <c r="E25" s="19">
        <f>'AEO 2023 Table 46 Raw'!H15</f>
        <v>0.53044899999999995</v>
      </c>
      <c r="F25" s="19">
        <f>'AEO 2023 Table 46 Raw'!I15</f>
        <v>0.60993799999999998</v>
      </c>
      <c r="G25" s="19">
        <f>'AEO 2023 Table 46 Raw'!J15</f>
        <v>0.68546399999999996</v>
      </c>
      <c r="H25" s="19">
        <f>'AEO 2023 Table 46 Raw'!K15</f>
        <v>0.75662200000000002</v>
      </c>
      <c r="I25" s="19">
        <f>'AEO 2023 Table 46 Raw'!L15</f>
        <v>0.82606999999999997</v>
      </c>
      <c r="J25" s="19">
        <f>'AEO 2023 Table 46 Raw'!M15</f>
        <v>0.89533799999999997</v>
      </c>
      <c r="K25" s="19">
        <f>'AEO 2023 Table 46 Raw'!N15</f>
        <v>0.96288600000000002</v>
      </c>
      <c r="L25" s="19">
        <f>'AEO 2023 Table 46 Raw'!O15</f>
        <v>1.0279039999999999</v>
      </c>
      <c r="M25" s="19">
        <f>'AEO 2023 Table 46 Raw'!P15</f>
        <v>1.097982</v>
      </c>
      <c r="N25" s="19">
        <f>'AEO 2023 Table 46 Raw'!Q15</f>
        <v>1.16961</v>
      </c>
      <c r="O25" s="19">
        <f>'AEO 2023 Table 46 Raw'!R15</f>
        <v>1.233436</v>
      </c>
      <c r="P25" s="19">
        <f>'AEO 2023 Table 46 Raw'!S15</f>
        <v>1.291064</v>
      </c>
      <c r="Q25" s="19">
        <f>'AEO 2023 Table 46 Raw'!T15</f>
        <v>1.3493809999999999</v>
      </c>
      <c r="R25" s="19">
        <f>'AEO 2023 Table 46 Raw'!U15</f>
        <v>1.413192</v>
      </c>
      <c r="S25" s="19">
        <f>'AEO 2023 Table 46 Raw'!V15</f>
        <v>1.4839640000000001</v>
      </c>
      <c r="T25" s="19">
        <f>'AEO 2023 Table 46 Raw'!W15</f>
        <v>1.5600350000000001</v>
      </c>
      <c r="U25" s="19">
        <f>'AEO 2023 Table 46 Raw'!X15</f>
        <v>1.6341699999999999</v>
      </c>
      <c r="V25" s="19">
        <f>'AEO 2023 Table 46 Raw'!Y15</f>
        <v>1.7040979999999999</v>
      </c>
      <c r="W25" s="19">
        <f>'AEO 2023 Table 46 Raw'!Z15</f>
        <v>1.774011</v>
      </c>
      <c r="X25" s="19">
        <f>'AEO 2023 Table 46 Raw'!AA15</f>
        <v>1.8398829999999999</v>
      </c>
      <c r="Y25" s="19">
        <f>'AEO 2023 Table 46 Raw'!AB15</f>
        <v>1.8989780000000001</v>
      </c>
      <c r="Z25" s="19">
        <f>'AEO 2023 Table 46 Raw'!AC15</f>
        <v>1.9562390000000001</v>
      </c>
      <c r="AA25" s="19">
        <f>'AEO 2023 Table 46 Raw'!AD15</f>
        <v>2.0146959999999998</v>
      </c>
      <c r="AB25" s="19">
        <f>'AEO 2023 Table 46 Raw'!AE15</f>
        <v>2.0759669999999999</v>
      </c>
      <c r="AC25" s="19">
        <f>'AEO 2023 Table 46 Raw'!AF15</f>
        <v>2.1402369999999999</v>
      </c>
      <c r="AD25" s="19">
        <f>'AEO 2023 Table 46 Raw'!AG15</f>
        <v>2.200555</v>
      </c>
      <c r="AE25" s="19">
        <f>'AEO 2023 Table 46 Raw'!AH15</f>
        <v>2.2609300000000001</v>
      </c>
      <c r="AF25" s="30">
        <f>'AEO 2023 Table 46 Raw'!AI15</f>
        <v>6.4000000000000001E-2</v>
      </c>
    </row>
    <row r="26" spans="1:32" ht="15" customHeight="1">
      <c r="A26" s="7" t="s">
        <v>428</v>
      </c>
      <c r="B26" s="16" t="s">
        <v>429</v>
      </c>
      <c r="C26" s="19">
        <f>'AEO 2023 Table 46 Raw'!F16</f>
        <v>0.133383</v>
      </c>
      <c r="D26" s="19">
        <f>'AEO 2023 Table 46 Raw'!G16</f>
        <v>0.134821</v>
      </c>
      <c r="E26" s="19">
        <f>'AEO 2023 Table 46 Raw'!H16</f>
        <v>0.13941000000000001</v>
      </c>
      <c r="F26" s="19">
        <f>'AEO 2023 Table 46 Raw'!I16</f>
        <v>0.14457</v>
      </c>
      <c r="G26" s="19">
        <f>'AEO 2023 Table 46 Raw'!J16</f>
        <v>0.14922199999999999</v>
      </c>
      <c r="H26" s="19">
        <f>'AEO 2023 Table 46 Raw'!K16</f>
        <v>0.15324299999999999</v>
      </c>
      <c r="I26" s="19">
        <f>'AEO 2023 Table 46 Raw'!L16</f>
        <v>0.157113</v>
      </c>
      <c r="J26" s="19">
        <f>'AEO 2023 Table 46 Raw'!M16</f>
        <v>0.16105900000000001</v>
      </c>
      <c r="K26" s="19">
        <f>'AEO 2023 Table 46 Raw'!N16</f>
        <v>0.16500999999999999</v>
      </c>
      <c r="L26" s="19">
        <f>'AEO 2023 Table 46 Raw'!O16</f>
        <v>0.16892399999999999</v>
      </c>
      <c r="M26" s="19">
        <f>'AEO 2023 Table 46 Raw'!P16</f>
        <v>0.17376800000000001</v>
      </c>
      <c r="N26" s="19">
        <f>'AEO 2023 Table 46 Raw'!Q16</f>
        <v>0.17915800000000001</v>
      </c>
      <c r="O26" s="19">
        <f>'AEO 2023 Table 46 Raw'!R16</f>
        <v>0.18398400000000001</v>
      </c>
      <c r="P26" s="19">
        <f>'AEO 2023 Table 46 Raw'!S16</f>
        <v>0.18851499999999999</v>
      </c>
      <c r="Q26" s="19">
        <f>'AEO 2023 Table 46 Raw'!T16</f>
        <v>0.19351699999999999</v>
      </c>
      <c r="R26" s="19">
        <f>'AEO 2023 Table 46 Raw'!U16</f>
        <v>0.19953799999999999</v>
      </c>
      <c r="S26" s="19">
        <f>'AEO 2023 Table 46 Raw'!V16</f>
        <v>0.20671400000000001</v>
      </c>
      <c r="T26" s="19">
        <f>'AEO 2023 Table 46 Raw'!W16</f>
        <v>0.21479599999999999</v>
      </c>
      <c r="U26" s="19">
        <f>'AEO 2023 Table 46 Raw'!X16</f>
        <v>0.22287599999999999</v>
      </c>
      <c r="V26" s="19">
        <f>'AEO 2023 Table 46 Raw'!Y16</f>
        <v>0.23064000000000001</v>
      </c>
      <c r="W26" s="19">
        <f>'AEO 2023 Table 46 Raw'!Z16</f>
        <v>0.23851600000000001</v>
      </c>
      <c r="X26" s="19">
        <f>'AEO 2023 Table 46 Raw'!AA16</f>
        <v>0.24595900000000001</v>
      </c>
      <c r="Y26" s="19">
        <f>'AEO 2023 Table 46 Raw'!AB16</f>
        <v>0.25263400000000003</v>
      </c>
      <c r="Z26" s="19">
        <f>'AEO 2023 Table 46 Raw'!AC16</f>
        <v>0.25909100000000002</v>
      </c>
      <c r="AA26" s="19">
        <f>'AEO 2023 Table 46 Raw'!AD16</f>
        <v>0.26564399999999999</v>
      </c>
      <c r="AB26" s="19">
        <f>'AEO 2023 Table 46 Raw'!AE16</f>
        <v>0.27249800000000002</v>
      </c>
      <c r="AC26" s="19">
        <f>'AEO 2023 Table 46 Raw'!AF16</f>
        <v>0.27968799999999999</v>
      </c>
      <c r="AD26" s="19">
        <f>'AEO 2023 Table 46 Raw'!AG16</f>
        <v>0.28641800000000001</v>
      </c>
      <c r="AE26" s="19">
        <f>'AEO 2023 Table 46 Raw'!AH16</f>
        <v>0.293157</v>
      </c>
      <c r="AF26" s="30">
        <f>'AEO 2023 Table 46 Raw'!AI16</f>
        <v>2.9000000000000001E-2</v>
      </c>
    </row>
    <row r="27" spans="1:32" ht="15" customHeight="1">
      <c r="A27" s="7" t="s">
        <v>430</v>
      </c>
      <c r="B27" s="16" t="s">
        <v>431</v>
      </c>
      <c r="C27" s="19">
        <f>'AEO 2023 Table 46 Raw'!F17</f>
        <v>6.8515999999999994E-2</v>
      </c>
      <c r="D27" s="19">
        <f>'AEO 2023 Table 46 Raw'!G17</f>
        <v>6.9584999999999994E-2</v>
      </c>
      <c r="E27" s="19">
        <f>'AEO 2023 Table 46 Raw'!H17</f>
        <v>7.2609999999999994E-2</v>
      </c>
      <c r="F27" s="19">
        <f>'AEO 2023 Table 46 Raw'!I17</f>
        <v>7.6588000000000003E-2</v>
      </c>
      <c r="G27" s="19">
        <f>'AEO 2023 Table 46 Raw'!J17</f>
        <v>8.0639000000000002E-2</v>
      </c>
      <c r="H27" s="19">
        <f>'AEO 2023 Table 46 Raw'!K17</f>
        <v>8.4719000000000003E-2</v>
      </c>
      <c r="I27" s="19">
        <f>'AEO 2023 Table 46 Raw'!L17</f>
        <v>8.9145000000000002E-2</v>
      </c>
      <c r="J27" s="19">
        <f>'AEO 2023 Table 46 Raw'!M17</f>
        <v>9.4184000000000004E-2</v>
      </c>
      <c r="K27" s="19">
        <f>'AEO 2023 Table 46 Raw'!N17</f>
        <v>9.9724999999999994E-2</v>
      </c>
      <c r="L27" s="19">
        <f>'AEO 2023 Table 46 Raw'!O17</f>
        <v>0.105665</v>
      </c>
      <c r="M27" s="19">
        <f>'AEO 2023 Table 46 Raw'!P17</f>
        <v>0.112773</v>
      </c>
      <c r="N27" s="19">
        <f>'AEO 2023 Table 46 Raw'!Q17</f>
        <v>0.12064</v>
      </c>
      <c r="O27" s="19">
        <f>'AEO 2023 Table 46 Raw'!R17</f>
        <v>0.12822500000000001</v>
      </c>
      <c r="P27" s="19">
        <f>'AEO 2023 Table 46 Raw'!S17</f>
        <v>0.13562099999999999</v>
      </c>
      <c r="Q27" s="19">
        <f>'AEO 2023 Table 46 Raw'!T17</f>
        <v>0.143484</v>
      </c>
      <c r="R27" s="19">
        <f>'AEO 2023 Table 46 Raw'!U17</f>
        <v>0.15227199999999999</v>
      </c>
      <c r="S27" s="19">
        <f>'AEO 2023 Table 46 Raw'!V17</f>
        <v>0.16208600000000001</v>
      </c>
      <c r="T27" s="19">
        <f>'AEO 2023 Table 46 Raw'!W17</f>
        <v>0.17270199999999999</v>
      </c>
      <c r="U27" s="19">
        <f>'AEO 2023 Table 46 Raw'!X17</f>
        <v>0.18326000000000001</v>
      </c>
      <c r="V27" s="19">
        <f>'AEO 2023 Table 46 Raw'!Y17</f>
        <v>0.19347600000000001</v>
      </c>
      <c r="W27" s="19">
        <f>'AEO 2023 Table 46 Raw'!Z17</f>
        <v>0.20378499999999999</v>
      </c>
      <c r="X27" s="19">
        <f>'AEO 2023 Table 46 Raw'!AA17</f>
        <v>0.21368699999999999</v>
      </c>
      <c r="Y27" s="19">
        <f>'AEO 2023 Table 46 Raw'!AB17</f>
        <v>0.22284300000000001</v>
      </c>
      <c r="Z27" s="19">
        <f>'AEO 2023 Table 46 Raw'!AC17</f>
        <v>0.231791</v>
      </c>
      <c r="AA27" s="19">
        <f>'AEO 2023 Table 46 Raw'!AD17</f>
        <v>0.24085200000000001</v>
      </c>
      <c r="AB27" s="19">
        <f>'AEO 2023 Table 46 Raw'!AE17</f>
        <v>0.25020799999999999</v>
      </c>
      <c r="AC27" s="19">
        <f>'AEO 2023 Table 46 Raw'!AF17</f>
        <v>0.25989499999999999</v>
      </c>
      <c r="AD27" s="19">
        <f>'AEO 2023 Table 46 Raw'!AG17</f>
        <v>0.26912000000000003</v>
      </c>
      <c r="AE27" s="19">
        <f>'AEO 2023 Table 46 Raw'!AH17</f>
        <v>0.27834999999999999</v>
      </c>
      <c r="AF27" s="30">
        <f>'AEO 2023 Table 46 Raw'!AI17</f>
        <v>5.0999999999999997E-2</v>
      </c>
    </row>
    <row r="28" spans="1:32" ht="15" customHeight="1">
      <c r="A28" s="7" t="s">
        <v>432</v>
      </c>
      <c r="B28" s="16" t="s">
        <v>433</v>
      </c>
      <c r="C28" s="19">
        <f>'AEO 2023 Table 46 Raw'!F18</f>
        <v>0</v>
      </c>
      <c r="D28" s="19">
        <f>'AEO 2023 Table 46 Raw'!G18</f>
        <v>0</v>
      </c>
      <c r="E28" s="19">
        <f>'AEO 2023 Table 46 Raw'!H18</f>
        <v>0</v>
      </c>
      <c r="F28" s="19">
        <f>'AEO 2023 Table 46 Raw'!I18</f>
        <v>0</v>
      </c>
      <c r="G28" s="19">
        <f>'AEO 2023 Table 46 Raw'!J18</f>
        <v>0</v>
      </c>
      <c r="H28" s="19">
        <f>'AEO 2023 Table 46 Raw'!K18</f>
        <v>0</v>
      </c>
      <c r="I28" s="19">
        <f>'AEO 2023 Table 46 Raw'!L18</f>
        <v>0</v>
      </c>
      <c r="J28" s="19">
        <f>'AEO 2023 Table 46 Raw'!M18</f>
        <v>0</v>
      </c>
      <c r="K28" s="19">
        <f>'AEO 2023 Table 46 Raw'!N18</f>
        <v>0</v>
      </c>
      <c r="L28" s="19">
        <f>'AEO 2023 Table 46 Raw'!O18</f>
        <v>0</v>
      </c>
      <c r="M28" s="19">
        <f>'AEO 2023 Table 46 Raw'!P18</f>
        <v>0</v>
      </c>
      <c r="N28" s="19">
        <f>'AEO 2023 Table 46 Raw'!Q18</f>
        <v>0</v>
      </c>
      <c r="O28" s="19">
        <f>'AEO 2023 Table 46 Raw'!R18</f>
        <v>0</v>
      </c>
      <c r="P28" s="19">
        <f>'AEO 2023 Table 46 Raw'!S18</f>
        <v>0</v>
      </c>
      <c r="Q28" s="19">
        <f>'AEO 2023 Table 46 Raw'!T18</f>
        <v>0</v>
      </c>
      <c r="R28" s="19">
        <f>'AEO 2023 Table 46 Raw'!U18</f>
        <v>0</v>
      </c>
      <c r="S28" s="19">
        <f>'AEO 2023 Table 46 Raw'!V18</f>
        <v>0</v>
      </c>
      <c r="T28" s="19">
        <f>'AEO 2023 Table 46 Raw'!W18</f>
        <v>0</v>
      </c>
      <c r="U28" s="19">
        <f>'AEO 2023 Table 46 Raw'!X18</f>
        <v>0</v>
      </c>
      <c r="V28" s="19">
        <f>'AEO 2023 Table 46 Raw'!Y18</f>
        <v>0</v>
      </c>
      <c r="W28" s="19">
        <f>'AEO 2023 Table 46 Raw'!Z18</f>
        <v>0</v>
      </c>
      <c r="X28" s="19">
        <f>'AEO 2023 Table 46 Raw'!AA18</f>
        <v>0</v>
      </c>
      <c r="Y28" s="19">
        <f>'AEO 2023 Table 46 Raw'!AB18</f>
        <v>0</v>
      </c>
      <c r="Z28" s="19">
        <f>'AEO 2023 Table 46 Raw'!AC18</f>
        <v>0</v>
      </c>
      <c r="AA28" s="19">
        <f>'AEO 2023 Table 46 Raw'!AD18</f>
        <v>0</v>
      </c>
      <c r="AB28" s="19">
        <f>'AEO 2023 Table 46 Raw'!AE18</f>
        <v>0</v>
      </c>
      <c r="AC28" s="19">
        <f>'AEO 2023 Table 46 Raw'!AF18</f>
        <v>0</v>
      </c>
      <c r="AD28" s="19">
        <f>'AEO 2023 Table 46 Raw'!AG18</f>
        <v>0</v>
      </c>
      <c r="AE28" s="19">
        <f>'AEO 2023 Table 46 Raw'!AH18</f>
        <v>0</v>
      </c>
      <c r="AF28" s="30" t="str">
        <f>'AEO 2023 Table 46 Raw'!AI18</f>
        <v>- -</v>
      </c>
    </row>
    <row r="29" spans="1:32" ht="15" customHeight="1">
      <c r="A29" s="7" t="s">
        <v>434</v>
      </c>
      <c r="B29" s="16" t="s">
        <v>435</v>
      </c>
      <c r="C29" s="19">
        <f>'AEO 2023 Table 46 Raw'!F19</f>
        <v>2.0884179999999999</v>
      </c>
      <c r="D29" s="19">
        <f>'AEO 2023 Table 46 Raw'!G19</f>
        <v>2.0554230000000002</v>
      </c>
      <c r="E29" s="19">
        <f>'AEO 2023 Table 46 Raw'!H19</f>
        <v>2.0266060000000001</v>
      </c>
      <c r="F29" s="19">
        <f>'AEO 2023 Table 46 Raw'!I19</f>
        <v>1.99352</v>
      </c>
      <c r="G29" s="19">
        <f>'AEO 2023 Table 46 Raw'!J19</f>
        <v>1.9694149999999999</v>
      </c>
      <c r="H29" s="19">
        <f>'AEO 2023 Table 46 Raw'!K19</f>
        <v>1.9384250000000001</v>
      </c>
      <c r="I29" s="19">
        <f>'AEO 2023 Table 46 Raw'!L19</f>
        <v>1.9172</v>
      </c>
      <c r="J29" s="19">
        <f>'AEO 2023 Table 46 Raw'!M19</f>
        <v>1.90723</v>
      </c>
      <c r="K29" s="19">
        <f>'AEO 2023 Table 46 Raw'!N19</f>
        <v>1.9056679999999999</v>
      </c>
      <c r="L29" s="19">
        <f>'AEO 2023 Table 46 Raw'!O19</f>
        <v>1.910166</v>
      </c>
      <c r="M29" s="19">
        <f>'AEO 2023 Table 46 Raw'!P19</f>
        <v>1.929648</v>
      </c>
      <c r="N29" s="19">
        <f>'AEO 2023 Table 46 Raw'!Q19</f>
        <v>1.958029</v>
      </c>
      <c r="O29" s="19">
        <f>'AEO 2023 Table 46 Raw'!R19</f>
        <v>1.982791</v>
      </c>
      <c r="P29" s="19">
        <f>'AEO 2023 Table 46 Raw'!S19</f>
        <v>2.0052650000000001</v>
      </c>
      <c r="Q29" s="19">
        <f>'AEO 2023 Table 46 Raw'!T19</f>
        <v>2.032648</v>
      </c>
      <c r="R29" s="19">
        <f>'AEO 2023 Table 46 Raw'!U19</f>
        <v>2.06969</v>
      </c>
      <c r="S29" s="19">
        <f>'AEO 2023 Table 46 Raw'!V19</f>
        <v>2.1170339999999999</v>
      </c>
      <c r="T29" s="19">
        <f>'AEO 2023 Table 46 Raw'!W19</f>
        <v>2.1721699999999999</v>
      </c>
      <c r="U29" s="19">
        <f>'AEO 2023 Table 46 Raw'!X19</f>
        <v>2.226817</v>
      </c>
      <c r="V29" s="19">
        <f>'AEO 2023 Table 46 Raw'!Y19</f>
        <v>2.2782650000000002</v>
      </c>
      <c r="W29" s="19">
        <f>'AEO 2023 Table 46 Raw'!Z19</f>
        <v>2.330559</v>
      </c>
      <c r="X29" s="19">
        <f>'AEO 2023 Table 46 Raw'!AA19</f>
        <v>2.3792659999999999</v>
      </c>
      <c r="Y29" s="19">
        <f>'AEO 2023 Table 46 Raw'!AB19</f>
        <v>2.4213439999999999</v>
      </c>
      <c r="Z29" s="19">
        <f>'AEO 2023 Table 46 Raw'!AC19</f>
        <v>2.4613290000000001</v>
      </c>
      <c r="AA29" s="19">
        <f>'AEO 2023 Table 46 Raw'!AD19</f>
        <v>2.5019070000000001</v>
      </c>
      <c r="AB29" s="19">
        <f>'AEO 2023 Table 46 Raw'!AE19</f>
        <v>2.5446409999999999</v>
      </c>
      <c r="AC29" s="19">
        <f>'AEO 2023 Table 46 Raw'!AF19</f>
        <v>2.5898810000000001</v>
      </c>
      <c r="AD29" s="19">
        <f>'AEO 2023 Table 46 Raw'!AG19</f>
        <v>2.6312850000000001</v>
      </c>
      <c r="AE29" s="19">
        <f>'AEO 2023 Table 46 Raw'!AH19</f>
        <v>2.6727620000000001</v>
      </c>
      <c r="AF29" s="30">
        <f>'AEO 2023 Table 46 Raw'!AI19</f>
        <v>8.9999999999999993E-3</v>
      </c>
    </row>
    <row r="30" spans="1:32" ht="15" customHeight="1">
      <c r="A30" s="7" t="s">
        <v>436</v>
      </c>
      <c r="B30" s="16" t="s">
        <v>437</v>
      </c>
      <c r="C30" s="19">
        <f>'AEO 2023 Table 46 Raw'!F20</f>
        <v>8.4440000000000001E-2</v>
      </c>
      <c r="D30" s="19">
        <f>'AEO 2023 Table 46 Raw'!G20</f>
        <v>7.8244999999999995E-2</v>
      </c>
      <c r="E30" s="19">
        <f>'AEO 2023 Table 46 Raw'!H20</f>
        <v>7.1707999999999994E-2</v>
      </c>
      <c r="F30" s="19">
        <f>'AEO 2023 Table 46 Raw'!I20</f>
        <v>6.5062999999999996E-2</v>
      </c>
      <c r="G30" s="19">
        <f>'AEO 2023 Table 46 Raw'!J20</f>
        <v>5.8495999999999999E-2</v>
      </c>
      <c r="H30" s="19">
        <f>'AEO 2023 Table 46 Raw'!K20</f>
        <v>5.1991000000000002E-2</v>
      </c>
      <c r="I30" s="19">
        <f>'AEO 2023 Table 46 Raw'!L20</f>
        <v>4.5643999999999997E-2</v>
      </c>
      <c r="J30" s="19">
        <f>'AEO 2023 Table 46 Raw'!M20</f>
        <v>3.9710000000000002E-2</v>
      </c>
      <c r="K30" s="19">
        <f>'AEO 2023 Table 46 Raw'!N20</f>
        <v>3.4805999999999997E-2</v>
      </c>
      <c r="L30" s="19">
        <f>'AEO 2023 Table 46 Raw'!O20</f>
        <v>3.0196000000000001E-2</v>
      </c>
      <c r="M30" s="19">
        <f>'AEO 2023 Table 46 Raw'!P20</f>
        <v>2.6155999999999999E-2</v>
      </c>
      <c r="N30" s="19">
        <f>'AEO 2023 Table 46 Raw'!Q20</f>
        <v>2.2713000000000001E-2</v>
      </c>
      <c r="O30" s="19">
        <f>'AEO 2023 Table 46 Raw'!R20</f>
        <v>1.9885E-2</v>
      </c>
      <c r="P30" s="19">
        <f>'AEO 2023 Table 46 Raw'!S20</f>
        <v>1.7531000000000001E-2</v>
      </c>
      <c r="Q30" s="19">
        <f>'AEO 2023 Table 46 Raw'!T20</f>
        <v>1.5620999999999999E-2</v>
      </c>
      <c r="R30" s="19">
        <f>'AEO 2023 Table 46 Raw'!U20</f>
        <v>1.4361000000000001E-2</v>
      </c>
      <c r="S30" s="19">
        <f>'AEO 2023 Table 46 Raw'!V20</f>
        <v>1.3289E-2</v>
      </c>
      <c r="T30" s="19">
        <f>'AEO 2023 Table 46 Raw'!W20</f>
        <v>1.2399E-2</v>
      </c>
      <c r="U30" s="19">
        <f>'AEO 2023 Table 46 Raw'!X20</f>
        <v>1.1609E-2</v>
      </c>
      <c r="V30" s="19">
        <f>'AEO 2023 Table 46 Raw'!Y20</f>
        <v>1.0869999999999999E-2</v>
      </c>
      <c r="W30" s="19">
        <f>'AEO 2023 Table 46 Raw'!Z20</f>
        <v>1.0177E-2</v>
      </c>
      <c r="X30" s="19">
        <f>'AEO 2023 Table 46 Raw'!AA20</f>
        <v>9.5289999999999993E-3</v>
      </c>
      <c r="Y30" s="19">
        <f>'AEO 2023 Table 46 Raw'!AB20</f>
        <v>8.9219999999999994E-3</v>
      </c>
      <c r="Z30" s="19">
        <f>'AEO 2023 Table 46 Raw'!AC20</f>
        <v>8.3540000000000003E-3</v>
      </c>
      <c r="AA30" s="19">
        <f>'AEO 2023 Table 46 Raw'!AD20</f>
        <v>7.8209999999999998E-3</v>
      </c>
      <c r="AB30" s="19">
        <f>'AEO 2023 Table 46 Raw'!AE20</f>
        <v>7.3229999999999996E-3</v>
      </c>
      <c r="AC30" s="19">
        <f>'AEO 2023 Table 46 Raw'!AF20</f>
        <v>6.8570000000000002E-3</v>
      </c>
      <c r="AD30" s="19">
        <f>'AEO 2023 Table 46 Raw'!AG20</f>
        <v>6.4200000000000004E-3</v>
      </c>
      <c r="AE30" s="19">
        <f>'AEO 2023 Table 46 Raw'!AH20</f>
        <v>6.0109999999999999E-3</v>
      </c>
      <c r="AF30" s="30">
        <f>'AEO 2023 Table 46 Raw'!AI20</f>
        <v>-0.09</v>
      </c>
    </row>
    <row r="31" spans="1:32" ht="15" customHeight="1">
      <c r="A31" s="7" t="s">
        <v>438</v>
      </c>
      <c r="B31" s="16" t="s">
        <v>439</v>
      </c>
      <c r="C31" s="19">
        <f>'AEO 2023 Table 46 Raw'!F21</f>
        <v>2.2590000000000002E-3</v>
      </c>
      <c r="D31" s="19">
        <f>'AEO 2023 Table 46 Raw'!G21</f>
        <v>1.944E-3</v>
      </c>
      <c r="E31" s="19">
        <f>'AEO 2023 Table 46 Raw'!H21</f>
        <v>1.7600000000000001E-3</v>
      </c>
      <c r="F31" s="19">
        <f>'AEO 2023 Table 46 Raw'!I21</f>
        <v>1.6479999999999999E-3</v>
      </c>
      <c r="G31" s="19">
        <f>'AEO 2023 Table 46 Raw'!J21</f>
        <v>1.5430000000000001E-3</v>
      </c>
      <c r="H31" s="19">
        <f>'AEO 2023 Table 46 Raw'!K21</f>
        <v>1.4450000000000001E-3</v>
      </c>
      <c r="I31" s="19">
        <f>'AEO 2023 Table 46 Raw'!L21</f>
        <v>1.353E-3</v>
      </c>
      <c r="J31" s="19">
        <f>'AEO 2023 Table 46 Raw'!M21</f>
        <v>1.266E-3</v>
      </c>
      <c r="K31" s="19">
        <f>'AEO 2023 Table 46 Raw'!N21</f>
        <v>1.186E-3</v>
      </c>
      <c r="L31" s="19">
        <f>'AEO 2023 Table 46 Raw'!O21</f>
        <v>1.1100000000000001E-3</v>
      </c>
      <c r="M31" s="19">
        <f>'AEO 2023 Table 46 Raw'!P21</f>
        <v>1.0399999999999999E-3</v>
      </c>
      <c r="N31" s="19">
        <f>'AEO 2023 Table 46 Raw'!Q21</f>
        <v>9.7300000000000002E-4</v>
      </c>
      <c r="O31" s="19">
        <f>'AEO 2023 Table 46 Raw'!R21</f>
        <v>9.1100000000000003E-4</v>
      </c>
      <c r="P31" s="19">
        <f>'AEO 2023 Table 46 Raw'!S21</f>
        <v>8.5300000000000003E-4</v>
      </c>
      <c r="Q31" s="19">
        <f>'AEO 2023 Table 46 Raw'!T21</f>
        <v>7.9900000000000001E-4</v>
      </c>
      <c r="R31" s="19">
        <f>'AEO 2023 Table 46 Raw'!U21</f>
        <v>7.4799999999999997E-4</v>
      </c>
      <c r="S31" s="19">
        <f>'AEO 2023 Table 46 Raw'!V21</f>
        <v>6.9999999999999999E-4</v>
      </c>
      <c r="T31" s="19">
        <f>'AEO 2023 Table 46 Raw'!W21</f>
        <v>6.5600000000000001E-4</v>
      </c>
      <c r="U31" s="19">
        <f>'AEO 2023 Table 46 Raw'!X21</f>
        <v>6.1399999999999996E-4</v>
      </c>
      <c r="V31" s="19">
        <f>'AEO 2023 Table 46 Raw'!Y21</f>
        <v>5.7499999999999999E-4</v>
      </c>
      <c r="W31" s="19">
        <f>'AEO 2023 Table 46 Raw'!Z21</f>
        <v>5.3799999999999996E-4</v>
      </c>
      <c r="X31" s="19">
        <f>'AEO 2023 Table 46 Raw'!AA21</f>
        <v>5.04E-4</v>
      </c>
      <c r="Y31" s="19">
        <f>'AEO 2023 Table 46 Raw'!AB21</f>
        <v>4.7199999999999998E-4</v>
      </c>
      <c r="Z31" s="19">
        <f>'AEO 2023 Table 46 Raw'!AC21</f>
        <v>4.4200000000000001E-4</v>
      </c>
      <c r="AA31" s="19">
        <f>'AEO 2023 Table 46 Raw'!AD21</f>
        <v>4.1399999999999998E-4</v>
      </c>
      <c r="AB31" s="19">
        <f>'AEO 2023 Table 46 Raw'!AE21</f>
        <v>3.8699999999999997E-4</v>
      </c>
      <c r="AC31" s="19">
        <f>'AEO 2023 Table 46 Raw'!AF21</f>
        <v>3.6299999999999999E-4</v>
      </c>
      <c r="AD31" s="19">
        <f>'AEO 2023 Table 46 Raw'!AG21</f>
        <v>3.4000000000000002E-4</v>
      </c>
      <c r="AE31" s="19">
        <f>'AEO 2023 Table 46 Raw'!AH21</f>
        <v>3.1799999999999998E-4</v>
      </c>
      <c r="AF31" s="30">
        <f>'AEO 2023 Table 46 Raw'!AI21</f>
        <v>-6.8000000000000005E-2</v>
      </c>
    </row>
    <row r="32" spans="1:32" ht="15" customHeight="1">
      <c r="A32" s="7" t="s">
        <v>440</v>
      </c>
      <c r="B32" s="16" t="s">
        <v>441</v>
      </c>
      <c r="C32" s="19">
        <f>'AEO 2023 Table 46 Raw'!F22</f>
        <v>1.5181E-2</v>
      </c>
      <c r="D32" s="19">
        <f>'AEO 2023 Table 46 Raw'!G22</f>
        <v>1.2968E-2</v>
      </c>
      <c r="E32" s="19">
        <f>'AEO 2023 Table 46 Raw'!H22</f>
        <v>1.1150999999999999E-2</v>
      </c>
      <c r="F32" s="19">
        <f>'AEO 2023 Table 46 Raw'!I22</f>
        <v>9.6790000000000001E-3</v>
      </c>
      <c r="G32" s="19">
        <f>'AEO 2023 Table 46 Raw'!J22</f>
        <v>8.7530000000000004E-3</v>
      </c>
      <c r="H32" s="19">
        <f>'AEO 2023 Table 46 Raw'!K22</f>
        <v>8.1770000000000002E-3</v>
      </c>
      <c r="I32" s="19">
        <f>'AEO 2023 Table 46 Raw'!L22</f>
        <v>7.6559999999999996E-3</v>
      </c>
      <c r="J32" s="19">
        <f>'AEO 2023 Table 46 Raw'!M22</f>
        <v>7.1679999999999999E-3</v>
      </c>
      <c r="K32" s="19">
        <f>'AEO 2023 Table 46 Raw'!N22</f>
        <v>6.7120000000000001E-3</v>
      </c>
      <c r="L32" s="19">
        <f>'AEO 2023 Table 46 Raw'!O22</f>
        <v>6.2839999999999997E-3</v>
      </c>
      <c r="M32" s="19">
        <f>'AEO 2023 Table 46 Raw'!P22</f>
        <v>5.8840000000000003E-3</v>
      </c>
      <c r="N32" s="19">
        <f>'AEO 2023 Table 46 Raw'!Q22</f>
        <v>5.509E-3</v>
      </c>
      <c r="O32" s="19">
        <f>'AEO 2023 Table 46 Raw'!R22</f>
        <v>5.1580000000000003E-3</v>
      </c>
      <c r="P32" s="19">
        <f>'AEO 2023 Table 46 Raw'!S22</f>
        <v>4.829E-3</v>
      </c>
      <c r="Q32" s="19">
        <f>'AEO 2023 Table 46 Raw'!T22</f>
        <v>4.522E-3</v>
      </c>
      <c r="R32" s="19">
        <f>'AEO 2023 Table 46 Raw'!U22</f>
        <v>4.2339999999999999E-3</v>
      </c>
      <c r="S32" s="19">
        <f>'AEO 2023 Table 46 Raw'!V22</f>
        <v>3.9639999999999996E-3</v>
      </c>
      <c r="T32" s="19">
        <f>'AEO 2023 Table 46 Raw'!W22</f>
        <v>3.7109999999999999E-3</v>
      </c>
      <c r="U32" s="19">
        <f>'AEO 2023 Table 46 Raw'!X22</f>
        <v>3.4749999999999998E-3</v>
      </c>
      <c r="V32" s="19">
        <f>'AEO 2023 Table 46 Raw'!Y22</f>
        <v>3.2539999999999999E-3</v>
      </c>
      <c r="W32" s="19">
        <f>'AEO 2023 Table 46 Raw'!Z22</f>
        <v>3.0460000000000001E-3</v>
      </c>
      <c r="X32" s="19">
        <f>'AEO 2023 Table 46 Raw'!AA22</f>
        <v>2.8519999999999999E-3</v>
      </c>
      <c r="Y32" s="19">
        <f>'AEO 2023 Table 46 Raw'!AB22</f>
        <v>2.6710000000000002E-3</v>
      </c>
      <c r="Z32" s="19">
        <f>'AEO 2023 Table 46 Raw'!AC22</f>
        <v>2.5010000000000002E-3</v>
      </c>
      <c r="AA32" s="19">
        <f>'AEO 2023 Table 46 Raw'!AD22</f>
        <v>2.3410000000000002E-3</v>
      </c>
      <c r="AB32" s="19">
        <f>'AEO 2023 Table 46 Raw'!AE22</f>
        <v>2.1919999999999999E-3</v>
      </c>
      <c r="AC32" s="19">
        <f>'AEO 2023 Table 46 Raw'!AF22</f>
        <v>2.052E-3</v>
      </c>
      <c r="AD32" s="19">
        <f>'AEO 2023 Table 46 Raw'!AG22</f>
        <v>1.9220000000000001E-3</v>
      </c>
      <c r="AE32" s="19">
        <f>'AEO 2023 Table 46 Raw'!AH22</f>
        <v>1.799E-3</v>
      </c>
      <c r="AF32" s="30">
        <f>'AEO 2023 Table 46 Raw'!AI22</f>
        <v>-7.2999999999999995E-2</v>
      </c>
    </row>
    <row r="33" spans="1:32" ht="15" customHeight="1">
      <c r="A33" s="7" t="s">
        <v>442</v>
      </c>
      <c r="B33" s="16" t="s">
        <v>443</v>
      </c>
      <c r="C33" s="19">
        <f>'AEO 2023 Table 46 Raw'!F23</f>
        <v>2.9725000000000001E-2</v>
      </c>
      <c r="D33" s="19">
        <f>'AEO 2023 Table 46 Raw'!G23</f>
        <v>2.5337999999999999E-2</v>
      </c>
      <c r="E33" s="19">
        <f>'AEO 2023 Table 46 Raw'!H23</f>
        <v>2.1677999999999999E-2</v>
      </c>
      <c r="F33" s="19">
        <f>'AEO 2023 Table 46 Raw'!I23</f>
        <v>1.8672999999999999E-2</v>
      </c>
      <c r="G33" s="19">
        <f>'AEO 2023 Table 46 Raw'!J23</f>
        <v>1.6624E-2</v>
      </c>
      <c r="H33" s="19">
        <f>'AEO 2023 Table 46 Raw'!K23</f>
        <v>1.5348000000000001E-2</v>
      </c>
      <c r="I33" s="19">
        <f>'AEO 2023 Table 46 Raw'!L23</f>
        <v>1.4264000000000001E-2</v>
      </c>
      <c r="J33" s="19">
        <f>'AEO 2023 Table 46 Raw'!M23</f>
        <v>1.3356E-2</v>
      </c>
      <c r="K33" s="19">
        <f>'AEO 2023 Table 46 Raw'!N23</f>
        <v>1.2505E-2</v>
      </c>
      <c r="L33" s="19">
        <f>'AEO 2023 Table 46 Raw'!O23</f>
        <v>1.1708E-2</v>
      </c>
      <c r="M33" s="19">
        <f>'AEO 2023 Table 46 Raw'!P23</f>
        <v>1.0962E-2</v>
      </c>
      <c r="N33" s="19">
        <f>'AEO 2023 Table 46 Raw'!Q23</f>
        <v>1.0264000000000001E-2</v>
      </c>
      <c r="O33" s="19">
        <f>'AEO 2023 Table 46 Raw'!R23</f>
        <v>9.6100000000000005E-3</v>
      </c>
      <c r="P33" s="19">
        <f>'AEO 2023 Table 46 Raw'!S23</f>
        <v>8.9980000000000008E-3</v>
      </c>
      <c r="Q33" s="19">
        <f>'AEO 2023 Table 46 Raw'!T23</f>
        <v>8.4250000000000002E-3</v>
      </c>
      <c r="R33" s="19">
        <f>'AEO 2023 Table 46 Raw'!U23</f>
        <v>7.8879999999999992E-3</v>
      </c>
      <c r="S33" s="19">
        <f>'AEO 2023 Table 46 Raw'!V23</f>
        <v>7.3860000000000002E-3</v>
      </c>
      <c r="T33" s="19">
        <f>'AEO 2023 Table 46 Raw'!W23</f>
        <v>6.9150000000000001E-3</v>
      </c>
      <c r="U33" s="19">
        <f>'AEO 2023 Table 46 Raw'!X23</f>
        <v>6.4749999999999999E-3</v>
      </c>
      <c r="V33" s="19">
        <f>'AEO 2023 Table 46 Raw'!Y23</f>
        <v>6.0619999999999997E-3</v>
      </c>
      <c r="W33" s="19">
        <f>'AEO 2023 Table 46 Raw'!Z23</f>
        <v>5.6759999999999996E-3</v>
      </c>
      <c r="X33" s="19">
        <f>'AEO 2023 Table 46 Raw'!AA23</f>
        <v>5.3140000000000001E-3</v>
      </c>
      <c r="Y33" s="19">
        <f>'AEO 2023 Table 46 Raw'!AB23</f>
        <v>4.9760000000000004E-3</v>
      </c>
      <c r="Z33" s="19">
        <f>'AEO 2023 Table 46 Raw'!AC23</f>
        <v>4.6589999999999999E-3</v>
      </c>
      <c r="AA33" s="19">
        <f>'AEO 2023 Table 46 Raw'!AD23</f>
        <v>4.3620000000000004E-3</v>
      </c>
      <c r="AB33" s="19">
        <f>'AEO 2023 Table 46 Raw'!AE23</f>
        <v>4.084E-3</v>
      </c>
      <c r="AC33" s="19">
        <f>'AEO 2023 Table 46 Raw'!AF23</f>
        <v>3.8240000000000001E-3</v>
      </c>
      <c r="AD33" s="19">
        <f>'AEO 2023 Table 46 Raw'!AG23</f>
        <v>3.5799999999999998E-3</v>
      </c>
      <c r="AE33" s="19">
        <f>'AEO 2023 Table 46 Raw'!AH23</f>
        <v>3.3519999999999999E-3</v>
      </c>
      <c r="AF33" s="30">
        <f>'AEO 2023 Table 46 Raw'!AI23</f>
        <v>-7.4999999999999997E-2</v>
      </c>
    </row>
    <row r="34" spans="1:32" ht="15" customHeight="1">
      <c r="A34" s="7" t="s">
        <v>444</v>
      </c>
      <c r="B34" s="16" t="s">
        <v>445</v>
      </c>
      <c r="C34" s="19">
        <f>'AEO 2023 Table 46 Raw'!F24</f>
        <v>0</v>
      </c>
      <c r="D34" s="19">
        <f>'AEO 2023 Table 46 Raw'!G24</f>
        <v>0</v>
      </c>
      <c r="E34" s="19">
        <f>'AEO 2023 Table 46 Raw'!H24</f>
        <v>0</v>
      </c>
      <c r="F34" s="19">
        <f>'AEO 2023 Table 46 Raw'!I24</f>
        <v>0</v>
      </c>
      <c r="G34" s="19">
        <f>'AEO 2023 Table 46 Raw'!J24</f>
        <v>0</v>
      </c>
      <c r="H34" s="19">
        <f>'AEO 2023 Table 46 Raw'!K24</f>
        <v>0</v>
      </c>
      <c r="I34" s="19">
        <f>'AEO 2023 Table 46 Raw'!L24</f>
        <v>0</v>
      </c>
      <c r="J34" s="19">
        <f>'AEO 2023 Table 46 Raw'!M24</f>
        <v>0</v>
      </c>
      <c r="K34" s="19">
        <f>'AEO 2023 Table 46 Raw'!N24</f>
        <v>0</v>
      </c>
      <c r="L34" s="19">
        <f>'AEO 2023 Table 46 Raw'!O24</f>
        <v>0</v>
      </c>
      <c r="M34" s="19">
        <f>'AEO 2023 Table 46 Raw'!P24</f>
        <v>0</v>
      </c>
      <c r="N34" s="19">
        <f>'AEO 2023 Table 46 Raw'!Q24</f>
        <v>0</v>
      </c>
      <c r="O34" s="19">
        <f>'AEO 2023 Table 46 Raw'!R24</f>
        <v>0</v>
      </c>
      <c r="P34" s="19">
        <f>'AEO 2023 Table 46 Raw'!S24</f>
        <v>0</v>
      </c>
      <c r="Q34" s="19">
        <f>'AEO 2023 Table 46 Raw'!T24</f>
        <v>0</v>
      </c>
      <c r="R34" s="19">
        <f>'AEO 2023 Table 46 Raw'!U24</f>
        <v>0</v>
      </c>
      <c r="S34" s="19">
        <f>'AEO 2023 Table 46 Raw'!V24</f>
        <v>0</v>
      </c>
      <c r="T34" s="19">
        <f>'AEO 2023 Table 46 Raw'!W24</f>
        <v>0</v>
      </c>
      <c r="U34" s="19">
        <f>'AEO 2023 Table 46 Raw'!X24</f>
        <v>0</v>
      </c>
      <c r="V34" s="19">
        <f>'AEO 2023 Table 46 Raw'!Y24</f>
        <v>0</v>
      </c>
      <c r="W34" s="19">
        <f>'AEO 2023 Table 46 Raw'!Z24</f>
        <v>0</v>
      </c>
      <c r="X34" s="19">
        <f>'AEO 2023 Table 46 Raw'!AA24</f>
        <v>0</v>
      </c>
      <c r="Y34" s="19">
        <f>'AEO 2023 Table 46 Raw'!AB24</f>
        <v>0</v>
      </c>
      <c r="Z34" s="19">
        <f>'AEO 2023 Table 46 Raw'!AC24</f>
        <v>0</v>
      </c>
      <c r="AA34" s="19">
        <f>'AEO 2023 Table 46 Raw'!AD24</f>
        <v>0</v>
      </c>
      <c r="AB34" s="19">
        <f>'AEO 2023 Table 46 Raw'!AE24</f>
        <v>0</v>
      </c>
      <c r="AC34" s="19">
        <f>'AEO 2023 Table 46 Raw'!AF24</f>
        <v>0</v>
      </c>
      <c r="AD34" s="19">
        <f>'AEO 2023 Table 46 Raw'!AG24</f>
        <v>0</v>
      </c>
      <c r="AE34" s="19">
        <f>'AEO 2023 Table 46 Raw'!AH24</f>
        <v>0</v>
      </c>
      <c r="AF34" s="30" t="str">
        <f>'AEO 2023 Table 46 Raw'!AI24</f>
        <v>- -</v>
      </c>
    </row>
    <row r="35" spans="1:32" ht="15" customHeight="1">
      <c r="A35" s="7" t="s">
        <v>446</v>
      </c>
      <c r="B35" s="16" t="s">
        <v>447</v>
      </c>
      <c r="C35" s="19">
        <f>'AEO 2023 Table 46 Raw'!F25</f>
        <v>4.8399999999999997E-3</v>
      </c>
      <c r="D35" s="19">
        <f>'AEO 2023 Table 46 Raw'!G25</f>
        <v>4.7530000000000003E-3</v>
      </c>
      <c r="E35" s="19">
        <f>'AEO 2023 Table 46 Raw'!H25</f>
        <v>4.9220000000000002E-3</v>
      </c>
      <c r="F35" s="19">
        <f>'AEO 2023 Table 46 Raw'!I25</f>
        <v>5.2830000000000004E-3</v>
      </c>
      <c r="G35" s="19">
        <f>'AEO 2023 Table 46 Raw'!J25</f>
        <v>5.7860000000000003E-3</v>
      </c>
      <c r="H35" s="19">
        <f>'AEO 2023 Table 46 Raw'!K25</f>
        <v>6.378E-3</v>
      </c>
      <c r="I35" s="19">
        <f>'AEO 2023 Table 46 Raw'!L25</f>
        <v>7.0569999999999999E-3</v>
      </c>
      <c r="J35" s="19">
        <f>'AEO 2023 Table 46 Raw'!M25</f>
        <v>7.8270000000000006E-3</v>
      </c>
      <c r="K35" s="19">
        <f>'AEO 2023 Table 46 Raw'!N25</f>
        <v>8.6669999999999994E-3</v>
      </c>
      <c r="L35" s="19">
        <f>'AEO 2023 Table 46 Raw'!O25</f>
        <v>9.5650000000000006E-3</v>
      </c>
      <c r="M35" s="19">
        <f>'AEO 2023 Table 46 Raw'!P25</f>
        <v>1.0574999999999999E-2</v>
      </c>
      <c r="N35" s="19">
        <f>'AEO 2023 Table 46 Raw'!Q25</f>
        <v>1.1660999999999999E-2</v>
      </c>
      <c r="O35" s="19">
        <f>'AEO 2023 Table 46 Raw'!R25</f>
        <v>1.2754E-2</v>
      </c>
      <c r="P35" s="19">
        <f>'AEO 2023 Table 46 Raw'!S25</f>
        <v>1.3861999999999999E-2</v>
      </c>
      <c r="Q35" s="19">
        <f>'AEO 2023 Table 46 Raw'!T25</f>
        <v>1.5016E-2</v>
      </c>
      <c r="R35" s="19">
        <f>'AEO 2023 Table 46 Raw'!U25</f>
        <v>1.6240999999999998E-2</v>
      </c>
      <c r="S35" s="19">
        <f>'AEO 2023 Table 46 Raw'!V25</f>
        <v>1.7554E-2</v>
      </c>
      <c r="T35" s="19">
        <f>'AEO 2023 Table 46 Raw'!W25</f>
        <v>1.8945E-2</v>
      </c>
      <c r="U35" s="19">
        <f>'AEO 2023 Table 46 Raw'!X25</f>
        <v>2.0358000000000001E-2</v>
      </c>
      <c r="V35" s="19">
        <f>'AEO 2023 Table 46 Raw'!Y25</f>
        <v>2.1772E-2</v>
      </c>
      <c r="W35" s="19">
        <f>'AEO 2023 Table 46 Raw'!Z25</f>
        <v>2.3202E-2</v>
      </c>
      <c r="X35" s="19">
        <f>'AEO 2023 Table 46 Raw'!AA25</f>
        <v>2.4597999999999998E-2</v>
      </c>
      <c r="Y35" s="19">
        <f>'AEO 2023 Table 46 Raw'!AB25</f>
        <v>2.5939E-2</v>
      </c>
      <c r="Z35" s="19">
        <f>'AEO 2023 Table 46 Raw'!AC25</f>
        <v>2.7257E-2</v>
      </c>
      <c r="AA35" s="19">
        <f>'AEO 2023 Table 46 Raw'!AD25</f>
        <v>2.8565E-2</v>
      </c>
      <c r="AB35" s="19">
        <f>'AEO 2023 Table 46 Raw'!AE25</f>
        <v>2.9877999999999998E-2</v>
      </c>
      <c r="AC35" s="19">
        <f>'AEO 2023 Table 46 Raw'!AF25</f>
        <v>3.1206999999999999E-2</v>
      </c>
      <c r="AD35" s="19">
        <f>'AEO 2023 Table 46 Raw'!AG25</f>
        <v>3.2496999999999998E-2</v>
      </c>
      <c r="AE35" s="19">
        <f>'AEO 2023 Table 46 Raw'!AH25</f>
        <v>3.3785999999999997E-2</v>
      </c>
      <c r="AF35" s="30">
        <f>'AEO 2023 Table 46 Raw'!AI25</f>
        <v>7.1999999999999995E-2</v>
      </c>
    </row>
    <row r="36" spans="1:32" ht="15" customHeight="1">
      <c r="A36" s="7" t="s">
        <v>448</v>
      </c>
      <c r="B36" s="16" t="s">
        <v>449</v>
      </c>
      <c r="C36" s="19">
        <f>'AEO 2023 Table 46 Raw'!F26</f>
        <v>5.5090430000000001</v>
      </c>
      <c r="D36" s="19">
        <f>'AEO 2023 Table 46 Raw'!G26</f>
        <v>5.2944570000000004</v>
      </c>
      <c r="E36" s="19">
        <f>'AEO 2023 Table 46 Raw'!H26</f>
        <v>5.1420300000000001</v>
      </c>
      <c r="F36" s="19">
        <f>'AEO 2023 Table 46 Raw'!I26</f>
        <v>5.0320220000000004</v>
      </c>
      <c r="G36" s="19">
        <f>'AEO 2023 Table 46 Raw'!J26</f>
        <v>4.9612869999999996</v>
      </c>
      <c r="H36" s="19">
        <f>'AEO 2023 Table 46 Raw'!K26</f>
        <v>4.8973899999999997</v>
      </c>
      <c r="I36" s="19">
        <f>'AEO 2023 Table 46 Raw'!L26</f>
        <v>4.8672620000000002</v>
      </c>
      <c r="J36" s="19">
        <f>'AEO 2023 Table 46 Raw'!M26</f>
        <v>4.8756060000000003</v>
      </c>
      <c r="K36" s="19">
        <f>'AEO 2023 Table 46 Raw'!N26</f>
        <v>4.9122690000000002</v>
      </c>
      <c r="L36" s="19">
        <f>'AEO 2023 Table 46 Raw'!O26</f>
        <v>4.9692109999999996</v>
      </c>
      <c r="M36" s="19">
        <f>'AEO 2023 Table 46 Raw'!P26</f>
        <v>5.0748540000000002</v>
      </c>
      <c r="N36" s="19">
        <f>'AEO 2023 Table 46 Raw'!Q26</f>
        <v>5.2112740000000004</v>
      </c>
      <c r="O36" s="19">
        <f>'AEO 2023 Table 46 Raw'!R26</f>
        <v>5.3364409999999998</v>
      </c>
      <c r="P36" s="19">
        <f>'AEO 2023 Table 46 Raw'!S26</f>
        <v>5.4537319999999996</v>
      </c>
      <c r="Q36" s="19">
        <f>'AEO 2023 Table 46 Raw'!T26</f>
        <v>5.5876749999999999</v>
      </c>
      <c r="R36" s="19">
        <f>'AEO 2023 Table 46 Raw'!U26</f>
        <v>5.7532639999999997</v>
      </c>
      <c r="S36" s="19">
        <f>'AEO 2023 Table 46 Raw'!V26</f>
        <v>5.9519209999999996</v>
      </c>
      <c r="T36" s="19">
        <f>'AEO 2023 Table 46 Raw'!W26</f>
        <v>6.1751339999999999</v>
      </c>
      <c r="U36" s="19">
        <f>'AEO 2023 Table 46 Raw'!X26</f>
        <v>6.3944270000000003</v>
      </c>
      <c r="V36" s="19">
        <f>'AEO 2023 Table 46 Raw'!Y26</f>
        <v>6.6008310000000003</v>
      </c>
      <c r="W36" s="19">
        <f>'AEO 2023 Table 46 Raw'!Z26</f>
        <v>6.8089449999999996</v>
      </c>
      <c r="X36" s="19">
        <f>'AEO 2023 Table 46 Raw'!AA26</f>
        <v>7.0041849999999997</v>
      </c>
      <c r="Y36" s="19">
        <f>'AEO 2023 Table 46 Raw'!AB26</f>
        <v>7.1765489999999996</v>
      </c>
      <c r="Z36" s="19">
        <f>'AEO 2023 Table 46 Raw'!AC26</f>
        <v>7.3427660000000001</v>
      </c>
      <c r="AA36" s="19">
        <f>'AEO 2023 Table 46 Raw'!AD26</f>
        <v>7.5131709999999998</v>
      </c>
      <c r="AB36" s="19">
        <f>'AEO 2023 Table 46 Raw'!AE26</f>
        <v>7.6931289999999999</v>
      </c>
      <c r="AC36" s="19">
        <f>'AEO 2023 Table 46 Raw'!AF26</f>
        <v>7.8832199999999997</v>
      </c>
      <c r="AD36" s="19">
        <f>'AEO 2023 Table 46 Raw'!AG26</f>
        <v>8.0600480000000001</v>
      </c>
      <c r="AE36" s="19">
        <f>'AEO 2023 Table 46 Raw'!AH26</f>
        <v>8.2357610000000001</v>
      </c>
      <c r="AF36" s="30">
        <f>'AEO 2023 Table 46 Raw'!AI26</f>
        <v>1.4E-2</v>
      </c>
    </row>
    <row r="37" spans="1:32" ht="15" customHeight="1">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30"/>
    </row>
    <row r="38" spans="1:32" ht="15" customHeight="1">
      <c r="A38" s="7" t="s">
        <v>450</v>
      </c>
      <c r="B38" s="16" t="s">
        <v>451</v>
      </c>
      <c r="C38" s="19">
        <f>'AEO 2023 Table 46 Raw'!F27</f>
        <v>55.086739000000001</v>
      </c>
      <c r="D38" s="19">
        <f>'AEO 2023 Table 46 Raw'!G27</f>
        <v>52.010685000000002</v>
      </c>
      <c r="E38" s="19">
        <f>'AEO 2023 Table 46 Raw'!H27</f>
        <v>49.520744000000001</v>
      </c>
      <c r="F38" s="19">
        <f>'AEO 2023 Table 46 Raw'!I27</f>
        <v>47.317413000000002</v>
      </c>
      <c r="G38" s="19">
        <f>'AEO 2023 Table 46 Raw'!J27</f>
        <v>45.417164</v>
      </c>
      <c r="H38" s="19">
        <f>'AEO 2023 Table 46 Raw'!K27</f>
        <v>43.427483000000002</v>
      </c>
      <c r="I38" s="19">
        <f>'AEO 2023 Table 46 Raw'!L27</f>
        <v>41.727370999999998</v>
      </c>
      <c r="J38" s="19">
        <f>'AEO 2023 Table 46 Raw'!M27</f>
        <v>40.325862999999998</v>
      </c>
      <c r="K38" s="19">
        <f>'AEO 2023 Table 46 Raw'!N27</f>
        <v>39.125362000000003</v>
      </c>
      <c r="L38" s="19">
        <f>'AEO 2023 Table 46 Raw'!O27</f>
        <v>38.066516999999997</v>
      </c>
      <c r="M38" s="19">
        <f>'AEO 2023 Table 46 Raw'!P27</f>
        <v>37.306381000000002</v>
      </c>
      <c r="N38" s="19">
        <f>'AEO 2023 Table 46 Raw'!Q27</f>
        <v>36.722583999999998</v>
      </c>
      <c r="O38" s="19">
        <f>'AEO 2023 Table 46 Raw'!R27</f>
        <v>36.091003000000001</v>
      </c>
      <c r="P38" s="19">
        <f>'AEO 2023 Table 46 Raw'!S27</f>
        <v>35.440643000000001</v>
      </c>
      <c r="Q38" s="19">
        <f>'AEO 2023 Table 46 Raw'!T27</f>
        <v>34.904975999999998</v>
      </c>
      <c r="R38" s="19">
        <f>'AEO 2023 Table 46 Raw'!U27</f>
        <v>34.557194000000003</v>
      </c>
      <c r="S38" s="19">
        <f>'AEO 2023 Table 46 Raw'!V27</f>
        <v>34.389159999999997</v>
      </c>
      <c r="T38" s="19">
        <f>'AEO 2023 Table 46 Raw'!W27</f>
        <v>34.345489999999998</v>
      </c>
      <c r="U38" s="19">
        <f>'AEO 2023 Table 46 Raw'!X27</f>
        <v>34.295124000000001</v>
      </c>
      <c r="V38" s="19">
        <f>'AEO 2023 Table 46 Raw'!Y27</f>
        <v>34.200504000000002</v>
      </c>
      <c r="W38" s="19">
        <f>'AEO 2023 Table 46 Raw'!Z27</f>
        <v>34.122031999999997</v>
      </c>
      <c r="X38" s="19">
        <f>'AEO 2023 Table 46 Raw'!AA27</f>
        <v>34.004280000000001</v>
      </c>
      <c r="Y38" s="19">
        <f>'AEO 2023 Table 46 Raw'!AB27</f>
        <v>33.811905000000003</v>
      </c>
      <c r="Z38" s="19">
        <f>'AEO 2023 Table 46 Raw'!AC27</f>
        <v>33.607821999999999</v>
      </c>
      <c r="AA38" s="19">
        <f>'AEO 2023 Table 46 Raw'!AD27</f>
        <v>33.429436000000003</v>
      </c>
      <c r="AB38" s="19">
        <f>'AEO 2023 Table 46 Raw'!AE27</f>
        <v>33.293548999999999</v>
      </c>
      <c r="AC38" s="19">
        <f>'AEO 2023 Table 46 Raw'!AF27</f>
        <v>33.198611999999997</v>
      </c>
      <c r="AD38" s="19">
        <f>'AEO 2023 Table 46 Raw'!AG27</f>
        <v>33.066901999999999</v>
      </c>
      <c r="AE38" s="19">
        <f>'AEO 2023 Table 46 Raw'!AH27</f>
        <v>32.943016</v>
      </c>
      <c r="AF38" s="30">
        <f>'AEO 2023 Table 46 Raw'!AI27</f>
        <v>-1.7999999999999999E-2</v>
      </c>
    </row>
    <row r="39" spans="1:32" ht="12" customHeight="1">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30"/>
    </row>
    <row r="40" spans="1:32" ht="12" customHeight="1">
      <c r="B40" s="15" t="s">
        <v>452</v>
      </c>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30"/>
    </row>
    <row r="41" spans="1:32" ht="12" customHeight="1">
      <c r="B41" s="15" t="s">
        <v>453</v>
      </c>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30"/>
    </row>
    <row r="42" spans="1:32" ht="12" customHeight="1">
      <c r="A42" s="7" t="s">
        <v>454</v>
      </c>
      <c r="B42" s="16" t="s">
        <v>414</v>
      </c>
      <c r="C42" s="19">
        <f>'AEO 2023 Table 46 Raw'!F30</f>
        <v>83.907561999999999</v>
      </c>
      <c r="D42" s="19">
        <f>'AEO 2023 Table 46 Raw'!G30</f>
        <v>85.246178</v>
      </c>
      <c r="E42" s="19">
        <f>'AEO 2023 Table 46 Raw'!H30</f>
        <v>86.675407000000007</v>
      </c>
      <c r="F42" s="19">
        <f>'AEO 2023 Table 46 Raw'!I30</f>
        <v>88.293334999999999</v>
      </c>
      <c r="G42" s="19">
        <f>'AEO 2023 Table 46 Raw'!J30</f>
        <v>90.024269000000004</v>
      </c>
      <c r="H42" s="19">
        <f>'AEO 2023 Table 46 Raw'!K30</f>
        <v>90.869743</v>
      </c>
      <c r="I42" s="19">
        <f>'AEO 2023 Table 46 Raw'!L30</f>
        <v>91.562454000000002</v>
      </c>
      <c r="J42" s="19">
        <f>'AEO 2023 Table 46 Raw'!M30</f>
        <v>92.186004999999994</v>
      </c>
      <c r="K42" s="19">
        <f>'AEO 2023 Table 46 Raw'!N30</f>
        <v>92.519035000000002</v>
      </c>
      <c r="L42" s="19">
        <f>'AEO 2023 Table 46 Raw'!O30</f>
        <v>92.672759999999997</v>
      </c>
      <c r="M42" s="19">
        <f>'AEO 2023 Table 46 Raw'!P30</f>
        <v>92.890891999999994</v>
      </c>
      <c r="N42" s="19">
        <f>'AEO 2023 Table 46 Raw'!Q30</f>
        <v>93.107742000000002</v>
      </c>
      <c r="O42" s="19">
        <f>'AEO 2023 Table 46 Raw'!R30</f>
        <v>93.025847999999996</v>
      </c>
      <c r="P42" s="19">
        <f>'AEO 2023 Table 46 Raw'!S30</f>
        <v>92.733376000000007</v>
      </c>
      <c r="Q42" s="19">
        <f>'AEO 2023 Table 46 Raw'!T30</f>
        <v>92.385056000000006</v>
      </c>
      <c r="R42" s="19">
        <f>'AEO 2023 Table 46 Raw'!U30</f>
        <v>92.133949000000001</v>
      </c>
      <c r="S42" s="19">
        <f>'AEO 2023 Table 46 Raw'!V30</f>
        <v>92.064437999999996</v>
      </c>
      <c r="T42" s="19">
        <f>'AEO 2023 Table 46 Raw'!W30</f>
        <v>92.172379000000006</v>
      </c>
      <c r="U42" s="19">
        <f>'AEO 2023 Table 46 Raw'!X30</f>
        <v>92.406952000000004</v>
      </c>
      <c r="V42" s="19">
        <f>'AEO 2023 Table 46 Raw'!Y30</f>
        <v>92.627357000000003</v>
      </c>
      <c r="W42" s="19">
        <f>'AEO 2023 Table 46 Raw'!Z30</f>
        <v>92.833183000000005</v>
      </c>
      <c r="X42" s="19">
        <f>'AEO 2023 Table 46 Raw'!AA30</f>
        <v>92.988342000000003</v>
      </c>
      <c r="Y42" s="19">
        <f>'AEO 2023 Table 46 Raw'!AB30</f>
        <v>93.056731999999997</v>
      </c>
      <c r="Z42" s="19">
        <f>'AEO 2023 Table 46 Raw'!AC30</f>
        <v>93.097237000000007</v>
      </c>
      <c r="AA42" s="19">
        <f>'AEO 2023 Table 46 Raw'!AD30</f>
        <v>93.178421</v>
      </c>
      <c r="AB42" s="19">
        <f>'AEO 2023 Table 46 Raw'!AE30</f>
        <v>93.277641000000003</v>
      </c>
      <c r="AC42" s="19">
        <f>'AEO 2023 Table 46 Raw'!AF30</f>
        <v>93.379456000000005</v>
      </c>
      <c r="AD42" s="19">
        <f>'AEO 2023 Table 46 Raw'!AG30</f>
        <v>93.499008000000003</v>
      </c>
      <c r="AE42" s="19">
        <f>'AEO 2023 Table 46 Raw'!AH30</f>
        <v>93.613983000000005</v>
      </c>
      <c r="AF42" s="30">
        <f>'AEO 2023 Table 46 Raw'!AI30</f>
        <v>4.0000000000000001E-3</v>
      </c>
    </row>
    <row r="43" spans="1:32" ht="12" customHeight="1">
      <c r="A43" s="7" t="s">
        <v>455</v>
      </c>
      <c r="B43" s="16" t="s">
        <v>416</v>
      </c>
      <c r="C43" s="19">
        <f>'AEO 2023 Table 46 Raw'!F31</f>
        <v>0.52666000000000002</v>
      </c>
      <c r="D43" s="19">
        <f>'AEO 2023 Table 46 Raw'!G31</f>
        <v>0.47596500000000003</v>
      </c>
      <c r="E43" s="19">
        <f>'AEO 2023 Table 46 Raw'!H31</f>
        <v>0.42480299999999999</v>
      </c>
      <c r="F43" s="19">
        <f>'AEO 2023 Table 46 Raw'!I31</f>
        <v>0.38073899999999999</v>
      </c>
      <c r="G43" s="19">
        <f>'AEO 2023 Table 46 Raw'!J31</f>
        <v>0.34478700000000001</v>
      </c>
      <c r="H43" s="19">
        <f>'AEO 2023 Table 46 Raw'!K31</f>
        <v>0.31091099999999999</v>
      </c>
      <c r="I43" s="19">
        <f>'AEO 2023 Table 46 Raw'!L31</f>
        <v>0.278391</v>
      </c>
      <c r="J43" s="19">
        <f>'AEO 2023 Table 46 Raw'!M31</f>
        <v>0.24728900000000001</v>
      </c>
      <c r="K43" s="19">
        <f>'AEO 2023 Table 46 Raw'!N31</f>
        <v>0.21771699999999999</v>
      </c>
      <c r="L43" s="19">
        <f>'AEO 2023 Table 46 Raw'!O31</f>
        <v>0.189885</v>
      </c>
      <c r="M43" s="19">
        <f>'AEO 2023 Table 46 Raw'!P31</f>
        <v>0.16389200000000001</v>
      </c>
      <c r="N43" s="19">
        <f>'AEO 2023 Table 46 Raw'!Q31</f>
        <v>0.14005300000000001</v>
      </c>
      <c r="O43" s="19">
        <f>'AEO 2023 Table 46 Raw'!R31</f>
        <v>0.118398</v>
      </c>
      <c r="P43" s="19">
        <f>'AEO 2023 Table 46 Raw'!S31</f>
        <v>9.9235000000000004E-2</v>
      </c>
      <c r="Q43" s="19">
        <f>'AEO 2023 Table 46 Raw'!T31</f>
        <v>8.2496E-2</v>
      </c>
      <c r="R43" s="19">
        <f>'AEO 2023 Table 46 Raw'!U31</f>
        <v>6.8190000000000001E-2</v>
      </c>
      <c r="S43" s="19">
        <f>'AEO 2023 Table 46 Raw'!V31</f>
        <v>5.6337999999999999E-2</v>
      </c>
      <c r="T43" s="19">
        <f>'AEO 2023 Table 46 Raw'!W31</f>
        <v>4.6649999999999997E-2</v>
      </c>
      <c r="U43" s="19">
        <f>'AEO 2023 Table 46 Raw'!X31</f>
        <v>3.9010999999999997E-2</v>
      </c>
      <c r="V43" s="19">
        <f>'AEO 2023 Table 46 Raw'!Y31</f>
        <v>3.3098000000000002E-2</v>
      </c>
      <c r="W43" s="19">
        <f>'AEO 2023 Table 46 Raw'!Z31</f>
        <v>2.8437E-2</v>
      </c>
      <c r="X43" s="19">
        <f>'AEO 2023 Table 46 Raw'!AA31</f>
        <v>2.4750000000000001E-2</v>
      </c>
      <c r="Y43" s="19">
        <f>'AEO 2023 Table 46 Raw'!AB31</f>
        <v>2.1794000000000001E-2</v>
      </c>
      <c r="Z43" s="19">
        <f>'AEO 2023 Table 46 Raw'!AC31</f>
        <v>1.9529000000000001E-2</v>
      </c>
      <c r="AA43" s="19">
        <f>'AEO 2023 Table 46 Raw'!AD31</f>
        <v>1.7741E-2</v>
      </c>
      <c r="AB43" s="19">
        <f>'AEO 2023 Table 46 Raw'!AE31</f>
        <v>1.6143000000000001E-2</v>
      </c>
      <c r="AC43" s="19">
        <f>'AEO 2023 Table 46 Raw'!AF31</f>
        <v>1.4714E-2</v>
      </c>
      <c r="AD43" s="19">
        <f>'AEO 2023 Table 46 Raw'!AG31</f>
        <v>1.3434E-2</v>
      </c>
      <c r="AE43" s="19">
        <f>'AEO 2023 Table 46 Raw'!AH31</f>
        <v>1.2286999999999999E-2</v>
      </c>
      <c r="AF43" s="30">
        <f>'AEO 2023 Table 46 Raw'!AI31</f>
        <v>-0.126</v>
      </c>
    </row>
    <row r="44" spans="1:32" ht="12" customHeight="1">
      <c r="A44" s="7" t="s">
        <v>456</v>
      </c>
      <c r="B44" s="16" t="s">
        <v>457</v>
      </c>
      <c r="C44" s="19">
        <f>'AEO 2023 Table 46 Raw'!F32</f>
        <v>84.434218999999999</v>
      </c>
      <c r="D44" s="19">
        <f>'AEO 2023 Table 46 Raw'!G32</f>
        <v>85.722144999999998</v>
      </c>
      <c r="E44" s="19">
        <f>'AEO 2023 Table 46 Raw'!H32</f>
        <v>87.100211999999999</v>
      </c>
      <c r="F44" s="19">
        <f>'AEO 2023 Table 46 Raw'!I32</f>
        <v>88.674071999999995</v>
      </c>
      <c r="G44" s="19">
        <f>'AEO 2023 Table 46 Raw'!J32</f>
        <v>90.369056999999998</v>
      </c>
      <c r="H44" s="19">
        <f>'AEO 2023 Table 46 Raw'!K32</f>
        <v>91.180655999999999</v>
      </c>
      <c r="I44" s="19">
        <f>'AEO 2023 Table 46 Raw'!L32</f>
        <v>91.840843000000007</v>
      </c>
      <c r="J44" s="19">
        <f>'AEO 2023 Table 46 Raw'!M32</f>
        <v>92.433295999999999</v>
      </c>
      <c r="K44" s="19">
        <f>'AEO 2023 Table 46 Raw'!N32</f>
        <v>92.736755000000002</v>
      </c>
      <c r="L44" s="19">
        <f>'AEO 2023 Table 46 Raw'!O32</f>
        <v>92.862647999999993</v>
      </c>
      <c r="M44" s="19">
        <f>'AEO 2023 Table 46 Raw'!P32</f>
        <v>93.054787000000005</v>
      </c>
      <c r="N44" s="19">
        <f>'AEO 2023 Table 46 Raw'!Q32</f>
        <v>93.247794999999996</v>
      </c>
      <c r="O44" s="19">
        <f>'AEO 2023 Table 46 Raw'!R32</f>
        <v>93.144249000000002</v>
      </c>
      <c r="P44" s="19">
        <f>'AEO 2023 Table 46 Raw'!S32</f>
        <v>92.832611</v>
      </c>
      <c r="Q44" s="19">
        <f>'AEO 2023 Table 46 Raw'!T32</f>
        <v>92.467551999999998</v>
      </c>
      <c r="R44" s="19">
        <f>'AEO 2023 Table 46 Raw'!U32</f>
        <v>92.202140999999997</v>
      </c>
      <c r="S44" s="19">
        <f>'AEO 2023 Table 46 Raw'!V32</f>
        <v>92.120773</v>
      </c>
      <c r="T44" s="19">
        <f>'AEO 2023 Table 46 Raw'!W32</f>
        <v>92.219031999999999</v>
      </c>
      <c r="U44" s="19">
        <f>'AEO 2023 Table 46 Raw'!X32</f>
        <v>92.445960999999997</v>
      </c>
      <c r="V44" s="19">
        <f>'AEO 2023 Table 46 Raw'!Y32</f>
        <v>92.660454000000001</v>
      </c>
      <c r="W44" s="19">
        <f>'AEO 2023 Table 46 Raw'!Z32</f>
        <v>92.861618000000007</v>
      </c>
      <c r="X44" s="19">
        <f>'AEO 2023 Table 46 Raw'!AA32</f>
        <v>93.013092</v>
      </c>
      <c r="Y44" s="19">
        <f>'AEO 2023 Table 46 Raw'!AB32</f>
        <v>93.078529000000003</v>
      </c>
      <c r="Z44" s="19">
        <f>'AEO 2023 Table 46 Raw'!AC32</f>
        <v>93.116767999999993</v>
      </c>
      <c r="AA44" s="19">
        <f>'AEO 2023 Table 46 Raw'!AD32</f>
        <v>93.196158999999994</v>
      </c>
      <c r="AB44" s="19">
        <f>'AEO 2023 Table 46 Raw'!AE32</f>
        <v>93.293785</v>
      </c>
      <c r="AC44" s="19">
        <f>'AEO 2023 Table 46 Raw'!AF32</f>
        <v>93.394172999999995</v>
      </c>
      <c r="AD44" s="19">
        <f>'AEO 2023 Table 46 Raw'!AG32</f>
        <v>93.512444000000002</v>
      </c>
      <c r="AE44" s="19">
        <f>'AEO 2023 Table 46 Raw'!AH32</f>
        <v>93.626273999999995</v>
      </c>
      <c r="AF44" s="30">
        <f>'AEO 2023 Table 46 Raw'!AI32</f>
        <v>4.0000000000000001E-3</v>
      </c>
    </row>
    <row r="45" spans="1:32" ht="12" customHeight="1">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30"/>
    </row>
    <row r="46" spans="1:32" ht="12" customHeight="1">
      <c r="B46" s="15" t="s">
        <v>458</v>
      </c>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30"/>
    </row>
    <row r="47" spans="1:32" ht="12" customHeight="1">
      <c r="A47" s="7" t="s">
        <v>459</v>
      </c>
      <c r="B47" s="16" t="s">
        <v>421</v>
      </c>
      <c r="C47" s="19">
        <f>'AEO 2023 Table 46 Raw'!F34</f>
        <v>13.155381999999999</v>
      </c>
      <c r="D47" s="19">
        <f>'AEO 2023 Table 46 Raw'!G34</f>
        <v>12.04735</v>
      </c>
      <c r="E47" s="19">
        <f>'AEO 2023 Table 46 Raw'!H34</f>
        <v>11.079556999999999</v>
      </c>
      <c r="F47" s="19">
        <f>'AEO 2023 Table 46 Raw'!I34</f>
        <v>10.146872</v>
      </c>
      <c r="G47" s="19">
        <f>'AEO 2023 Table 46 Raw'!J34</f>
        <v>9.3481640000000006</v>
      </c>
      <c r="H47" s="19">
        <f>'AEO 2023 Table 46 Raw'!K34</f>
        <v>8.5740239999999996</v>
      </c>
      <c r="I47" s="19">
        <f>'AEO 2023 Table 46 Raw'!L34</f>
        <v>7.8789559999999996</v>
      </c>
      <c r="J47" s="19">
        <f>'AEO 2023 Table 46 Raw'!M34</f>
        <v>7.2777609999999999</v>
      </c>
      <c r="K47" s="19">
        <f>'AEO 2023 Table 46 Raw'!N34</f>
        <v>6.743716</v>
      </c>
      <c r="L47" s="19">
        <f>'AEO 2023 Table 46 Raw'!O34</f>
        <v>6.2824840000000002</v>
      </c>
      <c r="M47" s="19">
        <f>'AEO 2023 Table 46 Raw'!P34</f>
        <v>5.9127580000000002</v>
      </c>
      <c r="N47" s="19">
        <f>'AEO 2023 Table 46 Raw'!Q34</f>
        <v>5.6186930000000004</v>
      </c>
      <c r="O47" s="19">
        <f>'AEO 2023 Table 46 Raw'!R34</f>
        <v>5.3554360000000001</v>
      </c>
      <c r="P47" s="19">
        <f>'AEO 2023 Table 46 Raw'!S34</f>
        <v>5.1242859999999997</v>
      </c>
      <c r="Q47" s="19">
        <f>'AEO 2023 Table 46 Raw'!T34</f>
        <v>4.93954</v>
      </c>
      <c r="R47" s="19">
        <f>'AEO 2023 Table 46 Raw'!U34</f>
        <v>4.8122550000000004</v>
      </c>
      <c r="S47" s="19">
        <f>'AEO 2023 Table 46 Raw'!V34</f>
        <v>4.7404200000000003</v>
      </c>
      <c r="T47" s="19">
        <f>'AEO 2023 Table 46 Raw'!W34</f>
        <v>4.7091339999999997</v>
      </c>
      <c r="U47" s="19">
        <f>'AEO 2023 Table 46 Raw'!X34</f>
        <v>4.7003620000000002</v>
      </c>
      <c r="V47" s="19">
        <f>'AEO 2023 Table 46 Raw'!Y34</f>
        <v>4.694051</v>
      </c>
      <c r="W47" s="19">
        <f>'AEO 2023 Table 46 Raw'!Z34</f>
        <v>4.6888899999999998</v>
      </c>
      <c r="X47" s="19">
        <f>'AEO 2023 Table 46 Raw'!AA34</f>
        <v>4.6818530000000003</v>
      </c>
      <c r="Y47" s="19">
        <f>'AEO 2023 Table 46 Raw'!AB34</f>
        <v>4.6713120000000004</v>
      </c>
      <c r="Z47" s="19">
        <f>'AEO 2023 Table 46 Raw'!AC34</f>
        <v>4.6641450000000004</v>
      </c>
      <c r="AA47" s="19">
        <f>'AEO 2023 Table 46 Raw'!AD34</f>
        <v>4.6687070000000004</v>
      </c>
      <c r="AB47" s="19">
        <f>'AEO 2023 Table 46 Raw'!AE34</f>
        <v>4.6807059999999998</v>
      </c>
      <c r="AC47" s="19">
        <f>'AEO 2023 Table 46 Raw'!AF34</f>
        <v>4.6957659999999999</v>
      </c>
      <c r="AD47" s="19">
        <f>'AEO 2023 Table 46 Raw'!AG34</f>
        <v>4.7141529999999996</v>
      </c>
      <c r="AE47" s="19">
        <f>'AEO 2023 Table 46 Raw'!AH34</f>
        <v>4.7330120000000004</v>
      </c>
      <c r="AF47" s="30">
        <f>'AEO 2023 Table 46 Raw'!AI34</f>
        <v>-3.5999999999999997E-2</v>
      </c>
    </row>
    <row r="48" spans="1:32" ht="12" customHeight="1">
      <c r="A48" s="7" t="s">
        <v>460</v>
      </c>
      <c r="B48" s="16" t="s">
        <v>423</v>
      </c>
      <c r="C48" s="19">
        <f>'AEO 2023 Table 46 Raw'!F35</f>
        <v>3.7000000000000002E-3</v>
      </c>
      <c r="D48" s="19">
        <f>'AEO 2023 Table 46 Raw'!G35</f>
        <v>3.7959999999999999E-3</v>
      </c>
      <c r="E48" s="19">
        <f>'AEO 2023 Table 46 Raw'!H35</f>
        <v>3.9370000000000004E-3</v>
      </c>
      <c r="F48" s="19">
        <f>'AEO 2023 Table 46 Raw'!I35</f>
        <v>4.0819999999999997E-3</v>
      </c>
      <c r="G48" s="19">
        <f>'AEO 2023 Table 46 Raw'!J35</f>
        <v>4.2009999999999999E-3</v>
      </c>
      <c r="H48" s="19">
        <f>'AEO 2023 Table 46 Raw'!K35</f>
        <v>4.2950000000000002E-3</v>
      </c>
      <c r="I48" s="19">
        <f>'AEO 2023 Table 46 Raw'!L35</f>
        <v>4.3670000000000002E-3</v>
      </c>
      <c r="J48" s="19">
        <f>'AEO 2023 Table 46 Raw'!M35</f>
        <v>4.4180000000000001E-3</v>
      </c>
      <c r="K48" s="19">
        <f>'AEO 2023 Table 46 Raw'!N35</f>
        <v>4.4409999999999996E-3</v>
      </c>
      <c r="L48" s="19">
        <f>'AEO 2023 Table 46 Raw'!O35</f>
        <v>4.444E-3</v>
      </c>
      <c r="M48" s="19">
        <f>'AEO 2023 Table 46 Raw'!P35</f>
        <v>4.4339999999999996E-3</v>
      </c>
      <c r="N48" s="19">
        <f>'AEO 2023 Table 46 Raw'!Q35</f>
        <v>4.4070000000000003E-3</v>
      </c>
      <c r="O48" s="19">
        <f>'AEO 2023 Table 46 Raw'!R35</f>
        <v>4.352E-3</v>
      </c>
      <c r="P48" s="19">
        <f>'AEO 2023 Table 46 Raw'!S35</f>
        <v>4.2750000000000002E-3</v>
      </c>
      <c r="Q48" s="19">
        <f>'AEO 2023 Table 46 Raw'!T35</f>
        <v>4.1780000000000003E-3</v>
      </c>
      <c r="R48" s="19">
        <f>'AEO 2023 Table 46 Raw'!U35</f>
        <v>4.0639999999999999E-3</v>
      </c>
      <c r="S48" s="19">
        <f>'AEO 2023 Table 46 Raw'!V35</f>
        <v>3.9319999999999997E-3</v>
      </c>
      <c r="T48" s="19">
        <f>'AEO 2023 Table 46 Raw'!W35</f>
        <v>3.7859999999999999E-3</v>
      </c>
      <c r="U48" s="19">
        <f>'AEO 2023 Table 46 Raw'!X35</f>
        <v>3.6259999999999999E-3</v>
      </c>
      <c r="V48" s="19">
        <f>'AEO 2023 Table 46 Raw'!Y35</f>
        <v>3.4529999999999999E-3</v>
      </c>
      <c r="W48" s="19">
        <f>'AEO 2023 Table 46 Raw'!Z35</f>
        <v>3.2680000000000001E-3</v>
      </c>
      <c r="X48" s="19">
        <f>'AEO 2023 Table 46 Raw'!AA35</f>
        <v>3.0730000000000002E-3</v>
      </c>
      <c r="Y48" s="19">
        <f>'AEO 2023 Table 46 Raw'!AB35</f>
        <v>2.8700000000000002E-3</v>
      </c>
      <c r="Z48" s="19">
        <f>'AEO 2023 Table 46 Raw'!AC35</f>
        <v>2.6619999999999999E-3</v>
      </c>
      <c r="AA48" s="19">
        <f>'AEO 2023 Table 46 Raw'!AD35</f>
        <v>2.4499999999999999E-3</v>
      </c>
      <c r="AB48" s="19">
        <f>'AEO 2023 Table 46 Raw'!AE35</f>
        <v>2.2360000000000001E-3</v>
      </c>
      <c r="AC48" s="19">
        <f>'AEO 2023 Table 46 Raw'!AF35</f>
        <v>2.0200000000000001E-3</v>
      </c>
      <c r="AD48" s="19">
        <f>'AEO 2023 Table 46 Raw'!AG35</f>
        <v>1.802E-3</v>
      </c>
      <c r="AE48" s="19">
        <f>'AEO 2023 Table 46 Raw'!AH35</f>
        <v>1.5820000000000001E-3</v>
      </c>
      <c r="AF48" s="30">
        <f>'AEO 2023 Table 46 Raw'!AI35</f>
        <v>-0.03</v>
      </c>
    </row>
    <row r="49" spans="1:32" ht="12" customHeight="1">
      <c r="A49" s="7" t="s">
        <v>461</v>
      </c>
      <c r="B49" s="16" t="s">
        <v>425</v>
      </c>
      <c r="C49" s="19">
        <f>'AEO 2023 Table 46 Raw'!F36</f>
        <v>7.2387999999999994E-2</v>
      </c>
      <c r="D49" s="19">
        <f>'AEO 2023 Table 46 Raw'!G36</f>
        <v>0.13614100000000001</v>
      </c>
      <c r="E49" s="19">
        <f>'AEO 2023 Table 46 Raw'!H36</f>
        <v>0.227352</v>
      </c>
      <c r="F49" s="19">
        <f>'AEO 2023 Table 46 Raw'!I36</f>
        <v>0.34497699999999998</v>
      </c>
      <c r="G49" s="19">
        <f>'AEO 2023 Table 46 Raw'!J36</f>
        <v>0.48496899999999998</v>
      </c>
      <c r="H49" s="19">
        <f>'AEO 2023 Table 46 Raw'!K36</f>
        <v>0.63757699999999995</v>
      </c>
      <c r="I49" s="19">
        <f>'AEO 2023 Table 46 Raw'!L36</f>
        <v>0.80531600000000003</v>
      </c>
      <c r="J49" s="19">
        <f>'AEO 2023 Table 46 Raw'!M36</f>
        <v>0.987873</v>
      </c>
      <c r="K49" s="19">
        <f>'AEO 2023 Table 46 Raw'!N36</f>
        <v>1.1777820000000001</v>
      </c>
      <c r="L49" s="19">
        <f>'AEO 2023 Table 46 Raw'!O36</f>
        <v>1.375702</v>
      </c>
      <c r="M49" s="19">
        <f>'AEO 2023 Table 46 Raw'!P36</f>
        <v>1.5874010000000001</v>
      </c>
      <c r="N49" s="19">
        <f>'AEO 2023 Table 46 Raw'!Q36</f>
        <v>1.810111</v>
      </c>
      <c r="O49" s="19">
        <f>'AEO 2023 Table 46 Raw'!R36</f>
        <v>2.031657</v>
      </c>
      <c r="P49" s="19">
        <f>'AEO 2023 Table 46 Raw'!S36</f>
        <v>2.2528920000000001</v>
      </c>
      <c r="Q49" s="19">
        <f>'AEO 2023 Table 46 Raw'!T36</f>
        <v>2.4782030000000002</v>
      </c>
      <c r="R49" s="19">
        <f>'AEO 2023 Table 46 Raw'!U36</f>
        <v>2.713346</v>
      </c>
      <c r="S49" s="19">
        <f>'AEO 2023 Table 46 Raw'!V36</f>
        <v>2.9625020000000002</v>
      </c>
      <c r="T49" s="19">
        <f>'AEO 2023 Table 46 Raw'!W36</f>
        <v>3.225902</v>
      </c>
      <c r="U49" s="19">
        <f>'AEO 2023 Table 46 Raw'!X36</f>
        <v>3.50136</v>
      </c>
      <c r="V49" s="19">
        <f>'AEO 2023 Table 46 Raw'!Y36</f>
        <v>3.7808540000000002</v>
      </c>
      <c r="W49" s="19">
        <f>'AEO 2023 Table 46 Raw'!Z36</f>
        <v>4.0638959999999997</v>
      </c>
      <c r="X49" s="19">
        <f>'AEO 2023 Table 46 Raw'!AA36</f>
        <v>4.3476540000000004</v>
      </c>
      <c r="Y49" s="19">
        <f>'AEO 2023 Table 46 Raw'!AB36</f>
        <v>4.6291830000000003</v>
      </c>
      <c r="Z49" s="19">
        <f>'AEO 2023 Table 46 Raw'!AC36</f>
        <v>4.9124090000000002</v>
      </c>
      <c r="AA49" s="19">
        <f>'AEO 2023 Table 46 Raw'!AD36</f>
        <v>5.2025920000000001</v>
      </c>
      <c r="AB49" s="19">
        <f>'AEO 2023 Table 46 Raw'!AE36</f>
        <v>5.4980599999999997</v>
      </c>
      <c r="AC49" s="19">
        <f>'AEO 2023 Table 46 Raw'!AF36</f>
        <v>5.7977160000000003</v>
      </c>
      <c r="AD49" s="19">
        <f>'AEO 2023 Table 46 Raw'!AG36</f>
        <v>6.1028640000000003</v>
      </c>
      <c r="AE49" s="19">
        <f>'AEO 2023 Table 46 Raw'!AH36</f>
        <v>6.4114500000000003</v>
      </c>
      <c r="AF49" s="30">
        <f>'AEO 2023 Table 46 Raw'!AI36</f>
        <v>0.17399999999999999</v>
      </c>
    </row>
    <row r="50" spans="1:32" ht="15" customHeight="1">
      <c r="A50" s="7" t="s">
        <v>462</v>
      </c>
      <c r="B50" s="16" t="s">
        <v>427</v>
      </c>
      <c r="C50" s="19">
        <f>'AEO 2023 Table 46 Raw'!F37</f>
        <v>4.1378999999999999E-2</v>
      </c>
      <c r="D50" s="19">
        <f>'AEO 2023 Table 46 Raw'!G37</f>
        <v>5.5634999999999997E-2</v>
      </c>
      <c r="E50" s="19">
        <f>'AEO 2023 Table 46 Raw'!H37</f>
        <v>7.3841000000000004E-2</v>
      </c>
      <c r="F50" s="19">
        <f>'AEO 2023 Table 46 Raw'!I37</f>
        <v>9.5920000000000005E-2</v>
      </c>
      <c r="G50" s="19">
        <f>'AEO 2023 Table 46 Raw'!J37</f>
        <v>0.120613</v>
      </c>
      <c r="H50" s="19">
        <f>'AEO 2023 Table 46 Raw'!K37</f>
        <v>0.14671799999999999</v>
      </c>
      <c r="I50" s="19">
        <f>'AEO 2023 Table 46 Raw'!L37</f>
        <v>0.174765</v>
      </c>
      <c r="J50" s="19">
        <f>'AEO 2023 Table 46 Raw'!M37</f>
        <v>0.204703</v>
      </c>
      <c r="K50" s="19">
        <f>'AEO 2023 Table 46 Raw'!N37</f>
        <v>0.23532600000000001</v>
      </c>
      <c r="L50" s="19">
        <f>'AEO 2023 Table 46 Raw'!O37</f>
        <v>0.26680399999999999</v>
      </c>
      <c r="M50" s="19">
        <f>'AEO 2023 Table 46 Raw'!P37</f>
        <v>0.30012</v>
      </c>
      <c r="N50" s="19">
        <f>'AEO 2023 Table 46 Raw'!Q37</f>
        <v>0.33483400000000002</v>
      </c>
      <c r="O50" s="19">
        <f>'AEO 2023 Table 46 Raw'!R37</f>
        <v>0.36905100000000002</v>
      </c>
      <c r="P50" s="19">
        <f>'AEO 2023 Table 46 Raw'!S37</f>
        <v>0.402945</v>
      </c>
      <c r="Q50" s="19">
        <f>'AEO 2023 Table 46 Raw'!T37</f>
        <v>0.43723099999999998</v>
      </c>
      <c r="R50" s="19">
        <f>'AEO 2023 Table 46 Raw'!U37</f>
        <v>0.472856</v>
      </c>
      <c r="S50" s="19">
        <f>'AEO 2023 Table 46 Raw'!V37</f>
        <v>0.51049500000000003</v>
      </c>
      <c r="T50" s="19">
        <f>'AEO 2023 Table 46 Raw'!W37</f>
        <v>0.55022300000000002</v>
      </c>
      <c r="U50" s="19">
        <f>'AEO 2023 Table 46 Raw'!X37</f>
        <v>0.59172199999999997</v>
      </c>
      <c r="V50" s="19">
        <f>'AEO 2023 Table 46 Raw'!Y37</f>
        <v>0.63378599999999996</v>
      </c>
      <c r="W50" s="19">
        <f>'AEO 2023 Table 46 Raw'!Z37</f>
        <v>0.67637100000000006</v>
      </c>
      <c r="X50" s="19">
        <f>'AEO 2023 Table 46 Raw'!AA37</f>
        <v>0.71902999999999995</v>
      </c>
      <c r="Y50" s="19">
        <f>'AEO 2023 Table 46 Raw'!AB37</f>
        <v>0.76130399999999998</v>
      </c>
      <c r="Z50" s="19">
        <f>'AEO 2023 Table 46 Raw'!AC37</f>
        <v>0.80379500000000004</v>
      </c>
      <c r="AA50" s="19">
        <f>'AEO 2023 Table 46 Raw'!AD37</f>
        <v>0.84731000000000001</v>
      </c>
      <c r="AB50" s="19">
        <f>'AEO 2023 Table 46 Raw'!AE37</f>
        <v>0.89161699999999999</v>
      </c>
      <c r="AC50" s="19">
        <f>'AEO 2023 Table 46 Raw'!AF37</f>
        <v>0.93655200000000005</v>
      </c>
      <c r="AD50" s="19">
        <f>'AEO 2023 Table 46 Raw'!AG37</f>
        <v>0.98231800000000002</v>
      </c>
      <c r="AE50" s="19">
        <f>'AEO 2023 Table 46 Raw'!AH37</f>
        <v>1.028607</v>
      </c>
      <c r="AF50" s="30">
        <f>'AEO 2023 Table 46 Raw'!AI37</f>
        <v>0.122</v>
      </c>
    </row>
    <row r="51" spans="1:32" ht="15" customHeight="1">
      <c r="A51" s="7" t="s">
        <v>463</v>
      </c>
      <c r="B51" s="16" t="s">
        <v>429</v>
      </c>
      <c r="C51" s="19">
        <f>'AEO 2023 Table 46 Raw'!F38</f>
        <v>0.18983700000000001</v>
      </c>
      <c r="D51" s="19">
        <f>'AEO 2023 Table 46 Raw'!G38</f>
        <v>0.191692</v>
      </c>
      <c r="E51" s="19">
        <f>'AEO 2023 Table 46 Raw'!H38</f>
        <v>0.19464200000000001</v>
      </c>
      <c r="F51" s="19">
        <f>'AEO 2023 Table 46 Raw'!I38</f>
        <v>0.22015499999999999</v>
      </c>
      <c r="G51" s="19">
        <f>'AEO 2023 Table 46 Raw'!J38</f>
        <v>0.24595900000000001</v>
      </c>
      <c r="H51" s="19">
        <f>'AEO 2023 Table 46 Raw'!K38</f>
        <v>0.27066499999999999</v>
      </c>
      <c r="I51" s="19">
        <f>'AEO 2023 Table 46 Raw'!L38</f>
        <v>0.29464200000000002</v>
      </c>
      <c r="J51" s="19">
        <f>'AEO 2023 Table 46 Raw'!M38</f>
        <v>0.317944</v>
      </c>
      <c r="K51" s="19">
        <f>'AEO 2023 Table 46 Raw'!N38</f>
        <v>0.339725</v>
      </c>
      <c r="L51" s="19">
        <f>'AEO 2023 Table 46 Raw'!O38</f>
        <v>0.36045199999999999</v>
      </c>
      <c r="M51" s="19">
        <f>'AEO 2023 Table 46 Raw'!P38</f>
        <v>0.38098700000000002</v>
      </c>
      <c r="N51" s="19">
        <f>'AEO 2023 Table 46 Raw'!Q38</f>
        <v>0.40107100000000001</v>
      </c>
      <c r="O51" s="19">
        <f>'AEO 2023 Table 46 Raw'!R38</f>
        <v>0.41955100000000001</v>
      </c>
      <c r="P51" s="19">
        <f>'AEO 2023 Table 46 Raw'!S38</f>
        <v>0.436693</v>
      </c>
      <c r="Q51" s="19">
        <f>'AEO 2023 Table 46 Raw'!T38</f>
        <v>0.45296900000000001</v>
      </c>
      <c r="R51" s="19">
        <f>'AEO 2023 Table 46 Raw'!U38</f>
        <v>0.469028</v>
      </c>
      <c r="S51" s="19">
        <f>'AEO 2023 Table 46 Raw'!V38</f>
        <v>0.48551899999999998</v>
      </c>
      <c r="T51" s="19">
        <f>'AEO 2023 Table 46 Raw'!W38</f>
        <v>0.50263599999999997</v>
      </c>
      <c r="U51" s="19">
        <f>'AEO 2023 Table 46 Raw'!X38</f>
        <v>0.52035500000000001</v>
      </c>
      <c r="V51" s="19">
        <f>'AEO 2023 Table 46 Raw'!Y38</f>
        <v>0.53812099999999996</v>
      </c>
      <c r="W51" s="19">
        <f>'AEO 2023 Table 46 Raw'!Z38</f>
        <v>0.55594699999999997</v>
      </c>
      <c r="X51" s="19">
        <f>'AEO 2023 Table 46 Raw'!AA38</f>
        <v>0.57360100000000003</v>
      </c>
      <c r="Y51" s="19">
        <f>'AEO 2023 Table 46 Raw'!AB38</f>
        <v>0.590862</v>
      </c>
      <c r="Z51" s="19">
        <f>'AEO 2023 Table 46 Raw'!AC38</f>
        <v>0.60809100000000005</v>
      </c>
      <c r="AA51" s="19">
        <f>'AEO 2023 Table 46 Raw'!AD38</f>
        <v>0.62568199999999996</v>
      </c>
      <c r="AB51" s="19">
        <f>'AEO 2023 Table 46 Raw'!AE38</f>
        <v>0.64353899999999997</v>
      </c>
      <c r="AC51" s="19">
        <f>'AEO 2023 Table 46 Raw'!AF38</f>
        <v>0.66165200000000002</v>
      </c>
      <c r="AD51" s="19">
        <f>'AEO 2023 Table 46 Raw'!AG38</f>
        <v>0.68012799999999995</v>
      </c>
      <c r="AE51" s="19">
        <f>'AEO 2023 Table 46 Raw'!AH38</f>
        <v>0.69880299999999995</v>
      </c>
      <c r="AF51" s="30">
        <f>'AEO 2023 Table 46 Raw'!AI38</f>
        <v>4.8000000000000001E-2</v>
      </c>
    </row>
    <row r="52" spans="1:32" ht="15" customHeight="1">
      <c r="A52" s="7" t="s">
        <v>464</v>
      </c>
      <c r="B52" s="16" t="s">
        <v>431</v>
      </c>
      <c r="C52" s="19">
        <f>'AEO 2023 Table 46 Raw'!F39</f>
        <v>1.0998000000000001E-2</v>
      </c>
      <c r="D52" s="19">
        <f>'AEO 2023 Table 46 Raw'!G39</f>
        <v>1.5812E-2</v>
      </c>
      <c r="E52" s="19">
        <f>'AEO 2023 Table 46 Raw'!H39</f>
        <v>2.2769999999999999E-2</v>
      </c>
      <c r="F52" s="19">
        <f>'AEO 2023 Table 46 Raw'!I39</f>
        <v>3.2281999999999998E-2</v>
      </c>
      <c r="G52" s="19">
        <f>'AEO 2023 Table 46 Raw'!J39</f>
        <v>4.4431999999999999E-2</v>
      </c>
      <c r="H52" s="19">
        <f>'AEO 2023 Table 46 Raw'!K39</f>
        <v>5.8401000000000002E-2</v>
      </c>
      <c r="I52" s="19">
        <f>'AEO 2023 Table 46 Raw'!L39</f>
        <v>7.424E-2</v>
      </c>
      <c r="J52" s="19">
        <f>'AEO 2023 Table 46 Raw'!M39</f>
        <v>9.1879000000000002E-2</v>
      </c>
      <c r="K52" s="19">
        <f>'AEO 2023 Table 46 Raw'!N39</f>
        <v>0.110764</v>
      </c>
      <c r="L52" s="19">
        <f>'AEO 2023 Table 46 Raw'!O39</f>
        <v>0.130941</v>
      </c>
      <c r="M52" s="19">
        <f>'AEO 2023 Table 46 Raw'!P39</f>
        <v>0.15276699999999999</v>
      </c>
      <c r="N52" s="19">
        <f>'AEO 2023 Table 46 Raw'!Q39</f>
        <v>0.176007</v>
      </c>
      <c r="O52" s="19">
        <f>'AEO 2023 Table 46 Raw'!R39</f>
        <v>0.199768</v>
      </c>
      <c r="P52" s="19">
        <f>'AEO 2023 Table 46 Raw'!S39</f>
        <v>0.22403600000000001</v>
      </c>
      <c r="Q52" s="19">
        <f>'AEO 2023 Table 46 Raw'!T39</f>
        <v>0.24896199999999999</v>
      </c>
      <c r="R52" s="19">
        <f>'AEO 2023 Table 46 Raw'!U39</f>
        <v>0.27486300000000002</v>
      </c>
      <c r="S52" s="19">
        <f>'AEO 2023 Table 46 Raw'!V39</f>
        <v>0.30209599999999998</v>
      </c>
      <c r="T52" s="19">
        <f>'AEO 2023 Table 46 Raw'!W39</f>
        <v>0.33073599999999997</v>
      </c>
      <c r="U52" s="19">
        <f>'AEO 2023 Table 46 Raw'!X39</f>
        <v>0.36068099999999997</v>
      </c>
      <c r="V52" s="19">
        <f>'AEO 2023 Table 46 Raw'!Y39</f>
        <v>0.39136100000000001</v>
      </c>
      <c r="W52" s="19">
        <f>'AEO 2023 Table 46 Raw'!Z39</f>
        <v>0.422678</v>
      </c>
      <c r="X52" s="19">
        <f>'AEO 2023 Table 46 Raw'!AA39</f>
        <v>0.45433400000000002</v>
      </c>
      <c r="Y52" s="19">
        <f>'AEO 2023 Table 46 Raw'!AB39</f>
        <v>0.48603099999999999</v>
      </c>
      <c r="Z52" s="19">
        <f>'AEO 2023 Table 46 Raw'!AC39</f>
        <v>0.51801699999999995</v>
      </c>
      <c r="AA52" s="19">
        <f>'AEO 2023 Table 46 Raw'!AD39</f>
        <v>0.55064599999999997</v>
      </c>
      <c r="AB52" s="19">
        <f>'AEO 2023 Table 46 Raw'!AE39</f>
        <v>0.58380799999999999</v>
      </c>
      <c r="AC52" s="19">
        <f>'AEO 2023 Table 46 Raw'!AF39</f>
        <v>0.61748999999999998</v>
      </c>
      <c r="AD52" s="19">
        <f>'AEO 2023 Table 46 Raw'!AG39</f>
        <v>0.65180099999999996</v>
      </c>
      <c r="AE52" s="19">
        <f>'AEO 2023 Table 46 Raw'!AH39</f>
        <v>0.68656700000000004</v>
      </c>
      <c r="AF52" s="30">
        <f>'AEO 2023 Table 46 Raw'!AI39</f>
        <v>0.159</v>
      </c>
    </row>
    <row r="53" spans="1:32" ht="15" customHeight="1">
      <c r="A53" s="7" t="s">
        <v>465</v>
      </c>
      <c r="B53" s="16" t="s">
        <v>433</v>
      </c>
      <c r="C53" s="19">
        <f>'AEO 2023 Table 46 Raw'!F40</f>
        <v>0</v>
      </c>
      <c r="D53" s="19">
        <f>'AEO 2023 Table 46 Raw'!G40</f>
        <v>0</v>
      </c>
      <c r="E53" s="19">
        <f>'AEO 2023 Table 46 Raw'!H40</f>
        <v>0</v>
      </c>
      <c r="F53" s="19">
        <f>'AEO 2023 Table 46 Raw'!I40</f>
        <v>0</v>
      </c>
      <c r="G53" s="19">
        <f>'AEO 2023 Table 46 Raw'!J40</f>
        <v>0</v>
      </c>
      <c r="H53" s="19">
        <f>'AEO 2023 Table 46 Raw'!K40</f>
        <v>0</v>
      </c>
      <c r="I53" s="19">
        <f>'AEO 2023 Table 46 Raw'!L40</f>
        <v>0</v>
      </c>
      <c r="J53" s="19">
        <f>'AEO 2023 Table 46 Raw'!M40</f>
        <v>0</v>
      </c>
      <c r="K53" s="19">
        <f>'AEO 2023 Table 46 Raw'!N40</f>
        <v>0</v>
      </c>
      <c r="L53" s="19">
        <f>'AEO 2023 Table 46 Raw'!O40</f>
        <v>0</v>
      </c>
      <c r="M53" s="19">
        <f>'AEO 2023 Table 46 Raw'!P40</f>
        <v>0</v>
      </c>
      <c r="N53" s="19">
        <f>'AEO 2023 Table 46 Raw'!Q40</f>
        <v>0</v>
      </c>
      <c r="O53" s="19">
        <f>'AEO 2023 Table 46 Raw'!R40</f>
        <v>0</v>
      </c>
      <c r="P53" s="19">
        <f>'AEO 2023 Table 46 Raw'!S40</f>
        <v>0</v>
      </c>
      <c r="Q53" s="19">
        <f>'AEO 2023 Table 46 Raw'!T40</f>
        <v>0</v>
      </c>
      <c r="R53" s="19">
        <f>'AEO 2023 Table 46 Raw'!U40</f>
        <v>0</v>
      </c>
      <c r="S53" s="19">
        <f>'AEO 2023 Table 46 Raw'!V40</f>
        <v>0</v>
      </c>
      <c r="T53" s="19">
        <f>'AEO 2023 Table 46 Raw'!W40</f>
        <v>0</v>
      </c>
      <c r="U53" s="19">
        <f>'AEO 2023 Table 46 Raw'!X40</f>
        <v>0</v>
      </c>
      <c r="V53" s="19">
        <f>'AEO 2023 Table 46 Raw'!Y40</f>
        <v>0</v>
      </c>
      <c r="W53" s="19">
        <f>'AEO 2023 Table 46 Raw'!Z40</f>
        <v>0</v>
      </c>
      <c r="X53" s="19">
        <f>'AEO 2023 Table 46 Raw'!AA40</f>
        <v>0</v>
      </c>
      <c r="Y53" s="19">
        <f>'AEO 2023 Table 46 Raw'!AB40</f>
        <v>0</v>
      </c>
      <c r="Z53" s="19">
        <f>'AEO 2023 Table 46 Raw'!AC40</f>
        <v>0</v>
      </c>
      <c r="AA53" s="19">
        <f>'AEO 2023 Table 46 Raw'!AD40</f>
        <v>0</v>
      </c>
      <c r="AB53" s="19">
        <f>'AEO 2023 Table 46 Raw'!AE40</f>
        <v>0</v>
      </c>
      <c r="AC53" s="19">
        <f>'AEO 2023 Table 46 Raw'!AF40</f>
        <v>0</v>
      </c>
      <c r="AD53" s="19">
        <f>'AEO 2023 Table 46 Raw'!AG40</f>
        <v>0</v>
      </c>
      <c r="AE53" s="19">
        <f>'AEO 2023 Table 46 Raw'!AH40</f>
        <v>0</v>
      </c>
      <c r="AF53" s="30" t="str">
        <f>'AEO 2023 Table 46 Raw'!AI40</f>
        <v>- -</v>
      </c>
    </row>
    <row r="54" spans="1:32" ht="15" customHeight="1">
      <c r="A54" s="7" t="s">
        <v>466</v>
      </c>
      <c r="B54" s="16" t="s">
        <v>435</v>
      </c>
      <c r="C54" s="19">
        <f>'AEO 2023 Table 46 Raw'!F41</f>
        <v>1.4860070000000001</v>
      </c>
      <c r="D54" s="19">
        <f>'AEO 2023 Table 46 Raw'!G41</f>
        <v>1.7714510000000001</v>
      </c>
      <c r="E54" s="19">
        <f>'AEO 2023 Table 46 Raw'!H41</f>
        <v>2.0501170000000002</v>
      </c>
      <c r="F54" s="19">
        <f>'AEO 2023 Table 46 Raw'!I41</f>
        <v>2.3524569999999998</v>
      </c>
      <c r="G54" s="19">
        <f>'AEO 2023 Table 46 Raw'!J41</f>
        <v>2.6537160000000002</v>
      </c>
      <c r="H54" s="19">
        <f>'AEO 2023 Table 46 Raw'!K41</f>
        <v>2.9155169999999999</v>
      </c>
      <c r="I54" s="19">
        <f>'AEO 2023 Table 46 Raw'!L41</f>
        <v>3.1558120000000001</v>
      </c>
      <c r="J54" s="19">
        <f>'AEO 2023 Table 46 Raw'!M41</f>
        <v>3.3776169999999999</v>
      </c>
      <c r="K54" s="19">
        <f>'AEO 2023 Table 46 Raw'!N41</f>
        <v>3.5757539999999999</v>
      </c>
      <c r="L54" s="19">
        <f>'AEO 2023 Table 46 Raw'!O41</f>
        <v>3.7567569999999999</v>
      </c>
      <c r="M54" s="19">
        <f>'AEO 2023 Table 46 Raw'!P41</f>
        <v>3.9304410000000001</v>
      </c>
      <c r="N54" s="19">
        <f>'AEO 2023 Table 46 Raw'!Q41</f>
        <v>4.0947690000000003</v>
      </c>
      <c r="O54" s="19">
        <f>'AEO 2023 Table 46 Raw'!R41</f>
        <v>4.2382939999999998</v>
      </c>
      <c r="P54" s="19">
        <f>'AEO 2023 Table 46 Raw'!S41</f>
        <v>4.3639780000000004</v>
      </c>
      <c r="Q54" s="19">
        <f>'AEO 2023 Table 46 Raw'!T41</f>
        <v>4.4781870000000001</v>
      </c>
      <c r="R54" s="19">
        <f>'AEO 2023 Table 46 Raw'!U41</f>
        <v>4.5877489999999996</v>
      </c>
      <c r="S54" s="19">
        <f>'AEO 2023 Table 46 Raw'!V41</f>
        <v>4.69895</v>
      </c>
      <c r="T54" s="19">
        <f>'AEO 2023 Table 46 Raw'!W41</f>
        <v>4.8137369999999997</v>
      </c>
      <c r="U54" s="19">
        <f>'AEO 2023 Table 46 Raw'!X41</f>
        <v>4.9321109999999999</v>
      </c>
      <c r="V54" s="19">
        <f>'AEO 2023 Table 46 Raw'!Y41</f>
        <v>5.0488580000000001</v>
      </c>
      <c r="W54" s="19">
        <f>'AEO 2023 Table 46 Raw'!Z41</f>
        <v>5.1645690000000002</v>
      </c>
      <c r="X54" s="19">
        <f>'AEO 2023 Table 46 Raw'!AA41</f>
        <v>5.2774080000000003</v>
      </c>
      <c r="Y54" s="19">
        <f>'AEO 2023 Table 46 Raw'!AB41</f>
        <v>5.385243</v>
      </c>
      <c r="Z54" s="19">
        <f>'AEO 2023 Table 46 Raw'!AC41</f>
        <v>5.491466</v>
      </c>
      <c r="AA54" s="19">
        <f>'AEO 2023 Table 46 Raw'!AD41</f>
        <v>5.5998190000000001</v>
      </c>
      <c r="AB54" s="19">
        <f>'AEO 2023 Table 46 Raw'!AE41</f>
        <v>5.7090930000000002</v>
      </c>
      <c r="AC54" s="19">
        <f>'AEO 2023 Table 46 Raw'!AF41</f>
        <v>5.8187990000000003</v>
      </c>
      <c r="AD54" s="19">
        <f>'AEO 2023 Table 46 Raw'!AG41</f>
        <v>5.9302020000000004</v>
      </c>
      <c r="AE54" s="19">
        <f>'AEO 2023 Table 46 Raw'!AH41</f>
        <v>6.0421950000000004</v>
      </c>
      <c r="AF54" s="30">
        <f>'AEO 2023 Table 46 Raw'!AI41</f>
        <v>5.0999999999999997E-2</v>
      </c>
    </row>
    <row r="55" spans="1:32" ht="15" customHeight="1">
      <c r="A55" s="7" t="s">
        <v>467</v>
      </c>
      <c r="B55" s="16" t="s">
        <v>437</v>
      </c>
      <c r="C55" s="19">
        <f>'AEO 2023 Table 46 Raw'!F42</f>
        <v>2.7307000000000001E-2</v>
      </c>
      <c r="D55" s="19">
        <f>'AEO 2023 Table 46 Raw'!G42</f>
        <v>2.538E-2</v>
      </c>
      <c r="E55" s="19">
        <f>'AEO 2023 Table 46 Raw'!H42</f>
        <v>2.3747000000000001E-2</v>
      </c>
      <c r="F55" s="19">
        <f>'AEO 2023 Table 46 Raw'!I42</f>
        <v>2.2165000000000001E-2</v>
      </c>
      <c r="G55" s="19">
        <f>'AEO 2023 Table 46 Raw'!J42</f>
        <v>2.0631E-2</v>
      </c>
      <c r="H55" s="19">
        <f>'AEO 2023 Table 46 Raw'!K42</f>
        <v>1.9140999999999998E-2</v>
      </c>
      <c r="I55" s="19">
        <f>'AEO 2023 Table 46 Raw'!L42</f>
        <v>1.7766000000000001E-2</v>
      </c>
      <c r="J55" s="19">
        <f>'AEO 2023 Table 46 Raw'!M42</f>
        <v>1.6636999999999999E-2</v>
      </c>
      <c r="K55" s="19">
        <f>'AEO 2023 Table 46 Raw'!N42</f>
        <v>1.5591000000000001E-2</v>
      </c>
      <c r="L55" s="19">
        <f>'AEO 2023 Table 46 Raw'!O42</f>
        <v>1.4572999999999999E-2</v>
      </c>
      <c r="M55" s="19">
        <f>'AEO 2023 Table 46 Raw'!P42</f>
        <v>1.3602E-2</v>
      </c>
      <c r="N55" s="19">
        <f>'AEO 2023 Table 46 Raw'!Q42</f>
        <v>1.268E-2</v>
      </c>
      <c r="O55" s="19">
        <f>'AEO 2023 Table 46 Raw'!R42</f>
        <v>1.1816E-2</v>
      </c>
      <c r="P55" s="19">
        <f>'AEO 2023 Table 46 Raw'!S42</f>
        <v>1.1003000000000001E-2</v>
      </c>
      <c r="Q55" s="19">
        <f>'AEO 2023 Table 46 Raw'!T42</f>
        <v>1.0246999999999999E-2</v>
      </c>
      <c r="R55" s="19">
        <f>'AEO 2023 Table 46 Raw'!U42</f>
        <v>9.6509999999999999E-3</v>
      </c>
      <c r="S55" s="19">
        <f>'AEO 2023 Table 46 Raw'!V42</f>
        <v>9.0790000000000003E-3</v>
      </c>
      <c r="T55" s="19">
        <f>'AEO 2023 Table 46 Raw'!W42</f>
        <v>8.5800000000000008E-3</v>
      </c>
      <c r="U55" s="19">
        <f>'AEO 2023 Table 46 Raw'!X42</f>
        <v>8.1089999999999999E-3</v>
      </c>
      <c r="V55" s="19">
        <f>'AEO 2023 Table 46 Raw'!Y42</f>
        <v>7.6639999999999998E-3</v>
      </c>
      <c r="W55" s="19">
        <f>'AEO 2023 Table 46 Raw'!Z42</f>
        <v>7.2430000000000003E-3</v>
      </c>
      <c r="X55" s="19">
        <f>'AEO 2023 Table 46 Raw'!AA42</f>
        <v>6.8459999999999997E-3</v>
      </c>
      <c r="Y55" s="19">
        <f>'AEO 2023 Table 46 Raw'!AB42</f>
        <v>6.4700000000000001E-3</v>
      </c>
      <c r="Z55" s="19">
        <f>'AEO 2023 Table 46 Raw'!AC42</f>
        <v>6.1149999999999998E-3</v>
      </c>
      <c r="AA55" s="19">
        <f>'AEO 2023 Table 46 Raw'!AD42</f>
        <v>5.7800000000000004E-3</v>
      </c>
      <c r="AB55" s="19">
        <f>'AEO 2023 Table 46 Raw'!AE42</f>
        <v>5.463E-3</v>
      </c>
      <c r="AC55" s="19">
        <f>'AEO 2023 Table 46 Raw'!AF42</f>
        <v>5.1640000000000002E-3</v>
      </c>
      <c r="AD55" s="19">
        <f>'AEO 2023 Table 46 Raw'!AG42</f>
        <v>4.8809999999999999E-3</v>
      </c>
      <c r="AE55" s="19">
        <f>'AEO 2023 Table 46 Raw'!AH42</f>
        <v>4.6129999999999999E-3</v>
      </c>
      <c r="AF55" s="30">
        <f>'AEO 2023 Table 46 Raw'!AI42</f>
        <v>-6.2E-2</v>
      </c>
    </row>
    <row r="56" spans="1:32" ht="15" customHeight="1">
      <c r="A56" s="7" t="s">
        <v>468</v>
      </c>
      <c r="B56" s="16" t="s">
        <v>439</v>
      </c>
      <c r="C56" s="19">
        <f>'AEO 2023 Table 46 Raw'!F43</f>
        <v>2.1069000000000001E-2</v>
      </c>
      <c r="D56" s="19">
        <f>'AEO 2023 Table 46 Raw'!G43</f>
        <v>1.942E-2</v>
      </c>
      <c r="E56" s="19">
        <f>'AEO 2023 Table 46 Raw'!H43</f>
        <v>1.8349000000000001E-2</v>
      </c>
      <c r="F56" s="19">
        <f>'AEO 2023 Table 46 Raw'!I43</f>
        <v>1.7337999999999999E-2</v>
      </c>
      <c r="G56" s="19">
        <f>'AEO 2023 Table 46 Raw'!J43</f>
        <v>1.6382000000000001E-2</v>
      </c>
      <c r="H56" s="19">
        <f>'AEO 2023 Table 46 Raw'!K43</f>
        <v>1.5479E-2</v>
      </c>
      <c r="I56" s="19">
        <f>'AEO 2023 Table 46 Raw'!L43</f>
        <v>1.4626E-2</v>
      </c>
      <c r="J56" s="19">
        <f>'AEO 2023 Table 46 Raw'!M43</f>
        <v>1.3821E-2</v>
      </c>
      <c r="K56" s="19">
        <f>'AEO 2023 Table 46 Raw'!N43</f>
        <v>1.3058999999999999E-2</v>
      </c>
      <c r="L56" s="19">
        <f>'AEO 2023 Table 46 Raw'!O43</f>
        <v>1.234E-2</v>
      </c>
      <c r="M56" s="19">
        <f>'AEO 2023 Table 46 Raw'!P43</f>
        <v>1.1660999999999999E-2</v>
      </c>
      <c r="N56" s="19">
        <f>'AEO 2023 Table 46 Raw'!Q43</f>
        <v>1.1018999999999999E-2</v>
      </c>
      <c r="O56" s="19">
        <f>'AEO 2023 Table 46 Raw'!R43</f>
        <v>1.0413E-2</v>
      </c>
      <c r="P56" s="19">
        <f>'AEO 2023 Table 46 Raw'!S43</f>
        <v>9.8399999999999998E-3</v>
      </c>
      <c r="Q56" s="19">
        <f>'AEO 2023 Table 46 Raw'!T43</f>
        <v>9.299E-3</v>
      </c>
      <c r="R56" s="19">
        <f>'AEO 2023 Table 46 Raw'!U43</f>
        <v>8.7869999999999997E-3</v>
      </c>
      <c r="S56" s="19">
        <f>'AEO 2023 Table 46 Raw'!V43</f>
        <v>8.3040000000000006E-3</v>
      </c>
      <c r="T56" s="19">
        <f>'AEO 2023 Table 46 Raw'!W43</f>
        <v>7.8480000000000008E-3</v>
      </c>
      <c r="U56" s="19">
        <f>'AEO 2023 Table 46 Raw'!X43</f>
        <v>7.417E-3</v>
      </c>
      <c r="V56" s="19">
        <f>'AEO 2023 Table 46 Raw'!Y43</f>
        <v>7.0089999999999996E-3</v>
      </c>
      <c r="W56" s="19">
        <f>'AEO 2023 Table 46 Raw'!Z43</f>
        <v>6.6239999999999997E-3</v>
      </c>
      <c r="X56" s="19">
        <f>'AEO 2023 Table 46 Raw'!AA43</f>
        <v>6.2599999999999999E-3</v>
      </c>
      <c r="Y56" s="19">
        <f>'AEO 2023 Table 46 Raw'!AB43</f>
        <v>5.9160000000000003E-3</v>
      </c>
      <c r="Z56" s="19">
        <f>'AEO 2023 Table 46 Raw'!AC43</f>
        <v>5.5919999999999997E-3</v>
      </c>
      <c r="AA56" s="19">
        <f>'AEO 2023 Table 46 Raw'!AD43</f>
        <v>5.2849999999999998E-3</v>
      </c>
      <c r="AB56" s="19">
        <f>'AEO 2023 Table 46 Raw'!AE43</f>
        <v>4.9950000000000003E-3</v>
      </c>
      <c r="AC56" s="19">
        <f>'AEO 2023 Table 46 Raw'!AF43</f>
        <v>4.7210000000000004E-3</v>
      </c>
      <c r="AD56" s="19">
        <f>'AEO 2023 Table 46 Raw'!AG43</f>
        <v>4.4619999999999998E-3</v>
      </c>
      <c r="AE56" s="19">
        <f>'AEO 2023 Table 46 Raw'!AH43</f>
        <v>4.2170000000000003E-3</v>
      </c>
      <c r="AF56" s="30">
        <f>'AEO 2023 Table 46 Raw'!AI43</f>
        <v>-5.6000000000000001E-2</v>
      </c>
    </row>
    <row r="57" spans="1:32" ht="15" customHeight="1">
      <c r="A57" s="7" t="s">
        <v>469</v>
      </c>
      <c r="B57" s="16" t="s">
        <v>441</v>
      </c>
      <c r="C57" s="19">
        <f>'AEO 2023 Table 46 Raw'!F44</f>
        <v>5.5518999999999999E-2</v>
      </c>
      <c r="D57" s="19">
        <f>'AEO 2023 Table 46 Raw'!G44</f>
        <v>4.9865E-2</v>
      </c>
      <c r="E57" s="19">
        <f>'AEO 2023 Table 46 Raw'!H44</f>
        <v>4.4665000000000003E-2</v>
      </c>
      <c r="F57" s="19">
        <f>'AEO 2023 Table 46 Raw'!I44</f>
        <v>4.0508000000000002E-2</v>
      </c>
      <c r="G57" s="19">
        <f>'AEO 2023 Table 46 Raw'!J44</f>
        <v>3.746E-2</v>
      </c>
      <c r="H57" s="19">
        <f>'AEO 2023 Table 46 Raw'!K44</f>
        <v>3.5242999999999997E-2</v>
      </c>
      <c r="I57" s="19">
        <f>'AEO 2023 Table 46 Raw'!L44</f>
        <v>3.3300999999999997E-2</v>
      </c>
      <c r="J57" s="19">
        <f>'AEO 2023 Table 46 Raw'!M44</f>
        <v>3.1466000000000001E-2</v>
      </c>
      <c r="K57" s="19">
        <f>'AEO 2023 Table 46 Raw'!N44</f>
        <v>2.9732999999999999E-2</v>
      </c>
      <c r="L57" s="19">
        <f>'AEO 2023 Table 46 Raw'!O44</f>
        <v>2.8094999999999998E-2</v>
      </c>
      <c r="M57" s="19">
        <f>'AEO 2023 Table 46 Raw'!P44</f>
        <v>2.6547999999999999E-2</v>
      </c>
      <c r="N57" s="19">
        <f>'AEO 2023 Table 46 Raw'!Q44</f>
        <v>2.5087000000000002E-2</v>
      </c>
      <c r="O57" s="19">
        <f>'AEO 2023 Table 46 Raw'!R44</f>
        <v>2.3706000000000001E-2</v>
      </c>
      <c r="P57" s="19">
        <f>'AEO 2023 Table 46 Raw'!S44</f>
        <v>2.2401999999999998E-2</v>
      </c>
      <c r="Q57" s="19">
        <f>'AEO 2023 Table 46 Raw'!T44</f>
        <v>2.1169E-2</v>
      </c>
      <c r="R57" s="19">
        <f>'AEO 2023 Table 46 Raw'!U44</f>
        <v>2.0004999999999998E-2</v>
      </c>
      <c r="S57" s="19">
        <f>'AEO 2023 Table 46 Raw'!V44</f>
        <v>1.8905000000000002E-2</v>
      </c>
      <c r="T57" s="19">
        <f>'AEO 2023 Table 46 Raw'!W44</f>
        <v>1.7864999999999999E-2</v>
      </c>
      <c r="U57" s="19">
        <f>'AEO 2023 Table 46 Raw'!X44</f>
        <v>1.6882999999999999E-2</v>
      </c>
      <c r="V57" s="19">
        <f>'AEO 2023 Table 46 Raw'!Y44</f>
        <v>1.5955E-2</v>
      </c>
      <c r="W57" s="19">
        <f>'AEO 2023 Table 46 Raw'!Z44</f>
        <v>1.5077999999999999E-2</v>
      </c>
      <c r="X57" s="19">
        <f>'AEO 2023 Table 46 Raw'!AA44</f>
        <v>1.4250000000000001E-2</v>
      </c>
      <c r="Y57" s="19">
        <f>'AEO 2023 Table 46 Raw'!AB44</f>
        <v>1.3467E-2</v>
      </c>
      <c r="Z57" s="19">
        <f>'AEO 2023 Table 46 Raw'!AC44</f>
        <v>1.2728E-2</v>
      </c>
      <c r="AA57" s="19">
        <f>'AEO 2023 Table 46 Raw'!AD44</f>
        <v>1.2029E-2</v>
      </c>
      <c r="AB57" s="19">
        <f>'AEO 2023 Table 46 Raw'!AE44</f>
        <v>1.1369000000000001E-2</v>
      </c>
      <c r="AC57" s="19">
        <f>'AEO 2023 Table 46 Raw'!AF44</f>
        <v>1.0744999999999999E-2</v>
      </c>
      <c r="AD57" s="19">
        <f>'AEO 2023 Table 46 Raw'!AG44</f>
        <v>1.0155000000000001E-2</v>
      </c>
      <c r="AE57" s="19">
        <f>'AEO 2023 Table 46 Raw'!AH44</f>
        <v>9.5980000000000006E-3</v>
      </c>
      <c r="AF57" s="30">
        <f>'AEO 2023 Table 46 Raw'!AI44</f>
        <v>-6.0999999999999999E-2</v>
      </c>
    </row>
    <row r="58" spans="1:32" ht="15" customHeight="1">
      <c r="A58" s="7" t="s">
        <v>470</v>
      </c>
      <c r="B58" s="16" t="s">
        <v>443</v>
      </c>
      <c r="C58" s="19">
        <f>'AEO 2023 Table 46 Raw'!F45</f>
        <v>4.9424999999999997E-2</v>
      </c>
      <c r="D58" s="19">
        <f>'AEO 2023 Table 46 Raw'!G45</f>
        <v>4.5553999999999997E-2</v>
      </c>
      <c r="E58" s="19">
        <f>'AEO 2023 Table 46 Raw'!H45</f>
        <v>4.3041999999999997E-2</v>
      </c>
      <c r="F58" s="19">
        <f>'AEO 2023 Table 46 Raw'!I45</f>
        <v>4.0668999999999997E-2</v>
      </c>
      <c r="G58" s="19">
        <f>'AEO 2023 Table 46 Raw'!J45</f>
        <v>3.8427000000000003E-2</v>
      </c>
      <c r="H58" s="19">
        <f>'AEO 2023 Table 46 Raw'!K45</f>
        <v>3.6310000000000002E-2</v>
      </c>
      <c r="I58" s="19">
        <f>'AEO 2023 Table 46 Raw'!L45</f>
        <v>3.4308999999999999E-2</v>
      </c>
      <c r="J58" s="19">
        <f>'AEO 2023 Table 46 Raw'!M45</f>
        <v>3.2419000000000003E-2</v>
      </c>
      <c r="K58" s="19">
        <f>'AEO 2023 Table 46 Raw'!N45</f>
        <v>3.0634000000000002E-2</v>
      </c>
      <c r="L58" s="19">
        <f>'AEO 2023 Table 46 Raw'!O45</f>
        <v>2.8947000000000001E-2</v>
      </c>
      <c r="M58" s="19">
        <f>'AEO 2023 Table 46 Raw'!P45</f>
        <v>2.7354E-2</v>
      </c>
      <c r="N58" s="19">
        <f>'AEO 2023 Table 46 Raw'!Q45</f>
        <v>2.5847999999999999E-2</v>
      </c>
      <c r="O58" s="19">
        <f>'AEO 2023 Table 46 Raw'!R45</f>
        <v>2.4426E-2</v>
      </c>
      <c r="P58" s="19">
        <f>'AEO 2023 Table 46 Raw'!S45</f>
        <v>2.3081999999999998E-2</v>
      </c>
      <c r="Q58" s="19">
        <f>'AEO 2023 Table 46 Raw'!T45</f>
        <v>2.1812000000000002E-2</v>
      </c>
      <c r="R58" s="19">
        <f>'AEO 2023 Table 46 Raw'!U45</f>
        <v>2.0612999999999999E-2</v>
      </c>
      <c r="S58" s="19">
        <f>'AEO 2023 Table 46 Raw'!V45</f>
        <v>1.9479E-2</v>
      </c>
      <c r="T58" s="19">
        <f>'AEO 2023 Table 46 Raw'!W45</f>
        <v>1.8408999999999998E-2</v>
      </c>
      <c r="U58" s="19">
        <f>'AEO 2023 Table 46 Raw'!X45</f>
        <v>1.7396999999999999E-2</v>
      </c>
      <c r="V58" s="19">
        <f>'AEO 2023 Table 46 Raw'!Y45</f>
        <v>1.6441000000000001E-2</v>
      </c>
      <c r="W58" s="19">
        <f>'AEO 2023 Table 46 Raw'!Z45</f>
        <v>1.5538E-2</v>
      </c>
      <c r="X58" s="19">
        <f>'AEO 2023 Table 46 Raw'!AA45</f>
        <v>1.4683999999999999E-2</v>
      </c>
      <c r="Y58" s="19">
        <f>'AEO 2023 Table 46 Raw'!AB45</f>
        <v>1.3878E-2</v>
      </c>
      <c r="Z58" s="19">
        <f>'AEO 2023 Table 46 Raw'!AC45</f>
        <v>1.3115999999999999E-2</v>
      </c>
      <c r="AA58" s="19">
        <f>'AEO 2023 Table 46 Raw'!AD45</f>
        <v>1.2396000000000001E-2</v>
      </c>
      <c r="AB58" s="19">
        <f>'AEO 2023 Table 46 Raw'!AE45</f>
        <v>1.1716000000000001E-2</v>
      </c>
      <c r="AC58" s="19">
        <f>'AEO 2023 Table 46 Raw'!AF45</f>
        <v>1.1073E-2</v>
      </c>
      <c r="AD58" s="19">
        <f>'AEO 2023 Table 46 Raw'!AG45</f>
        <v>1.0466E-2</v>
      </c>
      <c r="AE58" s="19">
        <f>'AEO 2023 Table 46 Raw'!AH45</f>
        <v>9.8919999999999998E-3</v>
      </c>
      <c r="AF58" s="30">
        <f>'AEO 2023 Table 46 Raw'!AI45</f>
        <v>-5.6000000000000001E-2</v>
      </c>
    </row>
    <row r="59" spans="1:32" ht="15" customHeight="1">
      <c r="A59" s="7" t="s">
        <v>471</v>
      </c>
      <c r="B59" s="16" t="s">
        <v>445</v>
      </c>
      <c r="C59" s="19">
        <f>'AEO 2023 Table 46 Raw'!F46</f>
        <v>0</v>
      </c>
      <c r="D59" s="19">
        <f>'AEO 2023 Table 46 Raw'!G46</f>
        <v>0</v>
      </c>
      <c r="E59" s="19">
        <f>'AEO 2023 Table 46 Raw'!H46</f>
        <v>0</v>
      </c>
      <c r="F59" s="19">
        <f>'AEO 2023 Table 46 Raw'!I46</f>
        <v>0</v>
      </c>
      <c r="G59" s="19">
        <f>'AEO 2023 Table 46 Raw'!J46</f>
        <v>0</v>
      </c>
      <c r="H59" s="19">
        <f>'AEO 2023 Table 46 Raw'!K46</f>
        <v>0</v>
      </c>
      <c r="I59" s="19">
        <f>'AEO 2023 Table 46 Raw'!L46</f>
        <v>0</v>
      </c>
      <c r="J59" s="19">
        <f>'AEO 2023 Table 46 Raw'!M46</f>
        <v>0</v>
      </c>
      <c r="K59" s="19">
        <f>'AEO 2023 Table 46 Raw'!N46</f>
        <v>0</v>
      </c>
      <c r="L59" s="19">
        <f>'AEO 2023 Table 46 Raw'!O46</f>
        <v>0</v>
      </c>
      <c r="M59" s="19">
        <f>'AEO 2023 Table 46 Raw'!P46</f>
        <v>0</v>
      </c>
      <c r="N59" s="19">
        <f>'AEO 2023 Table 46 Raw'!Q46</f>
        <v>0</v>
      </c>
      <c r="O59" s="19">
        <f>'AEO 2023 Table 46 Raw'!R46</f>
        <v>0</v>
      </c>
      <c r="P59" s="19">
        <f>'AEO 2023 Table 46 Raw'!S46</f>
        <v>0</v>
      </c>
      <c r="Q59" s="19">
        <f>'AEO 2023 Table 46 Raw'!T46</f>
        <v>0</v>
      </c>
      <c r="R59" s="19">
        <f>'AEO 2023 Table 46 Raw'!U46</f>
        <v>0</v>
      </c>
      <c r="S59" s="19">
        <f>'AEO 2023 Table 46 Raw'!V46</f>
        <v>0</v>
      </c>
      <c r="T59" s="19">
        <f>'AEO 2023 Table 46 Raw'!W46</f>
        <v>0</v>
      </c>
      <c r="U59" s="19">
        <f>'AEO 2023 Table 46 Raw'!X46</f>
        <v>0</v>
      </c>
      <c r="V59" s="19">
        <f>'AEO 2023 Table 46 Raw'!Y46</f>
        <v>0</v>
      </c>
      <c r="W59" s="19">
        <f>'AEO 2023 Table 46 Raw'!Z46</f>
        <v>0</v>
      </c>
      <c r="X59" s="19">
        <f>'AEO 2023 Table 46 Raw'!AA46</f>
        <v>0</v>
      </c>
      <c r="Y59" s="19">
        <f>'AEO 2023 Table 46 Raw'!AB46</f>
        <v>0</v>
      </c>
      <c r="Z59" s="19">
        <f>'AEO 2023 Table 46 Raw'!AC46</f>
        <v>0</v>
      </c>
      <c r="AA59" s="19">
        <f>'AEO 2023 Table 46 Raw'!AD46</f>
        <v>0</v>
      </c>
      <c r="AB59" s="19">
        <f>'AEO 2023 Table 46 Raw'!AE46</f>
        <v>0</v>
      </c>
      <c r="AC59" s="19">
        <f>'AEO 2023 Table 46 Raw'!AF46</f>
        <v>0</v>
      </c>
      <c r="AD59" s="19">
        <f>'AEO 2023 Table 46 Raw'!AG46</f>
        <v>0</v>
      </c>
      <c r="AE59" s="19">
        <f>'AEO 2023 Table 46 Raw'!AH46</f>
        <v>0</v>
      </c>
      <c r="AF59" s="30" t="str">
        <f>'AEO 2023 Table 46 Raw'!AI46</f>
        <v>- -</v>
      </c>
    </row>
    <row r="60" spans="1:32" ht="15" customHeight="1">
      <c r="A60" s="7" t="s">
        <v>472</v>
      </c>
      <c r="B60" s="16" t="s">
        <v>447</v>
      </c>
      <c r="C60" s="19">
        <f>'AEO 2023 Table 46 Raw'!F47</f>
        <v>2.3E-5</v>
      </c>
      <c r="D60" s="19">
        <f>'AEO 2023 Table 46 Raw'!G47</f>
        <v>6.4999999999999994E-5</v>
      </c>
      <c r="E60" s="19">
        <f>'AEO 2023 Table 46 Raw'!H47</f>
        <v>1.2999999999999999E-4</v>
      </c>
      <c r="F60" s="19">
        <f>'AEO 2023 Table 46 Raw'!I47</f>
        <v>2.2100000000000001E-4</v>
      </c>
      <c r="G60" s="19">
        <f>'AEO 2023 Table 46 Raw'!J47</f>
        <v>3.3599999999999998E-4</v>
      </c>
      <c r="H60" s="19">
        <f>'AEO 2023 Table 46 Raw'!K47</f>
        <v>4.7199999999999998E-4</v>
      </c>
      <c r="I60" s="19">
        <f>'AEO 2023 Table 46 Raw'!L47</f>
        <v>6.3000000000000003E-4</v>
      </c>
      <c r="J60" s="19">
        <f>'AEO 2023 Table 46 Raw'!M47</f>
        <v>8.0900000000000004E-4</v>
      </c>
      <c r="K60" s="19">
        <f>'AEO 2023 Table 46 Raw'!N47</f>
        <v>1.0039999999999999E-3</v>
      </c>
      <c r="L60" s="19">
        <f>'AEO 2023 Table 46 Raw'!O47</f>
        <v>1.2149999999999999E-3</v>
      </c>
      <c r="M60" s="19">
        <f>'AEO 2023 Table 46 Raw'!P47</f>
        <v>1.444E-3</v>
      </c>
      <c r="N60" s="19">
        <f>'AEO 2023 Table 46 Raw'!Q47</f>
        <v>1.689E-3</v>
      </c>
      <c r="O60" s="19">
        <f>'AEO 2023 Table 46 Raw'!R47</f>
        <v>1.9430000000000001E-3</v>
      </c>
      <c r="P60" s="19">
        <f>'AEO 2023 Table 46 Raw'!S47</f>
        <v>2.2030000000000001E-3</v>
      </c>
      <c r="Q60" s="19">
        <f>'AEO 2023 Table 46 Raw'!T47</f>
        <v>2.4719999999999998E-3</v>
      </c>
      <c r="R60" s="19">
        <f>'AEO 2023 Table 46 Raw'!U47</f>
        <v>2.751E-3</v>
      </c>
      <c r="S60" s="19">
        <f>'AEO 2023 Table 46 Raw'!V47</f>
        <v>3.042E-3</v>
      </c>
      <c r="T60" s="19">
        <f>'AEO 2023 Table 46 Raw'!W47</f>
        <v>3.3470000000000001E-3</v>
      </c>
      <c r="U60" s="19">
        <f>'AEO 2023 Table 46 Raw'!X47</f>
        <v>3.666E-3</v>
      </c>
      <c r="V60" s="19">
        <f>'AEO 2023 Table 46 Raw'!Y47</f>
        <v>3.993E-3</v>
      </c>
      <c r="W60" s="19">
        <f>'AEO 2023 Table 46 Raw'!Z47</f>
        <v>4.3290000000000004E-3</v>
      </c>
      <c r="X60" s="19">
        <f>'AEO 2023 Table 46 Raw'!AA47</f>
        <v>4.6709999999999998E-3</v>
      </c>
      <c r="Y60" s="19">
        <f>'AEO 2023 Table 46 Raw'!AB47</f>
        <v>5.0150000000000004E-3</v>
      </c>
      <c r="Z60" s="19">
        <f>'AEO 2023 Table 46 Raw'!AC47</f>
        <v>5.365E-3</v>
      </c>
      <c r="AA60" s="19">
        <f>'AEO 2023 Table 46 Raw'!AD47</f>
        <v>5.7210000000000004E-3</v>
      </c>
      <c r="AB60" s="19">
        <f>'AEO 2023 Table 46 Raw'!AE47</f>
        <v>6.084E-3</v>
      </c>
      <c r="AC60" s="19">
        <f>'AEO 2023 Table 46 Raw'!AF47</f>
        <v>6.4520000000000003E-3</v>
      </c>
      <c r="AD60" s="19">
        <f>'AEO 2023 Table 46 Raw'!AG47</f>
        <v>6.8279999999999999E-3</v>
      </c>
      <c r="AE60" s="19">
        <f>'AEO 2023 Table 46 Raw'!AH47</f>
        <v>7.2100000000000003E-3</v>
      </c>
      <c r="AF60" s="30">
        <f>'AEO 2023 Table 46 Raw'!AI47</f>
        <v>0.22900000000000001</v>
      </c>
    </row>
    <row r="61" spans="1:32" ht="15" customHeight="1">
      <c r="A61" s="7" t="s">
        <v>473</v>
      </c>
      <c r="B61" s="16" t="s">
        <v>474</v>
      </c>
      <c r="C61" s="19">
        <f>'AEO 2023 Table 46 Raw'!F48</f>
        <v>15.113032</v>
      </c>
      <c r="D61" s="19">
        <f>'AEO 2023 Table 46 Raw'!G48</f>
        <v>14.362161</v>
      </c>
      <c r="E61" s="19">
        <f>'AEO 2023 Table 46 Raw'!H48</f>
        <v>13.78215</v>
      </c>
      <c r="F61" s="19">
        <f>'AEO 2023 Table 46 Raw'!I48</f>
        <v>13.317646</v>
      </c>
      <c r="G61" s="19">
        <f>'AEO 2023 Table 46 Raw'!J48</f>
        <v>13.015288999999999</v>
      </c>
      <c r="H61" s="19">
        <f>'AEO 2023 Table 46 Raw'!K48</f>
        <v>12.713843000000001</v>
      </c>
      <c r="I61" s="19">
        <f>'AEO 2023 Table 46 Raw'!L48</f>
        <v>12.48873</v>
      </c>
      <c r="J61" s="19">
        <f>'AEO 2023 Table 46 Raw'!M48</f>
        <v>12.357347000000001</v>
      </c>
      <c r="K61" s="19">
        <f>'AEO 2023 Table 46 Raw'!N48</f>
        <v>12.277528999999999</v>
      </c>
      <c r="L61" s="19">
        <f>'AEO 2023 Table 46 Raw'!O48</f>
        <v>12.262755</v>
      </c>
      <c r="M61" s="19">
        <f>'AEO 2023 Table 46 Raw'!P48</f>
        <v>12.349518</v>
      </c>
      <c r="N61" s="19">
        <f>'AEO 2023 Table 46 Raw'!Q48</f>
        <v>12.516215000000001</v>
      </c>
      <c r="O61" s="19">
        <f>'AEO 2023 Table 46 Raw'!R48</f>
        <v>12.690412999999999</v>
      </c>
      <c r="P61" s="19">
        <f>'AEO 2023 Table 46 Raw'!S48</f>
        <v>12.877636000000001</v>
      </c>
      <c r="Q61" s="19">
        <f>'AEO 2023 Table 46 Raw'!T48</f>
        <v>13.10427</v>
      </c>
      <c r="R61" s="19">
        <f>'AEO 2023 Table 46 Raw'!U48</f>
        <v>13.395966</v>
      </c>
      <c r="S61" s="19">
        <f>'AEO 2023 Table 46 Raw'!V48</f>
        <v>13.762724</v>
      </c>
      <c r="T61" s="19">
        <f>'AEO 2023 Table 46 Raw'!W48</f>
        <v>14.192204</v>
      </c>
      <c r="U61" s="19">
        <f>'AEO 2023 Table 46 Raw'!X48</f>
        <v>14.663688</v>
      </c>
      <c r="V61" s="19">
        <f>'AEO 2023 Table 46 Raw'!Y48</f>
        <v>15.141544</v>
      </c>
      <c r="W61" s="19">
        <f>'AEO 2023 Table 46 Raw'!Z48</f>
        <v>15.624432000000001</v>
      </c>
      <c r="X61" s="19">
        <f>'AEO 2023 Table 46 Raw'!AA48</f>
        <v>16.103663999999998</v>
      </c>
      <c r="Y61" s="19">
        <f>'AEO 2023 Table 46 Raw'!AB48</f>
        <v>16.571552000000001</v>
      </c>
      <c r="Z61" s="19">
        <f>'AEO 2023 Table 46 Raw'!AC48</f>
        <v>17.043500999999999</v>
      </c>
      <c r="AA61" s="19">
        <f>'AEO 2023 Table 46 Raw'!AD48</f>
        <v>17.538418</v>
      </c>
      <c r="AB61" s="19">
        <f>'AEO 2023 Table 46 Raw'!AE48</f>
        <v>18.048683</v>
      </c>
      <c r="AC61" s="19">
        <f>'AEO 2023 Table 46 Raw'!AF48</f>
        <v>18.568145999999999</v>
      </c>
      <c r="AD61" s="19">
        <f>'AEO 2023 Table 46 Raw'!AG48</f>
        <v>19.100059999999999</v>
      </c>
      <c r="AE61" s="19">
        <f>'AEO 2023 Table 46 Raw'!AH48</f>
        <v>19.637744999999999</v>
      </c>
      <c r="AF61" s="30">
        <f>'AEO 2023 Table 46 Raw'!AI48</f>
        <v>8.9999999999999993E-3</v>
      </c>
    </row>
    <row r="62" spans="1:32" ht="15" customHeight="1">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30"/>
    </row>
    <row r="63" spans="1:32" ht="15" customHeight="1">
      <c r="A63" s="7" t="s">
        <v>475</v>
      </c>
      <c r="B63" s="16" t="s">
        <v>476</v>
      </c>
      <c r="C63" s="19">
        <f>'AEO 2023 Table 46 Raw'!F49</f>
        <v>99.547248999999994</v>
      </c>
      <c r="D63" s="19">
        <f>'AEO 2023 Table 46 Raw'!G49</f>
        <v>100.084305</v>
      </c>
      <c r="E63" s="19">
        <f>'AEO 2023 Table 46 Raw'!H49</f>
        <v>100.882362</v>
      </c>
      <c r="F63" s="19">
        <f>'AEO 2023 Table 46 Raw'!I49</f>
        <v>101.991714</v>
      </c>
      <c r="G63" s="19">
        <f>'AEO 2023 Table 46 Raw'!J49</f>
        <v>103.38434599999999</v>
      </c>
      <c r="H63" s="19">
        <f>'AEO 2023 Table 46 Raw'!K49</f>
        <v>103.89450100000001</v>
      </c>
      <c r="I63" s="19">
        <f>'AEO 2023 Table 46 Raw'!L49</f>
        <v>104.32957500000001</v>
      </c>
      <c r="J63" s="19">
        <f>'AEO 2023 Table 46 Raw'!M49</f>
        <v>104.79064200000001</v>
      </c>
      <c r="K63" s="19">
        <f>'AEO 2023 Table 46 Raw'!N49</f>
        <v>105.01428199999999</v>
      </c>
      <c r="L63" s="19">
        <f>'AEO 2023 Table 46 Raw'!O49</f>
        <v>105.125404</v>
      </c>
      <c r="M63" s="19">
        <f>'AEO 2023 Table 46 Raw'!P49</f>
        <v>105.40430499999999</v>
      </c>
      <c r="N63" s="19">
        <f>'AEO 2023 Table 46 Raw'!Q49</f>
        <v>105.764008</v>
      </c>
      <c r="O63" s="19">
        <f>'AEO 2023 Table 46 Raw'!R49</f>
        <v>105.83466300000001</v>
      </c>
      <c r="P63" s="19">
        <f>'AEO 2023 Table 46 Raw'!S49</f>
        <v>105.710251</v>
      </c>
      <c r="Q63" s="19">
        <f>'AEO 2023 Table 46 Raw'!T49</f>
        <v>105.57182299999999</v>
      </c>
      <c r="R63" s="19">
        <f>'AEO 2023 Table 46 Raw'!U49</f>
        <v>105.598106</v>
      </c>
      <c r="S63" s="19">
        <f>'AEO 2023 Table 46 Raw'!V49</f>
        <v>105.883499</v>
      </c>
      <c r="T63" s="19">
        <f>'AEO 2023 Table 46 Raw'!W49</f>
        <v>106.41124000000001</v>
      </c>
      <c r="U63" s="19">
        <f>'AEO 2023 Table 46 Raw'!X49</f>
        <v>107.10965</v>
      </c>
      <c r="V63" s="19">
        <f>'AEO 2023 Table 46 Raw'!Y49</f>
        <v>107.802002</v>
      </c>
      <c r="W63" s="19">
        <f>'AEO 2023 Table 46 Raw'!Z49</f>
        <v>108.486053</v>
      </c>
      <c r="X63" s="19">
        <f>'AEO 2023 Table 46 Raw'!AA49</f>
        <v>109.11676</v>
      </c>
      <c r="Y63" s="19">
        <f>'AEO 2023 Table 46 Raw'!AB49</f>
        <v>109.650085</v>
      </c>
      <c r="Z63" s="19">
        <f>'AEO 2023 Table 46 Raw'!AC49</f>
        <v>110.16027099999999</v>
      </c>
      <c r="AA63" s="19">
        <f>'AEO 2023 Table 46 Raw'!AD49</f>
        <v>110.734573</v>
      </c>
      <c r="AB63" s="19">
        <f>'AEO 2023 Table 46 Raw'!AE49</f>
        <v>111.342468</v>
      </c>
      <c r="AC63" s="19">
        <f>'AEO 2023 Table 46 Raw'!AF49</f>
        <v>111.962318</v>
      </c>
      <c r="AD63" s="19">
        <f>'AEO 2023 Table 46 Raw'!AG49</f>
        <v>112.612503</v>
      </c>
      <c r="AE63" s="19">
        <f>'AEO 2023 Table 46 Raw'!AH49</f>
        <v>113.26402299999999</v>
      </c>
      <c r="AF63" s="30">
        <f>'AEO 2023 Table 46 Raw'!AI49</f>
        <v>5.0000000000000001E-3</v>
      </c>
    </row>
    <row r="64" spans="1:32" ht="15" customHeight="1">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30"/>
    </row>
    <row r="65" spans="1:33" ht="15" customHeight="1">
      <c r="A65" s="7" t="s">
        <v>477</v>
      </c>
      <c r="B65" s="15" t="s">
        <v>478</v>
      </c>
      <c r="C65" s="19">
        <f>'AEO 2023 Table 46 Raw'!F50</f>
        <v>154.63398699999999</v>
      </c>
      <c r="D65" s="19">
        <f>'AEO 2023 Table 46 Raw'!G50</f>
        <v>152.09498600000001</v>
      </c>
      <c r="E65" s="19">
        <f>'AEO 2023 Table 46 Raw'!H50</f>
        <v>150.40310700000001</v>
      </c>
      <c r="F65" s="19">
        <f>'AEO 2023 Table 46 Raw'!I50</f>
        <v>149.30912799999999</v>
      </c>
      <c r="G65" s="19">
        <f>'AEO 2023 Table 46 Raw'!J50</f>
        <v>148.801514</v>
      </c>
      <c r="H65" s="19">
        <f>'AEO 2023 Table 46 Raw'!K50</f>
        <v>147.321991</v>
      </c>
      <c r="I65" s="19">
        <f>'AEO 2023 Table 46 Raw'!L50</f>
        <v>146.05694600000001</v>
      </c>
      <c r="J65" s="19">
        <f>'AEO 2023 Table 46 Raw'!M50</f>
        <v>145.116501</v>
      </c>
      <c r="K65" s="19">
        <f>'AEO 2023 Table 46 Raw'!N50</f>
        <v>144.13964799999999</v>
      </c>
      <c r="L65" s="19">
        <f>'AEO 2023 Table 46 Raw'!O50</f>
        <v>143.191925</v>
      </c>
      <c r="M65" s="19">
        <f>'AEO 2023 Table 46 Raw'!P50</f>
        <v>142.71069299999999</v>
      </c>
      <c r="N65" s="19">
        <f>'AEO 2023 Table 46 Raw'!Q50</f>
        <v>142.48658800000001</v>
      </c>
      <c r="O65" s="19">
        <f>'AEO 2023 Table 46 Raw'!R50</f>
        <v>141.925659</v>
      </c>
      <c r="P65" s="19">
        <f>'AEO 2023 Table 46 Raw'!S50</f>
        <v>141.15089399999999</v>
      </c>
      <c r="Q65" s="19">
        <f>'AEO 2023 Table 46 Raw'!T50</f>
        <v>140.47680700000001</v>
      </c>
      <c r="R65" s="19">
        <f>'AEO 2023 Table 46 Raw'!U50</f>
        <v>140.155304</v>
      </c>
      <c r="S65" s="19">
        <f>'AEO 2023 Table 46 Raw'!V50</f>
        <v>140.272659</v>
      </c>
      <c r="T65" s="19">
        <f>'AEO 2023 Table 46 Raw'!W50</f>
        <v>140.75672900000001</v>
      </c>
      <c r="U65" s="19">
        <f>'AEO 2023 Table 46 Raw'!X50</f>
        <v>141.40477000000001</v>
      </c>
      <c r="V65" s="19">
        <f>'AEO 2023 Table 46 Raw'!Y50</f>
        <v>142.00250199999999</v>
      </c>
      <c r="W65" s="19">
        <f>'AEO 2023 Table 46 Raw'!Z50</f>
        <v>142.608093</v>
      </c>
      <c r="X65" s="19">
        <f>'AEO 2023 Table 46 Raw'!AA50</f>
        <v>143.12103300000001</v>
      </c>
      <c r="Y65" s="19">
        <f>'AEO 2023 Table 46 Raw'!AB50</f>
        <v>143.46198999999999</v>
      </c>
      <c r="Z65" s="19">
        <f>'AEO 2023 Table 46 Raw'!AC50</f>
        <v>143.76809700000001</v>
      </c>
      <c r="AA65" s="19">
        <f>'AEO 2023 Table 46 Raw'!AD50</f>
        <v>144.16400100000001</v>
      </c>
      <c r="AB65" s="19">
        <f>'AEO 2023 Table 46 Raw'!AE50</f>
        <v>144.63601700000001</v>
      </c>
      <c r="AC65" s="19">
        <f>'AEO 2023 Table 46 Raw'!AF50</f>
        <v>145.160934</v>
      </c>
      <c r="AD65" s="19">
        <f>'AEO 2023 Table 46 Raw'!AG50</f>
        <v>145.67941300000001</v>
      </c>
      <c r="AE65" s="19">
        <f>'AEO 2023 Table 46 Raw'!AH50</f>
        <v>146.207031</v>
      </c>
      <c r="AF65" s="30">
        <f>'AEO 2023 Table 46 Raw'!AI50</f>
        <v>-2E-3</v>
      </c>
    </row>
    <row r="66" spans="1:33" ht="15" customHeight="1">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30"/>
    </row>
    <row r="67" spans="1:33" ht="15" customHeight="1">
      <c r="B67" s="15" t="s">
        <v>479</v>
      </c>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30"/>
    </row>
    <row r="68" spans="1:33" ht="15" customHeight="1">
      <c r="A68" s="7" t="s">
        <v>480</v>
      </c>
      <c r="B68" s="16" t="s">
        <v>481</v>
      </c>
      <c r="C68" s="19">
        <f>'AEO 2023 Table 46 Raw'!F52</f>
        <v>51.717686</v>
      </c>
      <c r="D68" s="19">
        <f>'AEO 2023 Table 46 Raw'!G52</f>
        <v>52.413936999999997</v>
      </c>
      <c r="E68" s="19">
        <f>'AEO 2023 Table 46 Raw'!H52</f>
        <v>53.034408999999997</v>
      </c>
      <c r="F68" s="19">
        <f>'AEO 2023 Table 46 Raw'!I52</f>
        <v>54.100948000000002</v>
      </c>
      <c r="G68" s="19">
        <f>'AEO 2023 Table 46 Raw'!J52</f>
        <v>55.411284999999999</v>
      </c>
      <c r="H68" s="19">
        <f>'AEO 2023 Table 46 Raw'!K52</f>
        <v>56.196621</v>
      </c>
      <c r="I68" s="19">
        <f>'AEO 2023 Table 46 Raw'!L52</f>
        <v>56.944622000000003</v>
      </c>
      <c r="J68" s="19">
        <f>'AEO 2023 Table 46 Raw'!M52</f>
        <v>57.482886999999998</v>
      </c>
      <c r="K68" s="19">
        <f>'AEO 2023 Table 46 Raw'!N52</f>
        <v>57.94923</v>
      </c>
      <c r="L68" s="19">
        <f>'AEO 2023 Table 46 Raw'!O52</f>
        <v>58.397101999999997</v>
      </c>
      <c r="M68" s="19">
        <f>'AEO 2023 Table 46 Raw'!P52</f>
        <v>58.978805999999999</v>
      </c>
      <c r="N68" s="19">
        <f>'AEO 2023 Table 46 Raw'!Q52</f>
        <v>59.442059</v>
      </c>
      <c r="O68" s="19">
        <f>'AEO 2023 Table 46 Raw'!R52</f>
        <v>59.697144000000002</v>
      </c>
      <c r="P68" s="19">
        <f>'AEO 2023 Table 46 Raw'!S52</f>
        <v>59.918407000000002</v>
      </c>
      <c r="Q68" s="19">
        <f>'AEO 2023 Table 46 Raw'!T52</f>
        <v>60.065964000000001</v>
      </c>
      <c r="R68" s="19">
        <f>'AEO 2023 Table 46 Raw'!U52</f>
        <v>60.277831999999997</v>
      </c>
      <c r="S68" s="19">
        <f>'AEO 2023 Table 46 Raw'!V52</f>
        <v>60.541545999999997</v>
      </c>
      <c r="T68" s="19">
        <f>'AEO 2023 Table 46 Raw'!W52</f>
        <v>60.742508000000001</v>
      </c>
      <c r="U68" s="19">
        <f>'AEO 2023 Table 46 Raw'!X52</f>
        <v>61.006068999999997</v>
      </c>
      <c r="V68" s="19">
        <f>'AEO 2023 Table 46 Raw'!Y52</f>
        <v>61.262115000000001</v>
      </c>
      <c r="W68" s="19">
        <f>'AEO 2023 Table 46 Raw'!Z52</f>
        <v>61.535606000000001</v>
      </c>
      <c r="X68" s="19">
        <f>'AEO 2023 Table 46 Raw'!AA52</f>
        <v>61.792842999999998</v>
      </c>
      <c r="Y68" s="19">
        <f>'AEO 2023 Table 46 Raw'!AB52</f>
        <v>62.031379999999999</v>
      </c>
      <c r="Z68" s="19">
        <f>'AEO 2023 Table 46 Raw'!AC52</f>
        <v>62.273009999999999</v>
      </c>
      <c r="AA68" s="19">
        <f>'AEO 2023 Table 46 Raw'!AD52</f>
        <v>62.596626000000001</v>
      </c>
      <c r="AB68" s="19">
        <f>'AEO 2023 Table 46 Raw'!AE52</f>
        <v>62.961078999999998</v>
      </c>
      <c r="AC68" s="19">
        <f>'AEO 2023 Table 46 Raw'!AF52</f>
        <v>63.311115000000001</v>
      </c>
      <c r="AD68" s="19">
        <f>'AEO 2023 Table 46 Raw'!AG52</f>
        <v>63.728230000000003</v>
      </c>
      <c r="AE68" s="19">
        <f>'AEO 2023 Table 46 Raw'!AH52</f>
        <v>64.290756000000002</v>
      </c>
      <c r="AF68" s="30">
        <f>'AEO 2023 Table 46 Raw'!AI52</f>
        <v>8.0000000000000002E-3</v>
      </c>
    </row>
    <row r="69" spans="1:33" ht="15" customHeight="1">
      <c r="A69" s="7" t="s">
        <v>482</v>
      </c>
      <c r="B69" s="16" t="s">
        <v>483</v>
      </c>
      <c r="C69" s="19">
        <f>'AEO 2023 Table 46 Raw'!F53</f>
        <v>34.813164</v>
      </c>
      <c r="D69" s="19">
        <f>'AEO 2023 Table 46 Raw'!G53</f>
        <v>34.524287999999999</v>
      </c>
      <c r="E69" s="19">
        <f>'AEO 2023 Table 46 Raw'!H53</f>
        <v>34.014198</v>
      </c>
      <c r="F69" s="19">
        <f>'AEO 2023 Table 46 Raw'!I53</f>
        <v>33.750988</v>
      </c>
      <c r="G69" s="19">
        <f>'AEO 2023 Table 46 Raw'!J53</f>
        <v>33.787548000000001</v>
      </c>
      <c r="H69" s="19">
        <f>'AEO 2023 Table 46 Raw'!K53</f>
        <v>34.085323000000002</v>
      </c>
      <c r="I69" s="19">
        <f>'AEO 2023 Table 46 Raw'!L53</f>
        <v>34.241962000000001</v>
      </c>
      <c r="J69" s="19">
        <f>'AEO 2023 Table 46 Raw'!M53</f>
        <v>34.320473</v>
      </c>
      <c r="K69" s="19">
        <f>'AEO 2023 Table 46 Raw'!N53</f>
        <v>34.328772999999998</v>
      </c>
      <c r="L69" s="19">
        <f>'AEO 2023 Table 46 Raw'!O53</f>
        <v>34.328837999999998</v>
      </c>
      <c r="M69" s="19">
        <f>'AEO 2023 Table 46 Raw'!P53</f>
        <v>34.445278000000002</v>
      </c>
      <c r="N69" s="19">
        <f>'AEO 2023 Table 46 Raw'!Q53</f>
        <v>34.507216999999997</v>
      </c>
      <c r="O69" s="19">
        <f>'AEO 2023 Table 46 Raw'!R53</f>
        <v>34.489876000000002</v>
      </c>
      <c r="P69" s="19">
        <f>'AEO 2023 Table 46 Raw'!S53</f>
        <v>34.494262999999997</v>
      </c>
      <c r="Q69" s="19">
        <f>'AEO 2023 Table 46 Raw'!T53</f>
        <v>34.487063999999997</v>
      </c>
      <c r="R69" s="19">
        <f>'AEO 2023 Table 46 Raw'!U53</f>
        <v>34.558998000000003</v>
      </c>
      <c r="S69" s="19">
        <f>'AEO 2023 Table 46 Raw'!V53</f>
        <v>34.688918999999999</v>
      </c>
      <c r="T69" s="19">
        <f>'AEO 2023 Table 46 Raw'!W53</f>
        <v>34.817211</v>
      </c>
      <c r="U69" s="19">
        <f>'AEO 2023 Table 46 Raw'!X53</f>
        <v>34.970844</v>
      </c>
      <c r="V69" s="19">
        <f>'AEO 2023 Table 46 Raw'!Y53</f>
        <v>35.141055999999999</v>
      </c>
      <c r="W69" s="19">
        <f>'AEO 2023 Table 46 Raw'!Z53</f>
        <v>35.334144999999999</v>
      </c>
      <c r="X69" s="19">
        <f>'AEO 2023 Table 46 Raw'!AA53</f>
        <v>35.553607999999997</v>
      </c>
      <c r="Y69" s="19">
        <f>'AEO 2023 Table 46 Raw'!AB53</f>
        <v>35.778236</v>
      </c>
      <c r="Z69" s="19">
        <f>'AEO 2023 Table 46 Raw'!AC53</f>
        <v>36.002406999999998</v>
      </c>
      <c r="AA69" s="19">
        <f>'AEO 2023 Table 46 Raw'!AD53</f>
        <v>36.272179000000001</v>
      </c>
      <c r="AB69" s="19">
        <f>'AEO 2023 Table 46 Raw'!AE53</f>
        <v>36.565658999999997</v>
      </c>
      <c r="AC69" s="19">
        <f>'AEO 2023 Table 46 Raw'!AF53</f>
        <v>36.847777999999998</v>
      </c>
      <c r="AD69" s="19">
        <f>'AEO 2023 Table 46 Raw'!AG53</f>
        <v>37.146068999999997</v>
      </c>
      <c r="AE69" s="19">
        <f>'AEO 2023 Table 46 Raw'!AH53</f>
        <v>37.522060000000003</v>
      </c>
      <c r="AF69" s="30">
        <f>'AEO 2023 Table 46 Raw'!AI53</f>
        <v>3.0000000000000001E-3</v>
      </c>
    </row>
    <row r="70" spans="1:33" ht="12" customHeight="1">
      <c r="A70" s="7" t="s">
        <v>484</v>
      </c>
      <c r="B70" s="16" t="s">
        <v>485</v>
      </c>
      <c r="C70" s="19">
        <f>'AEO 2023 Table 46 Raw'!F54</f>
        <v>8.2999999999999998E-5</v>
      </c>
      <c r="D70" s="19">
        <f>'AEO 2023 Table 46 Raw'!G54</f>
        <v>6.0029999999999997E-3</v>
      </c>
      <c r="E70" s="19">
        <f>'AEO 2023 Table 46 Raw'!H54</f>
        <v>1.1818E-2</v>
      </c>
      <c r="F70" s="19">
        <f>'AEO 2023 Table 46 Raw'!I54</f>
        <v>1.7534000000000001E-2</v>
      </c>
      <c r="G70" s="19">
        <f>'AEO 2023 Table 46 Raw'!J54</f>
        <v>2.3442999999999999E-2</v>
      </c>
      <c r="H70" s="19">
        <f>'AEO 2023 Table 46 Raw'!K54</f>
        <v>2.9012E-2</v>
      </c>
      <c r="I70" s="19">
        <f>'AEO 2023 Table 46 Raw'!L54</f>
        <v>3.4540000000000001E-2</v>
      </c>
      <c r="J70" s="19">
        <f>'AEO 2023 Table 46 Raw'!M54</f>
        <v>4.0638000000000001E-2</v>
      </c>
      <c r="K70" s="19">
        <f>'AEO 2023 Table 46 Raw'!N54</f>
        <v>4.5418E-2</v>
      </c>
      <c r="L70" s="19">
        <f>'AEO 2023 Table 46 Raw'!O54</f>
        <v>5.0842999999999999E-2</v>
      </c>
      <c r="M70" s="19">
        <f>'AEO 2023 Table 46 Raw'!P54</f>
        <v>5.7272000000000003E-2</v>
      </c>
      <c r="N70" s="19">
        <f>'AEO 2023 Table 46 Raw'!Q54</f>
        <v>6.4630000000000007E-2</v>
      </c>
      <c r="O70" s="19">
        <f>'AEO 2023 Table 46 Raw'!R54</f>
        <v>7.2790999999999995E-2</v>
      </c>
      <c r="P70" s="19">
        <f>'AEO 2023 Table 46 Raw'!S54</f>
        <v>8.2072000000000006E-2</v>
      </c>
      <c r="Q70" s="19">
        <f>'AEO 2023 Table 46 Raw'!T54</f>
        <v>9.2707999999999999E-2</v>
      </c>
      <c r="R70" s="19">
        <f>'AEO 2023 Table 46 Raw'!U54</f>
        <v>0.10530200000000001</v>
      </c>
      <c r="S70" s="19">
        <f>'AEO 2023 Table 46 Raw'!V54</f>
        <v>0.12026199999999999</v>
      </c>
      <c r="T70" s="19">
        <f>'AEO 2023 Table 46 Raw'!W54</f>
        <v>0.137651</v>
      </c>
      <c r="U70" s="19">
        <f>'AEO 2023 Table 46 Raw'!X54</f>
        <v>0.157888</v>
      </c>
      <c r="V70" s="19">
        <f>'AEO 2023 Table 46 Raw'!Y54</f>
        <v>0.180872</v>
      </c>
      <c r="W70" s="19">
        <f>'AEO 2023 Table 46 Raw'!Z54</f>
        <v>0.20671400000000001</v>
      </c>
      <c r="X70" s="19">
        <f>'AEO 2023 Table 46 Raw'!AA54</f>
        <v>0.23544699999999999</v>
      </c>
      <c r="Y70" s="19">
        <f>'AEO 2023 Table 46 Raw'!AB54</f>
        <v>0.26687300000000003</v>
      </c>
      <c r="Z70" s="19">
        <f>'AEO 2023 Table 46 Raw'!AC54</f>
        <v>0.30111100000000002</v>
      </c>
      <c r="AA70" s="19">
        <f>'AEO 2023 Table 46 Raw'!AD54</f>
        <v>0.33838499999999999</v>
      </c>
      <c r="AB70" s="19">
        <f>'AEO 2023 Table 46 Raw'!AE54</f>
        <v>0.378195</v>
      </c>
      <c r="AC70" s="19">
        <f>'AEO 2023 Table 46 Raw'!AF54</f>
        <v>0.419763</v>
      </c>
      <c r="AD70" s="19">
        <f>'AEO 2023 Table 46 Raw'!AG54</f>
        <v>0.46323199999999998</v>
      </c>
      <c r="AE70" s="19">
        <f>'AEO 2023 Table 46 Raw'!AH54</f>
        <v>0.50883800000000001</v>
      </c>
      <c r="AF70" s="30">
        <f>'AEO 2023 Table 46 Raw'!AI54</f>
        <v>0.36499999999999999</v>
      </c>
    </row>
    <row r="71" spans="1:33" ht="15" customHeight="1">
      <c r="A71" s="7" t="s">
        <v>486</v>
      </c>
      <c r="B71" s="16" t="s">
        <v>391</v>
      </c>
      <c r="C71" s="19">
        <f>'AEO 2023 Table 46 Raw'!F55</f>
        <v>8.2286999999999999E-2</v>
      </c>
      <c r="D71" s="19">
        <f>'AEO 2023 Table 46 Raw'!G55</f>
        <v>7.6387999999999998E-2</v>
      </c>
      <c r="E71" s="19">
        <f>'AEO 2023 Table 46 Raw'!H55</f>
        <v>7.0837999999999998E-2</v>
      </c>
      <c r="F71" s="19">
        <f>'AEO 2023 Table 46 Raw'!I55</f>
        <v>6.3034999999999994E-2</v>
      </c>
      <c r="G71" s="19">
        <f>'AEO 2023 Table 46 Raw'!J55</f>
        <v>5.5190999999999997E-2</v>
      </c>
      <c r="H71" s="19">
        <f>'AEO 2023 Table 46 Raw'!K55</f>
        <v>4.8587999999999999E-2</v>
      </c>
      <c r="I71" s="19">
        <f>'AEO 2023 Table 46 Raw'!L55</f>
        <v>4.3872000000000001E-2</v>
      </c>
      <c r="J71" s="19">
        <f>'AEO 2023 Table 46 Raw'!M55</f>
        <v>3.9718999999999997E-2</v>
      </c>
      <c r="K71" s="19">
        <f>'AEO 2023 Table 46 Raw'!N55</f>
        <v>3.5532000000000001E-2</v>
      </c>
      <c r="L71" s="19">
        <f>'AEO 2023 Table 46 Raw'!O55</f>
        <v>3.1558000000000003E-2</v>
      </c>
      <c r="M71" s="19">
        <f>'AEO 2023 Table 46 Raw'!P55</f>
        <v>2.8025999999999999E-2</v>
      </c>
      <c r="N71" s="19">
        <f>'AEO 2023 Table 46 Raw'!Q55</f>
        <v>2.4915E-2</v>
      </c>
      <c r="O71" s="19">
        <f>'AEO 2023 Table 46 Raw'!R55</f>
        <v>2.2168E-2</v>
      </c>
      <c r="P71" s="19">
        <f>'AEO 2023 Table 46 Raw'!S55</f>
        <v>1.9909E-2</v>
      </c>
      <c r="Q71" s="19">
        <f>'AEO 2023 Table 46 Raw'!T55</f>
        <v>1.7824E-2</v>
      </c>
      <c r="R71" s="19">
        <f>'AEO 2023 Table 46 Raw'!U55</f>
        <v>1.5911999999999999E-2</v>
      </c>
      <c r="S71" s="19">
        <f>'AEO 2023 Table 46 Raw'!V55</f>
        <v>1.4262E-2</v>
      </c>
      <c r="T71" s="19">
        <f>'AEO 2023 Table 46 Raw'!W55</f>
        <v>1.29E-2</v>
      </c>
      <c r="U71" s="19">
        <f>'AEO 2023 Table 46 Raw'!X55</f>
        <v>1.1752E-2</v>
      </c>
      <c r="V71" s="19">
        <f>'AEO 2023 Table 46 Raw'!Y55</f>
        <v>1.0692999999999999E-2</v>
      </c>
      <c r="W71" s="19">
        <f>'AEO 2023 Table 46 Raw'!Z55</f>
        <v>9.7190000000000002E-3</v>
      </c>
      <c r="X71" s="19">
        <f>'AEO 2023 Table 46 Raw'!AA55</f>
        <v>8.8269999999999998E-3</v>
      </c>
      <c r="Y71" s="19">
        <f>'AEO 2023 Table 46 Raw'!AB55</f>
        <v>8.0160000000000006E-3</v>
      </c>
      <c r="Z71" s="19">
        <f>'AEO 2023 Table 46 Raw'!AC55</f>
        <v>7.2579999999999997E-3</v>
      </c>
      <c r="AA71" s="19">
        <f>'AEO 2023 Table 46 Raw'!AD55</f>
        <v>6.3769999999999999E-3</v>
      </c>
      <c r="AB71" s="19">
        <f>'AEO 2023 Table 46 Raw'!AE55</f>
        <v>5.3099999999999996E-3</v>
      </c>
      <c r="AC71" s="19">
        <f>'AEO 2023 Table 46 Raw'!AF55</f>
        <v>4.3660000000000001E-3</v>
      </c>
      <c r="AD71" s="19">
        <f>'AEO 2023 Table 46 Raw'!AG55</f>
        <v>3.4659999999999999E-3</v>
      </c>
      <c r="AE71" s="19">
        <f>'AEO 2023 Table 46 Raw'!AH55</f>
        <v>2.7780000000000001E-3</v>
      </c>
      <c r="AF71" s="30">
        <f>'AEO 2023 Table 46 Raw'!AI55</f>
        <v>-0.114</v>
      </c>
    </row>
    <row r="72" spans="1:33" ht="15" customHeight="1">
      <c r="A72" s="7" t="s">
        <v>487</v>
      </c>
      <c r="B72" s="16" t="s">
        <v>488</v>
      </c>
      <c r="C72" s="19">
        <f>'AEO 2023 Table 46 Raw'!F56</f>
        <v>15.398766999999999</v>
      </c>
      <c r="D72" s="19">
        <f>'AEO 2023 Table 46 Raw'!G56</f>
        <v>14.384566</v>
      </c>
      <c r="E72" s="19">
        <f>'AEO 2023 Table 46 Raw'!H56</f>
        <v>13.220724000000001</v>
      </c>
      <c r="F72" s="19">
        <f>'AEO 2023 Table 46 Raw'!I56</f>
        <v>12.420685000000001</v>
      </c>
      <c r="G72" s="19">
        <f>'AEO 2023 Table 46 Raw'!J56</f>
        <v>11.700251</v>
      </c>
      <c r="H72" s="19">
        <f>'AEO 2023 Table 46 Raw'!K56</f>
        <v>11.309018999999999</v>
      </c>
      <c r="I72" s="19">
        <f>'AEO 2023 Table 46 Raw'!L56</f>
        <v>11.007885</v>
      </c>
      <c r="J72" s="19">
        <f>'AEO 2023 Table 46 Raw'!M56</f>
        <v>10.934968</v>
      </c>
      <c r="K72" s="19">
        <f>'AEO 2023 Table 46 Raw'!N56</f>
        <v>10.875622999999999</v>
      </c>
      <c r="L72" s="19">
        <f>'AEO 2023 Table 46 Raw'!O56</f>
        <v>10.875476000000001</v>
      </c>
      <c r="M72" s="19">
        <f>'AEO 2023 Table 46 Raw'!P56</f>
        <v>10.957039999999999</v>
      </c>
      <c r="N72" s="19">
        <f>'AEO 2023 Table 46 Raw'!Q56</f>
        <v>11.091353</v>
      </c>
      <c r="O72" s="19">
        <f>'AEO 2023 Table 46 Raw'!R56</f>
        <v>11.243194000000001</v>
      </c>
      <c r="P72" s="19">
        <f>'AEO 2023 Table 46 Raw'!S56</f>
        <v>11.462101000000001</v>
      </c>
      <c r="Q72" s="19">
        <f>'AEO 2023 Table 46 Raw'!T56</f>
        <v>11.712192</v>
      </c>
      <c r="R72" s="19">
        <f>'AEO 2023 Table 46 Raw'!U56</f>
        <v>12.030602</v>
      </c>
      <c r="S72" s="19">
        <f>'AEO 2023 Table 46 Raw'!V56</f>
        <v>12.393787</v>
      </c>
      <c r="T72" s="19">
        <f>'AEO 2023 Table 46 Raw'!W56</f>
        <v>12.776002999999999</v>
      </c>
      <c r="U72" s="19">
        <f>'AEO 2023 Table 46 Raw'!X56</f>
        <v>13.181653000000001</v>
      </c>
      <c r="V72" s="19">
        <f>'AEO 2023 Table 46 Raw'!Y56</f>
        <v>13.588577000000001</v>
      </c>
      <c r="W72" s="19">
        <f>'AEO 2023 Table 46 Raw'!Z56</f>
        <v>13.982295000000001</v>
      </c>
      <c r="X72" s="19">
        <f>'AEO 2023 Table 46 Raw'!AA56</f>
        <v>14.350991</v>
      </c>
      <c r="Y72" s="19">
        <f>'AEO 2023 Table 46 Raw'!AB56</f>
        <v>14.680471000000001</v>
      </c>
      <c r="Z72" s="19">
        <f>'AEO 2023 Table 46 Raw'!AC56</f>
        <v>14.988163</v>
      </c>
      <c r="AA72" s="19">
        <f>'AEO 2023 Table 46 Raw'!AD56</f>
        <v>15.298442</v>
      </c>
      <c r="AB72" s="19">
        <f>'AEO 2023 Table 46 Raw'!AE56</f>
        <v>15.590885</v>
      </c>
      <c r="AC72" s="19">
        <f>'AEO 2023 Table 46 Raw'!AF56</f>
        <v>15.857104</v>
      </c>
      <c r="AD72" s="19">
        <f>'AEO 2023 Table 46 Raw'!AG56</f>
        <v>16.112196000000001</v>
      </c>
      <c r="AE72" s="19">
        <f>'AEO 2023 Table 46 Raw'!AH56</f>
        <v>16.389751</v>
      </c>
      <c r="AF72" s="30">
        <f>'AEO 2023 Table 46 Raw'!AI56</f>
        <v>2E-3</v>
      </c>
    </row>
    <row r="73" spans="1:33" ht="15" customHeight="1">
      <c r="A73" s="7" t="s">
        <v>489</v>
      </c>
      <c r="B73" s="16" t="s">
        <v>490</v>
      </c>
      <c r="C73" s="19">
        <f>'AEO 2023 Table 46 Raw'!F57</f>
        <v>0</v>
      </c>
      <c r="D73" s="19">
        <f>'AEO 2023 Table 46 Raw'!G57</f>
        <v>0</v>
      </c>
      <c r="E73" s="19">
        <f>'AEO 2023 Table 46 Raw'!H57</f>
        <v>0</v>
      </c>
      <c r="F73" s="19">
        <f>'AEO 2023 Table 46 Raw'!I57</f>
        <v>0</v>
      </c>
      <c r="G73" s="19">
        <f>'AEO 2023 Table 46 Raw'!J57</f>
        <v>0</v>
      </c>
      <c r="H73" s="19">
        <f>'AEO 2023 Table 46 Raw'!K57</f>
        <v>0</v>
      </c>
      <c r="I73" s="19">
        <f>'AEO 2023 Table 46 Raw'!L57</f>
        <v>0</v>
      </c>
      <c r="J73" s="19">
        <f>'AEO 2023 Table 46 Raw'!M57</f>
        <v>0</v>
      </c>
      <c r="K73" s="19">
        <f>'AEO 2023 Table 46 Raw'!N57</f>
        <v>0</v>
      </c>
      <c r="L73" s="19">
        <f>'AEO 2023 Table 46 Raw'!O57</f>
        <v>0</v>
      </c>
      <c r="M73" s="19">
        <f>'AEO 2023 Table 46 Raw'!P57</f>
        <v>0</v>
      </c>
      <c r="N73" s="19">
        <f>'AEO 2023 Table 46 Raw'!Q57</f>
        <v>0</v>
      </c>
      <c r="O73" s="19">
        <f>'AEO 2023 Table 46 Raw'!R57</f>
        <v>0</v>
      </c>
      <c r="P73" s="19">
        <f>'AEO 2023 Table 46 Raw'!S57</f>
        <v>0</v>
      </c>
      <c r="Q73" s="19">
        <f>'AEO 2023 Table 46 Raw'!T57</f>
        <v>0</v>
      </c>
      <c r="R73" s="19">
        <f>'AEO 2023 Table 46 Raw'!U57</f>
        <v>0</v>
      </c>
      <c r="S73" s="19">
        <f>'AEO 2023 Table 46 Raw'!V57</f>
        <v>0</v>
      </c>
      <c r="T73" s="19">
        <f>'AEO 2023 Table 46 Raw'!W57</f>
        <v>0</v>
      </c>
      <c r="U73" s="19">
        <f>'AEO 2023 Table 46 Raw'!X57</f>
        <v>0</v>
      </c>
      <c r="V73" s="19">
        <f>'AEO 2023 Table 46 Raw'!Y57</f>
        <v>0</v>
      </c>
      <c r="W73" s="19">
        <f>'AEO 2023 Table 46 Raw'!Z57</f>
        <v>0</v>
      </c>
      <c r="X73" s="19">
        <f>'AEO 2023 Table 46 Raw'!AA57</f>
        <v>0</v>
      </c>
      <c r="Y73" s="19">
        <f>'AEO 2023 Table 46 Raw'!AB57</f>
        <v>0</v>
      </c>
      <c r="Z73" s="19">
        <f>'AEO 2023 Table 46 Raw'!AC57</f>
        <v>0</v>
      </c>
      <c r="AA73" s="19">
        <f>'AEO 2023 Table 46 Raw'!AD57</f>
        <v>0</v>
      </c>
      <c r="AB73" s="19">
        <f>'AEO 2023 Table 46 Raw'!AE57</f>
        <v>0</v>
      </c>
      <c r="AC73" s="19">
        <f>'AEO 2023 Table 46 Raw'!AF57</f>
        <v>0</v>
      </c>
      <c r="AD73" s="19">
        <f>'AEO 2023 Table 46 Raw'!AG57</f>
        <v>0</v>
      </c>
      <c r="AE73" s="19">
        <f>'AEO 2023 Table 46 Raw'!AH57</f>
        <v>0</v>
      </c>
      <c r="AF73" s="30" t="str">
        <f>'AEO 2023 Table 46 Raw'!AI57</f>
        <v>- -</v>
      </c>
    </row>
    <row r="74" spans="1:33" ht="15" customHeight="1">
      <c r="A74" s="7" t="s">
        <v>491</v>
      </c>
      <c r="B74" s="16" t="s">
        <v>492</v>
      </c>
      <c r="C74" s="19">
        <f>'AEO 2023 Table 46 Raw'!F58</f>
        <v>0</v>
      </c>
      <c r="D74" s="19">
        <f>'AEO 2023 Table 46 Raw'!G58</f>
        <v>1.2361E-2</v>
      </c>
      <c r="E74" s="19">
        <f>'AEO 2023 Table 46 Raw'!H58</f>
        <v>2.4101999999999998E-2</v>
      </c>
      <c r="F74" s="19">
        <f>'AEO 2023 Table 46 Raw'!I58</f>
        <v>3.5229000000000003E-2</v>
      </c>
      <c r="G74" s="19">
        <f>'AEO 2023 Table 46 Raw'!J58</f>
        <v>4.6115999999999997E-2</v>
      </c>
      <c r="H74" s="19">
        <f>'AEO 2023 Table 46 Raw'!K58</f>
        <v>5.5775999999999999E-2</v>
      </c>
      <c r="I74" s="19">
        <f>'AEO 2023 Table 46 Raw'!L58</f>
        <v>6.4683000000000004E-2</v>
      </c>
      <c r="J74" s="19">
        <f>'AEO 2023 Table 46 Raw'!M58</f>
        <v>7.3900999999999994E-2</v>
      </c>
      <c r="K74" s="19">
        <f>'AEO 2023 Table 46 Raw'!N58</f>
        <v>7.9486000000000001E-2</v>
      </c>
      <c r="L74" s="19">
        <f>'AEO 2023 Table 46 Raw'!O58</f>
        <v>8.5474999999999995E-2</v>
      </c>
      <c r="M74" s="19">
        <f>'AEO 2023 Table 46 Raw'!P58</f>
        <v>9.2364000000000002E-2</v>
      </c>
      <c r="N74" s="19">
        <f>'AEO 2023 Table 46 Raw'!Q58</f>
        <v>0.100011</v>
      </c>
      <c r="O74" s="19">
        <f>'AEO 2023 Table 46 Raw'!R58</f>
        <v>0.10816000000000001</v>
      </c>
      <c r="P74" s="19">
        <f>'AEO 2023 Table 46 Raw'!S58</f>
        <v>0.117216</v>
      </c>
      <c r="Q74" s="19">
        <f>'AEO 2023 Table 46 Raw'!T58</f>
        <v>0.12726999999999999</v>
      </c>
      <c r="R74" s="19">
        <f>'AEO 2023 Table 46 Raw'!U58</f>
        <v>0.13889599999999999</v>
      </c>
      <c r="S74" s="19">
        <f>'AEO 2023 Table 46 Raw'!V58</f>
        <v>0.15229699999999999</v>
      </c>
      <c r="T74" s="19">
        <f>'AEO 2023 Table 46 Raw'!W58</f>
        <v>0.16730500000000001</v>
      </c>
      <c r="U74" s="19">
        <f>'AEO 2023 Table 46 Raw'!X58</f>
        <v>0.18437000000000001</v>
      </c>
      <c r="V74" s="19">
        <f>'AEO 2023 Table 46 Raw'!Y58</f>
        <v>0.20325699999999999</v>
      </c>
      <c r="W74" s="19">
        <f>'AEO 2023 Table 46 Raw'!Z58</f>
        <v>0.223803</v>
      </c>
      <c r="X74" s="19">
        <f>'AEO 2023 Table 46 Raw'!AA58</f>
        <v>0.24573800000000001</v>
      </c>
      <c r="Y74" s="19">
        <f>'AEO 2023 Table 46 Raw'!AB58</f>
        <v>0.26862999999999998</v>
      </c>
      <c r="Z74" s="19">
        <f>'AEO 2023 Table 46 Raw'!AC58</f>
        <v>0.29245500000000002</v>
      </c>
      <c r="AA74" s="19">
        <f>'AEO 2023 Table 46 Raw'!AD58</f>
        <v>0.31730700000000001</v>
      </c>
      <c r="AB74" s="19">
        <f>'AEO 2023 Table 46 Raw'!AE58</f>
        <v>0.342584</v>
      </c>
      <c r="AC74" s="19">
        <f>'AEO 2023 Table 46 Raw'!AF58</f>
        <v>0.36765700000000001</v>
      </c>
      <c r="AD74" s="19">
        <f>'AEO 2023 Table 46 Raw'!AG58</f>
        <v>0.39278200000000002</v>
      </c>
      <c r="AE74" s="19">
        <f>'AEO 2023 Table 46 Raw'!AH58</f>
        <v>0.41828799999999999</v>
      </c>
      <c r="AF74" s="30" t="str">
        <f>'AEO 2023 Table 46 Raw'!AI58</f>
        <v>- -</v>
      </c>
    </row>
    <row r="75" spans="1:33" ht="15" customHeight="1">
      <c r="A75" s="7" t="s">
        <v>493</v>
      </c>
      <c r="B75" s="16" t="s">
        <v>494</v>
      </c>
      <c r="C75" s="19">
        <f>'AEO 2023 Table 46 Raw'!F59</f>
        <v>0</v>
      </c>
      <c r="D75" s="19">
        <f>'AEO 2023 Table 46 Raw'!G59</f>
        <v>1.0956E-2</v>
      </c>
      <c r="E75" s="19">
        <f>'AEO 2023 Table 46 Raw'!H59</f>
        <v>2.1444000000000001E-2</v>
      </c>
      <c r="F75" s="19">
        <f>'AEO 2023 Table 46 Raw'!I59</f>
        <v>3.1660000000000001E-2</v>
      </c>
      <c r="G75" s="19">
        <f>'AEO 2023 Table 46 Raw'!J59</f>
        <v>4.1856999999999998E-2</v>
      </c>
      <c r="H75" s="19">
        <f>'AEO 2023 Table 46 Raw'!K59</f>
        <v>5.1083999999999997E-2</v>
      </c>
      <c r="I75" s="19">
        <f>'AEO 2023 Table 46 Raw'!L59</f>
        <v>5.9813999999999999E-2</v>
      </c>
      <c r="J75" s="19">
        <f>'AEO 2023 Table 46 Raw'!M59</f>
        <v>6.9025000000000003E-2</v>
      </c>
      <c r="K75" s="19">
        <f>'AEO 2023 Table 46 Raw'!N59</f>
        <v>7.5124999999999997E-2</v>
      </c>
      <c r="L75" s="19">
        <f>'AEO 2023 Table 46 Raw'!O59</f>
        <v>8.1587999999999994E-2</v>
      </c>
      <c r="M75" s="19">
        <f>'AEO 2023 Table 46 Raw'!P59</f>
        <v>8.8802000000000006E-2</v>
      </c>
      <c r="N75" s="19">
        <f>'AEO 2023 Table 46 Raw'!Q59</f>
        <v>9.6568000000000001E-2</v>
      </c>
      <c r="O75" s="19">
        <f>'AEO 2023 Table 46 Raw'!R59</f>
        <v>0.10462</v>
      </c>
      <c r="P75" s="19">
        <f>'AEO 2023 Table 46 Raw'!S59</f>
        <v>0.11324099999999999</v>
      </c>
      <c r="Q75" s="19">
        <f>'AEO 2023 Table 46 Raw'!T59</f>
        <v>0.122502</v>
      </c>
      <c r="R75" s="19">
        <f>'AEO 2023 Table 46 Raw'!U59</f>
        <v>0.13290399999999999</v>
      </c>
      <c r="S75" s="19">
        <f>'AEO 2023 Table 46 Raw'!V59</f>
        <v>0.14464299999999999</v>
      </c>
      <c r="T75" s="19">
        <f>'AEO 2023 Table 46 Raw'!W59</f>
        <v>0.15751299999999999</v>
      </c>
      <c r="U75" s="19">
        <f>'AEO 2023 Table 46 Raw'!X59</f>
        <v>0.17191000000000001</v>
      </c>
      <c r="V75" s="19">
        <f>'AEO 2023 Table 46 Raw'!Y59</f>
        <v>0.18760499999999999</v>
      </c>
      <c r="W75" s="19">
        <f>'AEO 2023 Table 46 Raw'!Z59</f>
        <v>0.204536</v>
      </c>
      <c r="X75" s="19">
        <f>'AEO 2023 Table 46 Raw'!AA59</f>
        <v>0.2225</v>
      </c>
      <c r="Y75" s="19">
        <f>'AEO 2023 Table 46 Raw'!AB59</f>
        <v>0.24115700000000001</v>
      </c>
      <c r="Z75" s="19">
        <f>'AEO 2023 Table 46 Raw'!AC59</f>
        <v>0.260467</v>
      </c>
      <c r="AA75" s="19">
        <f>'AEO 2023 Table 46 Raw'!AD59</f>
        <v>0.28057500000000002</v>
      </c>
      <c r="AB75" s="19">
        <f>'AEO 2023 Table 46 Raw'!AE59</f>
        <v>0.30101899999999998</v>
      </c>
      <c r="AC75" s="19">
        <f>'AEO 2023 Table 46 Raw'!AF59</f>
        <v>0.32130799999999998</v>
      </c>
      <c r="AD75" s="19">
        <f>'AEO 2023 Table 46 Raw'!AG59</f>
        <v>0.34167999999999998</v>
      </c>
      <c r="AE75" s="19">
        <f>'AEO 2023 Table 46 Raw'!AH59</f>
        <v>0.36244999999999999</v>
      </c>
      <c r="AF75" s="30" t="str">
        <f>'AEO 2023 Table 46 Raw'!AI59</f>
        <v>- -</v>
      </c>
    </row>
    <row r="76" spans="1:33" ht="15" customHeight="1">
      <c r="A76" s="7" t="s">
        <v>495</v>
      </c>
      <c r="B76" s="16" t="s">
        <v>496</v>
      </c>
      <c r="C76" s="19">
        <f>'AEO 2023 Table 46 Raw'!F60</f>
        <v>0</v>
      </c>
      <c r="D76" s="19">
        <f>'AEO 2023 Table 46 Raw'!G60</f>
        <v>0</v>
      </c>
      <c r="E76" s="19">
        <f>'AEO 2023 Table 46 Raw'!H60</f>
        <v>0</v>
      </c>
      <c r="F76" s="19">
        <f>'AEO 2023 Table 46 Raw'!I60</f>
        <v>0</v>
      </c>
      <c r="G76" s="19">
        <f>'AEO 2023 Table 46 Raw'!J60</f>
        <v>0</v>
      </c>
      <c r="H76" s="19">
        <f>'AEO 2023 Table 46 Raw'!K60</f>
        <v>0</v>
      </c>
      <c r="I76" s="19">
        <f>'AEO 2023 Table 46 Raw'!L60</f>
        <v>0</v>
      </c>
      <c r="J76" s="19">
        <f>'AEO 2023 Table 46 Raw'!M60</f>
        <v>0</v>
      </c>
      <c r="K76" s="19">
        <f>'AEO 2023 Table 46 Raw'!N60</f>
        <v>0</v>
      </c>
      <c r="L76" s="19">
        <f>'AEO 2023 Table 46 Raw'!O60</f>
        <v>0</v>
      </c>
      <c r="M76" s="19">
        <f>'AEO 2023 Table 46 Raw'!P60</f>
        <v>0</v>
      </c>
      <c r="N76" s="19">
        <f>'AEO 2023 Table 46 Raw'!Q60</f>
        <v>0</v>
      </c>
      <c r="O76" s="19">
        <f>'AEO 2023 Table 46 Raw'!R60</f>
        <v>0</v>
      </c>
      <c r="P76" s="19">
        <f>'AEO 2023 Table 46 Raw'!S60</f>
        <v>0</v>
      </c>
      <c r="Q76" s="19">
        <f>'AEO 2023 Table 46 Raw'!T60</f>
        <v>0</v>
      </c>
      <c r="R76" s="19">
        <f>'AEO 2023 Table 46 Raw'!U60</f>
        <v>0</v>
      </c>
      <c r="S76" s="19">
        <f>'AEO 2023 Table 46 Raw'!V60</f>
        <v>0</v>
      </c>
      <c r="T76" s="19">
        <f>'AEO 2023 Table 46 Raw'!W60</f>
        <v>0</v>
      </c>
      <c r="U76" s="19">
        <f>'AEO 2023 Table 46 Raw'!X60</f>
        <v>0</v>
      </c>
      <c r="V76" s="19">
        <f>'AEO 2023 Table 46 Raw'!Y60</f>
        <v>0</v>
      </c>
      <c r="W76" s="19">
        <f>'AEO 2023 Table 46 Raw'!Z60</f>
        <v>0</v>
      </c>
      <c r="X76" s="19">
        <f>'AEO 2023 Table 46 Raw'!AA60</f>
        <v>0</v>
      </c>
      <c r="Y76" s="19">
        <f>'AEO 2023 Table 46 Raw'!AB60</f>
        <v>0</v>
      </c>
      <c r="Z76" s="19">
        <f>'AEO 2023 Table 46 Raw'!AC60</f>
        <v>0</v>
      </c>
      <c r="AA76" s="19">
        <f>'AEO 2023 Table 46 Raw'!AD60</f>
        <v>0</v>
      </c>
      <c r="AB76" s="19">
        <f>'AEO 2023 Table 46 Raw'!AE60</f>
        <v>0</v>
      </c>
      <c r="AC76" s="19">
        <f>'AEO 2023 Table 46 Raw'!AF60</f>
        <v>0</v>
      </c>
      <c r="AD76" s="19">
        <f>'AEO 2023 Table 46 Raw'!AG60</f>
        <v>0</v>
      </c>
      <c r="AE76" s="19">
        <f>'AEO 2023 Table 46 Raw'!AH60</f>
        <v>0</v>
      </c>
      <c r="AF76" s="30" t="str">
        <f>'AEO 2023 Table 46 Raw'!AI60</f>
        <v>- -</v>
      </c>
    </row>
    <row r="77" spans="1:33" ht="15" customHeight="1">
      <c r="A77" s="7" t="s">
        <v>497</v>
      </c>
      <c r="B77" s="15" t="s">
        <v>498</v>
      </c>
      <c r="C77" s="19">
        <f>'AEO 2023 Table 46 Raw'!F61</f>
        <v>102.01198599999999</v>
      </c>
      <c r="D77" s="19">
        <f>'AEO 2023 Table 46 Raw'!G61</f>
        <v>101.42849699999999</v>
      </c>
      <c r="E77" s="19">
        <f>'AEO 2023 Table 46 Raw'!H61</f>
        <v>100.397537</v>
      </c>
      <c r="F77" s="19">
        <f>'AEO 2023 Table 46 Raw'!I61</f>
        <v>100.42008199999999</v>
      </c>
      <c r="G77" s="19">
        <f>'AEO 2023 Table 46 Raw'!J61</f>
        <v>101.065697</v>
      </c>
      <c r="H77" s="19">
        <f>'AEO 2023 Table 46 Raw'!K61</f>
        <v>101.775436</v>
      </c>
      <c r="I77" s="19">
        <f>'AEO 2023 Table 46 Raw'!L61</f>
        <v>102.397369</v>
      </c>
      <c r="J77" s="19">
        <f>'AEO 2023 Table 46 Raw'!M61</f>
        <v>102.961609</v>
      </c>
      <c r="K77" s="19">
        <f>'AEO 2023 Table 46 Raw'!N61</f>
        <v>103.389183</v>
      </c>
      <c r="L77" s="19">
        <f>'AEO 2023 Table 46 Raw'!O61</f>
        <v>103.85086800000001</v>
      </c>
      <c r="M77" s="19">
        <f>'AEO 2023 Table 46 Raw'!P61</f>
        <v>104.647583</v>
      </c>
      <c r="N77" s="19">
        <f>'AEO 2023 Table 46 Raw'!Q61</f>
        <v>105.326759</v>
      </c>
      <c r="O77" s="19">
        <f>'AEO 2023 Table 46 Raw'!R61</f>
        <v>105.737961</v>
      </c>
      <c r="P77" s="19">
        <f>'AEO 2023 Table 46 Raw'!S61</f>
        <v>106.207207</v>
      </c>
      <c r="Q77" s="19">
        <f>'AEO 2023 Table 46 Raw'!T61</f>
        <v>106.625519</v>
      </c>
      <c r="R77" s="19">
        <f>'AEO 2023 Table 46 Raw'!U61</f>
        <v>107.260445</v>
      </c>
      <c r="S77" s="19">
        <f>'AEO 2023 Table 46 Raw'!V61</f>
        <v>108.055717</v>
      </c>
      <c r="T77" s="19">
        <f>'AEO 2023 Table 46 Raw'!W61</f>
        <v>108.811089</v>
      </c>
      <c r="U77" s="19">
        <f>'AEO 2023 Table 46 Raw'!X61</f>
        <v>109.684494</v>
      </c>
      <c r="V77" s="19">
        <f>'AEO 2023 Table 46 Raw'!Y61</f>
        <v>110.574173</v>
      </c>
      <c r="W77" s="19">
        <f>'AEO 2023 Table 46 Raw'!Z61</f>
        <v>111.49681099999999</v>
      </c>
      <c r="X77" s="19">
        <f>'AEO 2023 Table 46 Raw'!AA61</f>
        <v>112.40994999999999</v>
      </c>
      <c r="Y77" s="19">
        <f>'AEO 2023 Table 46 Raw'!AB61</f>
        <v>113.274773</v>
      </c>
      <c r="Z77" s="19">
        <f>'AEO 2023 Table 46 Raw'!AC61</f>
        <v>114.12487</v>
      </c>
      <c r="AA77" s="19">
        <f>'AEO 2023 Table 46 Raw'!AD61</f>
        <v>115.109894</v>
      </c>
      <c r="AB77" s="19">
        <f>'AEO 2023 Table 46 Raw'!AE61</f>
        <v>116.14473</v>
      </c>
      <c r="AC77" s="19">
        <f>'AEO 2023 Table 46 Raw'!AF61</f>
        <v>117.12908899999999</v>
      </c>
      <c r="AD77" s="19">
        <f>'AEO 2023 Table 46 Raw'!AG61</f>
        <v>118.18765999999999</v>
      </c>
      <c r="AE77" s="19">
        <f>'AEO 2023 Table 46 Raw'!AH61</f>
        <v>119.49492600000001</v>
      </c>
      <c r="AF77" s="30">
        <f>'AEO 2023 Table 46 Raw'!AI61</f>
        <v>6.0000000000000001E-3</v>
      </c>
    </row>
    <row r="78" spans="1:33" ht="15" customHeight="1" thickBot="1"/>
    <row r="79" spans="1:33" ht="15" customHeight="1">
      <c r="B79" s="103" t="s">
        <v>499</v>
      </c>
      <c r="C79" s="104"/>
      <c r="D79" s="104"/>
      <c r="E79" s="104"/>
      <c r="F79" s="104"/>
      <c r="G79" s="104"/>
      <c r="H79" s="104"/>
      <c r="I79" s="104"/>
      <c r="J79" s="104"/>
      <c r="K79" s="104"/>
      <c r="L79" s="104"/>
      <c r="M79" s="104"/>
      <c r="N79" s="104"/>
      <c r="O79" s="104"/>
      <c r="P79" s="104"/>
      <c r="Q79" s="104"/>
      <c r="R79" s="104"/>
      <c r="S79" s="104"/>
      <c r="T79" s="104"/>
      <c r="U79" s="104"/>
      <c r="V79" s="104"/>
      <c r="W79" s="104"/>
      <c r="X79" s="104"/>
      <c r="Y79" s="104"/>
      <c r="Z79" s="104"/>
      <c r="AA79" s="104"/>
      <c r="AB79" s="104"/>
      <c r="AC79" s="104"/>
      <c r="AD79" s="104"/>
      <c r="AE79" s="104"/>
      <c r="AF79" s="104"/>
      <c r="AG79" s="20"/>
    </row>
    <row r="80" spans="1:33" ht="15" customHeight="1">
      <c r="B80" s="4" t="s">
        <v>500</v>
      </c>
    </row>
    <row r="81" spans="2:2" ht="15" customHeight="1">
      <c r="B81" s="4" t="s">
        <v>501</v>
      </c>
    </row>
    <row r="82" spans="2:2" ht="15" customHeight="1">
      <c r="B82" s="4" t="s">
        <v>502</v>
      </c>
    </row>
    <row r="83" spans="2:2" ht="15" customHeight="1">
      <c r="B83" s="4" t="s">
        <v>158</v>
      </c>
    </row>
    <row r="84" spans="2:2" ht="15" customHeight="1">
      <c r="B84" s="4" t="s">
        <v>503</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01"/>
      <c r="C258" s="101"/>
      <c r="D258" s="101"/>
      <c r="E258" s="101"/>
      <c r="F258" s="101"/>
      <c r="G258" s="101"/>
      <c r="H258" s="101"/>
      <c r="I258" s="101"/>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01"/>
      <c r="C340" s="101"/>
      <c r="D340" s="101"/>
      <c r="E340" s="101"/>
      <c r="F340" s="101"/>
      <c r="G340" s="101"/>
      <c r="H340" s="101"/>
      <c r="I340" s="101"/>
      <c r="J340" s="101"/>
      <c r="K340" s="101"/>
      <c r="L340" s="101"/>
      <c r="M340" s="101"/>
      <c r="N340" s="101"/>
      <c r="O340" s="101"/>
      <c r="P340" s="101"/>
      <c r="Q340" s="101"/>
      <c r="R340" s="101"/>
      <c r="S340" s="101"/>
      <c r="T340" s="101"/>
      <c r="U340" s="101"/>
      <c r="V340" s="101"/>
      <c r="W340" s="101"/>
      <c r="X340" s="101"/>
      <c r="Y340" s="101"/>
      <c r="Z340" s="101"/>
      <c r="AA340" s="101"/>
      <c r="AB340" s="101"/>
      <c r="AC340" s="101"/>
      <c r="AD340" s="101"/>
      <c r="AE340" s="101"/>
      <c r="AF340" s="101"/>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01"/>
      <c r="C452" s="101"/>
      <c r="D452" s="101"/>
      <c r="E452" s="101"/>
      <c r="F452" s="101"/>
      <c r="G452" s="101"/>
      <c r="H452" s="101"/>
      <c r="I452" s="101"/>
      <c r="J452" s="101"/>
      <c r="K452" s="101"/>
      <c r="L452" s="101"/>
      <c r="M452" s="101"/>
      <c r="N452" s="101"/>
      <c r="O452" s="101"/>
      <c r="P452" s="101"/>
      <c r="Q452" s="101"/>
      <c r="R452" s="101"/>
      <c r="S452" s="101"/>
      <c r="T452" s="101"/>
      <c r="U452" s="101"/>
      <c r="V452" s="101"/>
      <c r="W452" s="101"/>
      <c r="X452" s="101"/>
      <c r="Y452" s="101"/>
      <c r="Z452" s="101"/>
      <c r="AA452" s="101"/>
      <c r="AB452" s="101"/>
      <c r="AC452" s="101"/>
      <c r="AD452" s="101"/>
      <c r="AE452" s="101"/>
      <c r="AF452" s="101"/>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01"/>
      <c r="C557" s="101"/>
      <c r="D557" s="101"/>
      <c r="E557" s="101"/>
      <c r="F557" s="101"/>
      <c r="G557" s="101"/>
      <c r="H557" s="101"/>
      <c r="I557" s="101"/>
      <c r="J557" s="101"/>
      <c r="K557" s="101"/>
      <c r="L557" s="101"/>
      <c r="M557" s="101"/>
      <c r="N557" s="101"/>
      <c r="O557" s="101"/>
      <c r="P557" s="101"/>
      <c r="Q557" s="101"/>
      <c r="R557" s="101"/>
      <c r="S557" s="101"/>
      <c r="T557" s="101"/>
      <c r="U557" s="101"/>
      <c r="V557" s="101"/>
      <c r="W557" s="101"/>
      <c r="X557" s="101"/>
      <c r="Y557" s="101"/>
      <c r="Z557" s="101"/>
      <c r="AA557" s="101"/>
      <c r="AB557" s="101"/>
      <c r="AC557" s="101"/>
      <c r="AD557" s="101"/>
      <c r="AE557" s="101"/>
      <c r="AF557" s="101"/>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01"/>
      <c r="C638" s="101"/>
      <c r="D638" s="101"/>
      <c r="E638" s="101"/>
      <c r="F638" s="101"/>
      <c r="G638" s="101"/>
      <c r="H638" s="101"/>
      <c r="I638" s="101"/>
      <c r="J638" s="101"/>
      <c r="K638" s="101"/>
      <c r="L638" s="101"/>
      <c r="M638" s="101"/>
      <c r="N638" s="101"/>
      <c r="O638" s="101"/>
      <c r="P638" s="101"/>
      <c r="Q638" s="101"/>
      <c r="R638" s="101"/>
      <c r="S638" s="101"/>
      <c r="T638" s="101"/>
      <c r="U638" s="101"/>
      <c r="V638" s="101"/>
      <c r="W638" s="101"/>
      <c r="X638" s="101"/>
      <c r="Y638" s="101"/>
      <c r="Z638" s="101"/>
      <c r="AA638" s="101"/>
      <c r="AB638" s="101"/>
      <c r="AC638" s="101"/>
      <c r="AD638" s="101"/>
      <c r="AE638" s="101"/>
      <c r="AF638" s="101"/>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01"/>
      <c r="C710" s="101"/>
      <c r="D710" s="101"/>
      <c r="E710" s="101"/>
      <c r="F710" s="101"/>
      <c r="G710" s="101"/>
      <c r="H710" s="101"/>
      <c r="I710" s="101"/>
      <c r="J710" s="101"/>
      <c r="K710" s="101"/>
      <c r="L710" s="101"/>
      <c r="M710" s="101"/>
      <c r="N710" s="101"/>
      <c r="O710" s="101"/>
      <c r="P710" s="101"/>
      <c r="Q710" s="101"/>
      <c r="R710" s="101"/>
      <c r="S710" s="101"/>
      <c r="T710" s="101"/>
      <c r="U710" s="101"/>
      <c r="V710" s="101"/>
      <c r="W710" s="101"/>
      <c r="X710" s="101"/>
      <c r="Y710" s="101"/>
      <c r="Z710" s="101"/>
      <c r="AA710" s="101"/>
      <c r="AB710" s="101"/>
      <c r="AC710" s="101"/>
      <c r="AD710" s="101"/>
      <c r="AE710" s="101"/>
      <c r="AF710" s="101"/>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01"/>
      <c r="C886" s="101"/>
      <c r="D886" s="101"/>
      <c r="E886" s="101"/>
      <c r="F886" s="101"/>
      <c r="G886" s="101"/>
      <c r="H886" s="101"/>
      <c r="I886" s="101"/>
      <c r="J886" s="101"/>
      <c r="K886" s="101"/>
      <c r="L886" s="101"/>
      <c r="M886" s="101"/>
      <c r="N886" s="101"/>
      <c r="O886" s="101"/>
      <c r="P886" s="101"/>
      <c r="Q886" s="101"/>
      <c r="R886" s="101"/>
      <c r="S886" s="101"/>
      <c r="T886" s="101"/>
      <c r="U886" s="101"/>
      <c r="V886" s="101"/>
      <c r="W886" s="101"/>
      <c r="X886" s="101"/>
      <c r="Y886" s="101"/>
      <c r="Z886" s="101"/>
      <c r="AA886" s="101"/>
      <c r="AB886" s="101"/>
      <c r="AC886" s="101"/>
      <c r="AD886" s="101"/>
      <c r="AE886" s="101"/>
      <c r="AF886" s="101"/>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01"/>
      <c r="C969" s="101"/>
      <c r="D969" s="101"/>
      <c r="E969" s="101"/>
      <c r="F969" s="101"/>
      <c r="G969" s="101"/>
      <c r="H969" s="101"/>
      <c r="I969" s="101"/>
      <c r="J969" s="101"/>
      <c r="K969" s="101"/>
      <c r="L969" s="101"/>
      <c r="M969" s="101"/>
      <c r="N969" s="101"/>
      <c r="O969" s="101"/>
      <c r="P969" s="101"/>
      <c r="Q969" s="101"/>
      <c r="R969" s="101"/>
      <c r="S969" s="101"/>
      <c r="T969" s="101"/>
      <c r="U969" s="101"/>
      <c r="V969" s="101"/>
      <c r="W969" s="101"/>
      <c r="X969" s="101"/>
      <c r="Y969" s="101"/>
      <c r="Z969" s="101"/>
      <c r="AA969" s="101"/>
      <c r="AB969" s="101"/>
      <c r="AC969" s="101"/>
      <c r="AD969" s="101"/>
      <c r="AE969" s="101"/>
      <c r="AF969" s="101"/>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01"/>
      <c r="C1071" s="101"/>
      <c r="D1071" s="101"/>
      <c r="E1071" s="101"/>
      <c r="F1071" s="101"/>
      <c r="G1071" s="101"/>
      <c r="H1071" s="101"/>
      <c r="I1071" s="101"/>
      <c r="J1071" s="101"/>
      <c r="K1071" s="101"/>
      <c r="L1071" s="101"/>
      <c r="M1071" s="101"/>
      <c r="N1071" s="101"/>
      <c r="O1071" s="101"/>
      <c r="P1071" s="101"/>
      <c r="Q1071" s="101"/>
      <c r="R1071" s="101"/>
      <c r="S1071" s="101"/>
      <c r="T1071" s="101"/>
      <c r="U1071" s="101"/>
      <c r="V1071" s="101"/>
      <c r="W1071" s="101"/>
      <c r="X1071" s="101"/>
      <c r="Y1071" s="101"/>
      <c r="Z1071" s="101"/>
      <c r="AA1071" s="101"/>
      <c r="AB1071" s="101"/>
      <c r="AC1071" s="101"/>
      <c r="AD1071" s="101"/>
      <c r="AE1071" s="101"/>
      <c r="AF1071" s="101"/>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01"/>
      <c r="C1169" s="101"/>
      <c r="D1169" s="101"/>
      <c r="E1169" s="101"/>
      <c r="F1169" s="101"/>
      <c r="G1169" s="101"/>
      <c r="H1169" s="101"/>
      <c r="I1169" s="101"/>
      <c r="J1169" s="101"/>
      <c r="K1169" s="101"/>
      <c r="L1169" s="101"/>
      <c r="M1169" s="101"/>
      <c r="N1169" s="101"/>
      <c r="O1169" s="101"/>
      <c r="P1169" s="101"/>
      <c r="Q1169" s="101"/>
      <c r="R1169" s="101"/>
      <c r="S1169" s="101"/>
      <c r="T1169" s="101"/>
      <c r="U1169" s="101"/>
      <c r="V1169" s="101"/>
      <c r="W1169" s="101"/>
      <c r="X1169" s="101"/>
      <c r="Y1169" s="101"/>
      <c r="Z1169" s="101"/>
      <c r="AA1169" s="101"/>
      <c r="AB1169" s="101"/>
      <c r="AC1169" s="101"/>
      <c r="AD1169" s="101"/>
      <c r="AE1169" s="101"/>
      <c r="AF1169" s="101"/>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01"/>
      <c r="C1269" s="101"/>
      <c r="D1269" s="101"/>
      <c r="E1269" s="101"/>
      <c r="F1269" s="101"/>
      <c r="G1269" s="101"/>
      <c r="H1269" s="101"/>
      <c r="I1269" s="101"/>
      <c r="J1269" s="101"/>
      <c r="K1269" s="101"/>
      <c r="L1269" s="101"/>
      <c r="M1269" s="101"/>
      <c r="N1269" s="101"/>
      <c r="O1269" s="101"/>
      <c r="P1269" s="101"/>
      <c r="Q1269" s="101"/>
      <c r="R1269" s="101"/>
      <c r="S1269" s="101"/>
      <c r="T1269" s="101"/>
      <c r="U1269" s="101"/>
      <c r="V1269" s="101"/>
      <c r="W1269" s="101"/>
      <c r="X1269" s="101"/>
      <c r="Y1269" s="101"/>
      <c r="Z1269" s="101"/>
      <c r="AA1269" s="101"/>
      <c r="AB1269" s="101"/>
      <c r="AC1269" s="101"/>
      <c r="AD1269" s="101"/>
      <c r="AE1269" s="101"/>
      <c r="AF1269" s="101"/>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01"/>
      <c r="C1484" s="101"/>
      <c r="D1484" s="101"/>
      <c r="E1484" s="101"/>
      <c r="F1484" s="101"/>
      <c r="G1484" s="101"/>
      <c r="H1484" s="101"/>
      <c r="I1484" s="101"/>
      <c r="J1484" s="101"/>
      <c r="K1484" s="101"/>
      <c r="L1484" s="101"/>
      <c r="M1484" s="101"/>
      <c r="N1484" s="101"/>
      <c r="O1484" s="101"/>
      <c r="P1484" s="101"/>
      <c r="Q1484" s="101"/>
      <c r="R1484" s="101"/>
      <c r="S1484" s="101"/>
      <c r="T1484" s="101"/>
      <c r="U1484" s="101"/>
      <c r="V1484" s="101"/>
      <c r="W1484" s="101"/>
      <c r="X1484" s="101"/>
      <c r="Y1484" s="101"/>
      <c r="Z1484" s="101"/>
      <c r="AA1484" s="101"/>
      <c r="AB1484" s="101"/>
      <c r="AC1484" s="101"/>
      <c r="AD1484" s="101"/>
      <c r="AE1484" s="101"/>
      <c r="AF1484" s="101"/>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01"/>
      <c r="C1713" s="101"/>
      <c r="D1713" s="101"/>
      <c r="E1713" s="101"/>
      <c r="F1713" s="101"/>
      <c r="G1713" s="101"/>
      <c r="H1713" s="101"/>
      <c r="I1713" s="101"/>
      <c r="J1713" s="101"/>
      <c r="K1713" s="101"/>
      <c r="L1713" s="101"/>
      <c r="M1713" s="101"/>
      <c r="N1713" s="101"/>
      <c r="O1713" s="101"/>
      <c r="P1713" s="101"/>
      <c r="Q1713" s="101"/>
      <c r="R1713" s="101"/>
      <c r="S1713" s="101"/>
      <c r="T1713" s="101"/>
      <c r="U1713" s="101"/>
      <c r="V1713" s="101"/>
      <c r="W1713" s="101"/>
      <c r="X1713" s="101"/>
      <c r="Y1713" s="101"/>
      <c r="Z1713" s="101"/>
      <c r="AA1713" s="101"/>
      <c r="AB1713" s="101"/>
      <c r="AC1713" s="101"/>
      <c r="AD1713" s="101"/>
      <c r="AE1713" s="101"/>
      <c r="AF1713" s="10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01"/>
      <c r="C1990" s="101"/>
      <c r="D1990" s="101"/>
      <c r="E1990" s="101"/>
      <c r="F1990" s="101"/>
      <c r="G1990" s="101"/>
      <c r="H1990" s="101"/>
      <c r="I1990" s="101"/>
      <c r="J1990" s="101"/>
      <c r="K1990" s="101"/>
      <c r="L1990" s="101"/>
      <c r="M1990" s="101"/>
      <c r="N1990" s="101"/>
      <c r="O1990" s="101"/>
      <c r="P1990" s="101"/>
      <c r="Q1990" s="101"/>
      <c r="R1990" s="101"/>
      <c r="S1990" s="101"/>
      <c r="T1990" s="101"/>
      <c r="U1990" s="101"/>
      <c r="V1990" s="101"/>
      <c r="W1990" s="101"/>
      <c r="X1990" s="101"/>
      <c r="Y1990" s="101"/>
      <c r="Z1990" s="101"/>
      <c r="AA1990" s="101"/>
      <c r="AB1990" s="101"/>
      <c r="AC1990" s="101"/>
      <c r="AD1990" s="101"/>
      <c r="AE1990" s="101"/>
      <c r="AF1990" s="101"/>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01"/>
      <c r="C2325" s="101"/>
      <c r="D2325" s="101"/>
      <c r="E2325" s="101"/>
      <c r="F2325" s="101"/>
      <c r="G2325" s="101"/>
      <c r="H2325" s="101"/>
      <c r="I2325" s="101"/>
      <c r="J2325" s="101"/>
      <c r="K2325" s="101"/>
      <c r="L2325" s="101"/>
      <c r="M2325" s="101"/>
      <c r="N2325" s="101"/>
      <c r="O2325" s="101"/>
      <c r="P2325" s="101"/>
      <c r="Q2325" s="101"/>
      <c r="R2325" s="101"/>
      <c r="S2325" s="101"/>
      <c r="T2325" s="101"/>
      <c r="U2325" s="101"/>
      <c r="V2325" s="101"/>
      <c r="W2325" s="101"/>
      <c r="X2325" s="101"/>
      <c r="Y2325" s="101"/>
      <c r="Z2325" s="101"/>
      <c r="AA2325" s="101"/>
      <c r="AB2325" s="101"/>
      <c r="AC2325" s="101"/>
      <c r="AD2325" s="101"/>
      <c r="AE2325" s="101"/>
      <c r="AF2325" s="101"/>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01"/>
      <c r="C2645" s="101"/>
      <c r="D2645" s="101"/>
      <c r="E2645" s="101"/>
      <c r="F2645" s="101"/>
      <c r="G2645" s="101"/>
      <c r="H2645" s="101"/>
      <c r="I2645" s="101"/>
      <c r="J2645" s="101"/>
      <c r="K2645" s="101"/>
      <c r="L2645" s="101"/>
      <c r="M2645" s="101"/>
      <c r="N2645" s="101"/>
      <c r="O2645" s="101"/>
      <c r="P2645" s="101"/>
      <c r="Q2645" s="101"/>
      <c r="R2645" s="101"/>
      <c r="S2645" s="101"/>
      <c r="T2645" s="101"/>
      <c r="U2645" s="101"/>
      <c r="V2645" s="101"/>
      <c r="W2645" s="101"/>
      <c r="X2645" s="101"/>
      <c r="Y2645" s="101"/>
      <c r="Z2645" s="101"/>
      <c r="AA2645" s="101"/>
      <c r="AB2645" s="101"/>
      <c r="AC2645" s="101"/>
      <c r="AD2645" s="101"/>
      <c r="AE2645" s="101"/>
      <c r="AF2645" s="101"/>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01"/>
      <c r="C2971" s="101"/>
      <c r="D2971" s="101"/>
      <c r="E2971" s="101"/>
      <c r="F2971" s="101"/>
      <c r="G2971" s="101"/>
      <c r="H2971" s="101"/>
      <c r="I2971" s="101"/>
      <c r="J2971" s="101"/>
      <c r="K2971" s="101"/>
      <c r="L2971" s="101"/>
      <c r="M2971" s="101"/>
      <c r="N2971" s="101"/>
      <c r="O2971" s="101"/>
      <c r="P2971" s="101"/>
      <c r="Q2971" s="101"/>
      <c r="R2971" s="101"/>
      <c r="S2971" s="101"/>
      <c r="T2971" s="101"/>
      <c r="U2971" s="101"/>
      <c r="V2971" s="101"/>
      <c r="W2971" s="101"/>
      <c r="X2971" s="101"/>
      <c r="Y2971" s="101"/>
      <c r="Z2971" s="101"/>
      <c r="AA2971" s="101"/>
      <c r="AB2971" s="101"/>
      <c r="AC2971" s="101"/>
      <c r="AD2971" s="101"/>
      <c r="AE2971" s="101"/>
      <c r="AF2971" s="101"/>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01"/>
      <c r="C3293" s="101"/>
      <c r="D3293" s="101"/>
      <c r="E3293" s="101"/>
      <c r="F3293" s="101"/>
      <c r="G3293" s="101"/>
      <c r="H3293" s="101"/>
      <c r="I3293" s="101"/>
      <c r="J3293" s="101"/>
      <c r="K3293" s="101"/>
      <c r="L3293" s="101"/>
      <c r="M3293" s="101"/>
      <c r="N3293" s="101"/>
      <c r="O3293" s="101"/>
      <c r="P3293" s="101"/>
      <c r="Q3293" s="101"/>
      <c r="R3293" s="101"/>
      <c r="S3293" s="101"/>
      <c r="T3293" s="101"/>
      <c r="U3293" s="101"/>
      <c r="V3293" s="101"/>
      <c r="W3293" s="101"/>
      <c r="X3293" s="101"/>
      <c r="Y3293" s="101"/>
      <c r="Z3293" s="101"/>
      <c r="AA3293" s="101"/>
      <c r="AB3293" s="101"/>
      <c r="AC3293" s="101"/>
      <c r="AD3293" s="101"/>
      <c r="AE3293" s="101"/>
      <c r="AF3293" s="10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01"/>
      <c r="C3402" s="101"/>
      <c r="D3402" s="101"/>
      <c r="E3402" s="101"/>
      <c r="F3402" s="101"/>
      <c r="G3402" s="101"/>
      <c r="H3402" s="101"/>
      <c r="I3402" s="101"/>
      <c r="J3402" s="101"/>
      <c r="K3402" s="101"/>
      <c r="L3402" s="101"/>
      <c r="M3402" s="101"/>
      <c r="N3402" s="101"/>
      <c r="O3402" s="101"/>
      <c r="P3402" s="101"/>
      <c r="Q3402" s="101"/>
      <c r="R3402" s="101"/>
      <c r="S3402" s="101"/>
      <c r="T3402" s="101"/>
      <c r="U3402" s="101"/>
      <c r="V3402" s="101"/>
      <c r="W3402" s="101"/>
      <c r="X3402" s="101"/>
      <c r="Y3402" s="101"/>
      <c r="Z3402" s="101"/>
      <c r="AA3402" s="101"/>
      <c r="AB3402" s="101"/>
      <c r="AC3402" s="101"/>
      <c r="AD3402" s="101"/>
      <c r="AE3402" s="101"/>
      <c r="AF3402" s="101"/>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01"/>
      <c r="C3527" s="101"/>
      <c r="D3527" s="101"/>
      <c r="E3527" s="101"/>
      <c r="F3527" s="101"/>
      <c r="G3527" s="101"/>
      <c r="H3527" s="101"/>
      <c r="I3527" s="101"/>
      <c r="J3527" s="101"/>
      <c r="K3527" s="101"/>
      <c r="L3527" s="101"/>
      <c r="M3527" s="101"/>
      <c r="N3527" s="101"/>
      <c r="O3527" s="101"/>
      <c r="P3527" s="101"/>
      <c r="Q3527" s="101"/>
      <c r="R3527" s="101"/>
      <c r="S3527" s="101"/>
      <c r="T3527" s="101"/>
      <c r="U3527" s="101"/>
      <c r="V3527" s="101"/>
      <c r="W3527" s="101"/>
      <c r="X3527" s="101"/>
      <c r="Y3527" s="101"/>
      <c r="Z3527" s="101"/>
      <c r="AA3527" s="101"/>
      <c r="AB3527" s="101"/>
      <c r="AC3527" s="101"/>
      <c r="AD3527" s="101"/>
      <c r="AE3527" s="101"/>
      <c r="AF3527" s="101"/>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01"/>
      <c r="C3652" s="101"/>
      <c r="D3652" s="101"/>
      <c r="E3652" s="101"/>
      <c r="F3652" s="101"/>
      <c r="G3652" s="101"/>
      <c r="H3652" s="101"/>
      <c r="I3652" s="101"/>
      <c r="J3652" s="101"/>
      <c r="K3652" s="101"/>
      <c r="L3652" s="101"/>
      <c r="M3652" s="101"/>
      <c r="N3652" s="101"/>
      <c r="O3652" s="101"/>
      <c r="P3652" s="101"/>
      <c r="Q3652" s="101"/>
      <c r="R3652" s="101"/>
      <c r="S3652" s="101"/>
      <c r="T3652" s="101"/>
      <c r="U3652" s="101"/>
      <c r="V3652" s="101"/>
      <c r="W3652" s="101"/>
      <c r="X3652" s="101"/>
      <c r="Y3652" s="101"/>
      <c r="Z3652" s="101"/>
      <c r="AA3652" s="101"/>
      <c r="AB3652" s="101"/>
      <c r="AC3652" s="101"/>
      <c r="AD3652" s="101"/>
      <c r="AE3652" s="101"/>
      <c r="AF3652" s="101"/>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01"/>
      <c r="C3777" s="101"/>
      <c r="D3777" s="101"/>
      <c r="E3777" s="101"/>
      <c r="F3777" s="101"/>
      <c r="G3777" s="101"/>
      <c r="H3777" s="101"/>
      <c r="I3777" s="101"/>
      <c r="J3777" s="101"/>
      <c r="K3777" s="101"/>
      <c r="L3777" s="101"/>
      <c r="M3777" s="101"/>
      <c r="N3777" s="101"/>
      <c r="O3777" s="101"/>
      <c r="P3777" s="101"/>
      <c r="Q3777" s="101"/>
      <c r="R3777" s="101"/>
      <c r="S3777" s="101"/>
      <c r="T3777" s="101"/>
      <c r="U3777" s="101"/>
      <c r="V3777" s="101"/>
      <c r="W3777" s="101"/>
      <c r="X3777" s="101"/>
      <c r="Y3777" s="101"/>
      <c r="Z3777" s="101"/>
      <c r="AA3777" s="101"/>
      <c r="AB3777" s="101"/>
      <c r="AC3777" s="101"/>
      <c r="AD3777" s="101"/>
      <c r="AE3777" s="101"/>
      <c r="AF3777" s="101"/>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01"/>
      <c r="C3902" s="101"/>
      <c r="D3902" s="101"/>
      <c r="E3902" s="101"/>
      <c r="F3902" s="101"/>
      <c r="G3902" s="101"/>
      <c r="H3902" s="101"/>
      <c r="I3902" s="101"/>
      <c r="J3902" s="101"/>
      <c r="K3902" s="101"/>
      <c r="L3902" s="101"/>
      <c r="M3902" s="101"/>
      <c r="N3902" s="101"/>
      <c r="O3902" s="101"/>
      <c r="P3902" s="101"/>
      <c r="Q3902" s="101"/>
      <c r="R3902" s="101"/>
      <c r="S3902" s="101"/>
      <c r="T3902" s="101"/>
      <c r="U3902" s="101"/>
      <c r="V3902" s="101"/>
      <c r="W3902" s="101"/>
      <c r="X3902" s="101"/>
      <c r="Y3902" s="101"/>
      <c r="Z3902" s="101"/>
      <c r="AA3902" s="101"/>
      <c r="AB3902" s="101"/>
      <c r="AC3902" s="101"/>
      <c r="AD3902" s="101"/>
      <c r="AE3902" s="101"/>
      <c r="AF3902" s="101"/>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01"/>
      <c r="C4027" s="101"/>
      <c r="D4027" s="101"/>
      <c r="E4027" s="101"/>
      <c r="F4027" s="101"/>
      <c r="G4027" s="101"/>
      <c r="H4027" s="101"/>
      <c r="I4027" s="101"/>
      <c r="J4027" s="101"/>
      <c r="K4027" s="101"/>
      <c r="L4027" s="101"/>
      <c r="M4027" s="101"/>
      <c r="N4027" s="101"/>
      <c r="O4027" s="101"/>
      <c r="P4027" s="101"/>
      <c r="Q4027" s="101"/>
      <c r="R4027" s="101"/>
      <c r="S4027" s="101"/>
      <c r="T4027" s="101"/>
      <c r="U4027" s="101"/>
      <c r="V4027" s="101"/>
      <c r="W4027" s="101"/>
      <c r="X4027" s="101"/>
      <c r="Y4027" s="101"/>
      <c r="Z4027" s="101"/>
      <c r="AA4027" s="101"/>
      <c r="AB4027" s="101"/>
      <c r="AC4027" s="101"/>
      <c r="AD4027" s="101"/>
      <c r="AE4027" s="101"/>
      <c r="AF4027" s="101"/>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01"/>
      <c r="C4152" s="101"/>
      <c r="D4152" s="101"/>
      <c r="E4152" s="101"/>
      <c r="F4152" s="101"/>
      <c r="G4152" s="101"/>
      <c r="H4152" s="101"/>
      <c r="I4152" s="101"/>
      <c r="J4152" s="101"/>
      <c r="K4152" s="101"/>
      <c r="L4152" s="101"/>
      <c r="M4152" s="101"/>
      <c r="N4152" s="101"/>
      <c r="O4152" s="101"/>
      <c r="P4152" s="101"/>
      <c r="Q4152" s="101"/>
      <c r="R4152" s="101"/>
      <c r="S4152" s="101"/>
      <c r="T4152" s="101"/>
      <c r="U4152" s="101"/>
      <c r="V4152" s="101"/>
      <c r="W4152" s="101"/>
      <c r="X4152" s="101"/>
      <c r="Y4152" s="101"/>
      <c r="Z4152" s="101"/>
      <c r="AA4152" s="101"/>
      <c r="AB4152" s="101"/>
      <c r="AC4152" s="101"/>
      <c r="AD4152" s="101"/>
      <c r="AE4152" s="101"/>
      <c r="AF4152" s="101"/>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01"/>
      <c r="C4277" s="101"/>
      <c r="D4277" s="101"/>
      <c r="E4277" s="101"/>
      <c r="F4277" s="101"/>
      <c r="G4277" s="101"/>
      <c r="H4277" s="101"/>
      <c r="I4277" s="101"/>
      <c r="J4277" s="101"/>
      <c r="K4277" s="101"/>
      <c r="L4277" s="101"/>
      <c r="M4277" s="101"/>
      <c r="N4277" s="101"/>
      <c r="O4277" s="101"/>
      <c r="P4277" s="101"/>
      <c r="Q4277" s="101"/>
      <c r="R4277" s="101"/>
      <c r="S4277" s="101"/>
      <c r="T4277" s="101"/>
      <c r="U4277" s="101"/>
      <c r="V4277" s="101"/>
      <c r="W4277" s="101"/>
      <c r="X4277" s="101"/>
      <c r="Y4277" s="101"/>
      <c r="Z4277" s="101"/>
      <c r="AA4277" s="101"/>
      <c r="AB4277" s="101"/>
      <c r="AC4277" s="101"/>
      <c r="AD4277" s="101"/>
      <c r="AE4277" s="101"/>
      <c r="AF4277" s="101"/>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01"/>
      <c r="C4402" s="101"/>
      <c r="D4402" s="101"/>
      <c r="E4402" s="101"/>
      <c r="F4402" s="101"/>
      <c r="G4402" s="101"/>
      <c r="H4402" s="101"/>
      <c r="I4402" s="101"/>
      <c r="J4402" s="101"/>
      <c r="K4402" s="101"/>
      <c r="L4402" s="101"/>
      <c r="M4402" s="101"/>
      <c r="N4402" s="101"/>
      <c r="O4402" s="101"/>
      <c r="P4402" s="101"/>
      <c r="Q4402" s="101"/>
      <c r="R4402" s="101"/>
      <c r="S4402" s="101"/>
      <c r="T4402" s="101"/>
      <c r="U4402" s="101"/>
      <c r="V4402" s="101"/>
      <c r="W4402" s="101"/>
      <c r="X4402" s="101"/>
      <c r="Y4402" s="101"/>
      <c r="Z4402" s="101"/>
      <c r="AA4402" s="101"/>
      <c r="AB4402" s="101"/>
      <c r="AC4402" s="101"/>
      <c r="AD4402" s="101"/>
      <c r="AE4402" s="101"/>
      <c r="AF4402" s="101"/>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1169:AF1169"/>
    <mergeCell ref="B79:AF79"/>
    <mergeCell ref="B116:AF116"/>
    <mergeCell ref="B258:AF258"/>
    <mergeCell ref="B340:AF340"/>
    <mergeCell ref="B452:AF452"/>
    <mergeCell ref="B557:AF557"/>
    <mergeCell ref="B638:AF638"/>
    <mergeCell ref="B710:AF710"/>
    <mergeCell ref="B886:AF886"/>
    <mergeCell ref="B969:AF969"/>
    <mergeCell ref="B1071:AF1071"/>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3902:AF3902"/>
    <mergeCell ref="B4027:AF4027"/>
    <mergeCell ref="B4152:AF4152"/>
    <mergeCell ref="B4277:AF4277"/>
    <mergeCell ref="B4402:AF440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256"/>
  <sheetViews>
    <sheetView workbookViewId="0"/>
  </sheetViews>
  <sheetFormatPr defaultRowHeight="14.5"/>
  <sheetData>
    <row r="1" spans="1:35">
      <c r="A1" t="s">
        <v>228</v>
      </c>
    </row>
    <row r="2" spans="1:35">
      <c r="A2" t="s">
        <v>1244</v>
      </c>
    </row>
    <row r="3" spans="1:35">
      <c r="A3" t="s">
        <v>1245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118</v>
      </c>
      <c r="B6" t="s">
        <v>1246</v>
      </c>
      <c r="C6" t="s">
        <v>1247</v>
      </c>
      <c r="D6" t="s">
        <v>229</v>
      </c>
      <c r="F6">
        <v>12.017455999999999</v>
      </c>
      <c r="G6">
        <v>10.142488999999999</v>
      </c>
      <c r="H6">
        <v>9.6291329999999995</v>
      </c>
      <c r="I6">
        <v>8.8153430000000004</v>
      </c>
      <c r="J6">
        <v>8.6369710000000008</v>
      </c>
      <c r="K6">
        <v>8.5386919999999993</v>
      </c>
      <c r="L6">
        <v>8.4677810000000004</v>
      </c>
      <c r="M6">
        <v>8.5231809999999992</v>
      </c>
      <c r="N6">
        <v>8.5248640000000009</v>
      </c>
      <c r="O6">
        <v>8.6209439999999997</v>
      </c>
      <c r="P6">
        <v>8.6936859999999996</v>
      </c>
      <c r="Q6">
        <v>8.7233520000000002</v>
      </c>
      <c r="R6">
        <v>8.768338</v>
      </c>
      <c r="S6">
        <v>8.8004990000000003</v>
      </c>
      <c r="T6">
        <v>8.8639519999999994</v>
      </c>
      <c r="U6">
        <v>8.9274159999999991</v>
      </c>
      <c r="V6">
        <v>8.9745659999999994</v>
      </c>
      <c r="W6">
        <v>9.0225600000000004</v>
      </c>
      <c r="X6">
        <v>9.0468820000000001</v>
      </c>
      <c r="Y6">
        <v>9.1106800000000003</v>
      </c>
      <c r="Z6">
        <v>9.1524070000000002</v>
      </c>
      <c r="AA6">
        <v>9.2163819999999994</v>
      </c>
      <c r="AB6">
        <v>9.2366349999999997</v>
      </c>
      <c r="AC6">
        <v>9.2684709999999999</v>
      </c>
      <c r="AD6">
        <v>9.2813680000000005</v>
      </c>
      <c r="AE6">
        <v>9.3098810000000007</v>
      </c>
      <c r="AF6">
        <v>9.3955520000000003</v>
      </c>
      <c r="AG6">
        <v>9.359451</v>
      </c>
      <c r="AH6">
        <v>9.3784320000000001</v>
      </c>
      <c r="AI6" s="22">
        <v>-8.9999999999999993E-3</v>
      </c>
    </row>
    <row r="7" spans="1:35">
      <c r="A7" t="s">
        <v>116</v>
      </c>
    </row>
    <row r="8" spans="1:35">
      <c r="A8" t="s">
        <v>208</v>
      </c>
      <c r="B8" t="s">
        <v>1248</v>
      </c>
      <c r="C8" t="s">
        <v>1249</v>
      </c>
      <c r="D8" t="s">
        <v>230</v>
      </c>
      <c r="F8">
        <v>0.83399999999999996</v>
      </c>
      <c r="G8">
        <v>0.84161200000000003</v>
      </c>
      <c r="H8">
        <v>0.84922399999999998</v>
      </c>
      <c r="I8">
        <v>0.85819500000000004</v>
      </c>
      <c r="J8">
        <v>0.85914699999999999</v>
      </c>
      <c r="K8">
        <v>0.85999800000000004</v>
      </c>
      <c r="L8">
        <v>0.86075900000000005</v>
      </c>
      <c r="M8">
        <v>0.86144100000000001</v>
      </c>
      <c r="N8">
        <v>0.86205399999999999</v>
      </c>
      <c r="O8">
        <v>0.86260499999999996</v>
      </c>
      <c r="P8">
        <v>0.86310500000000001</v>
      </c>
      <c r="Q8">
        <v>0.86355800000000005</v>
      </c>
      <c r="R8">
        <v>0.86397199999999996</v>
      </c>
      <c r="S8">
        <v>0.86434999999999995</v>
      </c>
      <c r="T8">
        <v>0.86469700000000005</v>
      </c>
      <c r="U8">
        <v>0.86501700000000004</v>
      </c>
      <c r="V8">
        <v>0.86531199999999997</v>
      </c>
      <c r="W8">
        <v>0.86558500000000005</v>
      </c>
      <c r="X8">
        <v>0.86587999999999998</v>
      </c>
      <c r="Y8">
        <v>0.86617599999999995</v>
      </c>
      <c r="Z8">
        <v>0.86647099999999999</v>
      </c>
      <c r="AA8">
        <v>0.86676699999999995</v>
      </c>
      <c r="AB8">
        <v>0.867062</v>
      </c>
      <c r="AC8">
        <v>0.86735799999999996</v>
      </c>
      <c r="AD8">
        <v>0.86765400000000004</v>
      </c>
      <c r="AE8">
        <v>0.86795</v>
      </c>
      <c r="AF8">
        <v>0.86824599999999996</v>
      </c>
      <c r="AG8">
        <v>0.86854200000000004</v>
      </c>
      <c r="AH8">
        <v>0.868838</v>
      </c>
      <c r="AI8" s="22">
        <v>1E-3</v>
      </c>
    </row>
    <row r="9" spans="1:35">
      <c r="A9" t="s">
        <v>209</v>
      </c>
      <c r="B9" t="s">
        <v>1250</v>
      </c>
      <c r="C9" t="s">
        <v>1251</v>
      </c>
      <c r="D9" t="s">
        <v>230</v>
      </c>
      <c r="F9">
        <v>0.75600000000000001</v>
      </c>
      <c r="G9">
        <v>0.77562600000000004</v>
      </c>
      <c r="H9">
        <v>0.79525100000000004</v>
      </c>
      <c r="I9">
        <v>0.81487699999999996</v>
      </c>
      <c r="J9">
        <v>0.81492500000000001</v>
      </c>
      <c r="K9">
        <v>0.81497399999999998</v>
      </c>
      <c r="L9">
        <v>0.81501900000000005</v>
      </c>
      <c r="M9">
        <v>0.81506400000000001</v>
      </c>
      <c r="N9">
        <v>0.81510800000000005</v>
      </c>
      <c r="O9">
        <v>0.81515000000000004</v>
      </c>
      <c r="P9">
        <v>0.81519399999999997</v>
      </c>
      <c r="Q9">
        <v>0.81523599999999996</v>
      </c>
      <c r="R9">
        <v>0.81527899999999998</v>
      </c>
      <c r="S9">
        <v>0.81532099999999996</v>
      </c>
      <c r="T9">
        <v>0.81536399999999998</v>
      </c>
      <c r="U9">
        <v>0.81540500000000005</v>
      </c>
      <c r="V9">
        <v>0.81544499999999998</v>
      </c>
      <c r="W9">
        <v>0.81548399999999999</v>
      </c>
      <c r="X9">
        <v>0.81552400000000003</v>
      </c>
      <c r="Y9">
        <v>0.81556399999999996</v>
      </c>
      <c r="Z9">
        <v>0.815604</v>
      </c>
      <c r="AA9">
        <v>0.81564499999999995</v>
      </c>
      <c r="AB9">
        <v>0.81568499999999999</v>
      </c>
      <c r="AC9">
        <v>0.81572500000000003</v>
      </c>
      <c r="AD9">
        <v>0.81576499999999996</v>
      </c>
      <c r="AE9">
        <v>0.815805</v>
      </c>
      <c r="AF9">
        <v>0.81584500000000004</v>
      </c>
      <c r="AG9">
        <v>0.81588499999999997</v>
      </c>
      <c r="AH9">
        <v>0.81592600000000004</v>
      </c>
      <c r="AI9" s="22">
        <v>3.0000000000000001E-3</v>
      </c>
    </row>
    <row r="10" spans="1:35">
      <c r="A10" t="s">
        <v>115</v>
      </c>
    </row>
    <row r="11" spans="1:35">
      <c r="A11" t="s">
        <v>210</v>
      </c>
    </row>
    <row r="12" spans="1:35">
      <c r="A12" t="s">
        <v>211</v>
      </c>
      <c r="B12" t="s">
        <v>1252</v>
      </c>
      <c r="C12" t="s">
        <v>1253</v>
      </c>
      <c r="D12" t="s">
        <v>231</v>
      </c>
      <c r="F12">
        <v>333.07171599999998</v>
      </c>
      <c r="G12">
        <v>334.15060399999999</v>
      </c>
      <c r="H12">
        <v>335.301514</v>
      </c>
      <c r="I12">
        <v>336.492188</v>
      </c>
      <c r="J12">
        <v>337.68255599999998</v>
      </c>
      <c r="K12">
        <v>338.87805200000003</v>
      </c>
      <c r="L12">
        <v>340.07302900000002</v>
      </c>
      <c r="M12">
        <v>341.25787400000002</v>
      </c>
      <c r="N12">
        <v>342.43310500000001</v>
      </c>
      <c r="O12">
        <v>343.56900000000002</v>
      </c>
      <c r="P12">
        <v>344.657715</v>
      </c>
      <c r="Q12">
        <v>345.69821200000001</v>
      </c>
      <c r="R12">
        <v>346.68133499999999</v>
      </c>
      <c r="S12">
        <v>347.60263099999997</v>
      </c>
      <c r="T12">
        <v>348.45822099999998</v>
      </c>
      <c r="U12">
        <v>349.248199</v>
      </c>
      <c r="V12">
        <v>349.97842400000002</v>
      </c>
      <c r="W12">
        <v>350.65200800000002</v>
      </c>
      <c r="X12">
        <v>351.27362099999999</v>
      </c>
      <c r="Y12">
        <v>351.850616</v>
      </c>
      <c r="Z12">
        <v>352.390625</v>
      </c>
      <c r="AA12">
        <v>352.89798000000002</v>
      </c>
      <c r="AB12">
        <v>353.37573200000003</v>
      </c>
      <c r="AC12">
        <v>353.82507299999997</v>
      </c>
      <c r="AD12">
        <v>354.24816900000002</v>
      </c>
      <c r="AE12">
        <v>354.651794</v>
      </c>
      <c r="AF12">
        <v>355.03872699999999</v>
      </c>
      <c r="AG12">
        <v>355.40960699999999</v>
      </c>
      <c r="AH12">
        <v>355.767944</v>
      </c>
      <c r="AI12" s="22">
        <v>2E-3</v>
      </c>
    </row>
    <row r="13" spans="1:35">
      <c r="A13" t="s">
        <v>212</v>
      </c>
      <c r="B13" t="s">
        <v>1254</v>
      </c>
      <c r="C13" t="s">
        <v>1255</v>
      </c>
      <c r="D13" t="s">
        <v>231</v>
      </c>
      <c r="F13">
        <v>38.694321000000002</v>
      </c>
      <c r="G13">
        <v>39.102600000000002</v>
      </c>
      <c r="H13">
        <v>39.509079</v>
      </c>
      <c r="I13">
        <v>39.913521000000003</v>
      </c>
      <c r="J13">
        <v>40.315201000000002</v>
      </c>
      <c r="K13">
        <v>40.713901999999997</v>
      </c>
      <c r="L13">
        <v>41.109200000000001</v>
      </c>
      <c r="M13">
        <v>41.500670999999997</v>
      </c>
      <c r="N13">
        <v>41.888100000000001</v>
      </c>
      <c r="O13">
        <v>42.271000000000001</v>
      </c>
      <c r="P13">
        <v>42.649299999999997</v>
      </c>
      <c r="Q13">
        <v>43.022799999999997</v>
      </c>
      <c r="R13">
        <v>43.391499000000003</v>
      </c>
      <c r="S13">
        <v>43.755501000000002</v>
      </c>
      <c r="T13">
        <v>44.114730999999999</v>
      </c>
      <c r="U13">
        <v>44.469397999999998</v>
      </c>
      <c r="V13">
        <v>44.819481000000003</v>
      </c>
      <c r="W13">
        <v>45.165298</v>
      </c>
      <c r="X13">
        <v>45.506802</v>
      </c>
      <c r="Y13">
        <v>45.843879999999999</v>
      </c>
      <c r="Z13">
        <v>46.176898999999999</v>
      </c>
      <c r="AA13">
        <v>46.505600000000001</v>
      </c>
      <c r="AB13">
        <v>46.831772000000001</v>
      </c>
      <c r="AC13">
        <v>47.156199999999998</v>
      </c>
      <c r="AD13">
        <v>47.479069000000003</v>
      </c>
      <c r="AE13">
        <v>47.800800000000002</v>
      </c>
      <c r="AF13">
        <v>48.121670000000002</v>
      </c>
      <c r="AG13">
        <v>48.442321999999997</v>
      </c>
      <c r="AH13">
        <v>48.763081</v>
      </c>
      <c r="AI13" s="22">
        <v>8.0000000000000002E-3</v>
      </c>
    </row>
    <row r="14" spans="1:35">
      <c r="A14" t="s">
        <v>1256</v>
      </c>
      <c r="B14" t="s">
        <v>1257</v>
      </c>
      <c r="C14" t="s">
        <v>1258</v>
      </c>
      <c r="D14" t="s">
        <v>231</v>
      </c>
      <c r="F14">
        <v>211.18936199999999</v>
      </c>
      <c r="G14">
        <v>212.813278</v>
      </c>
      <c r="H14">
        <v>214.37699900000001</v>
      </c>
      <c r="I14">
        <v>215.94142199999999</v>
      </c>
      <c r="J14">
        <v>217.513779</v>
      </c>
      <c r="K14">
        <v>219.08682300000001</v>
      </c>
      <c r="L14">
        <v>220.646591</v>
      </c>
      <c r="M14">
        <v>222.169174</v>
      </c>
      <c r="N14">
        <v>223.635864</v>
      </c>
      <c r="O14">
        <v>225.026138</v>
      </c>
      <c r="P14">
        <v>226.368347</v>
      </c>
      <c r="Q14">
        <v>227.658051</v>
      </c>
      <c r="R14">
        <v>228.89286799999999</v>
      </c>
      <c r="S14">
        <v>230.07032799999999</v>
      </c>
      <c r="T14">
        <v>231.18978899999999</v>
      </c>
      <c r="U14">
        <v>232.25276199999999</v>
      </c>
      <c r="V14">
        <v>233.26014699999999</v>
      </c>
      <c r="W14">
        <v>234.21229600000001</v>
      </c>
      <c r="X14">
        <v>235.110443</v>
      </c>
      <c r="Y14">
        <v>235.95292699999999</v>
      </c>
      <c r="Z14">
        <v>236.741455</v>
      </c>
      <c r="AA14">
        <v>237.476685</v>
      </c>
      <c r="AB14">
        <v>238.15965299999999</v>
      </c>
      <c r="AC14">
        <v>238.78855899999999</v>
      </c>
      <c r="AD14">
        <v>239.34922800000001</v>
      </c>
      <c r="AE14">
        <v>239.846619</v>
      </c>
      <c r="AF14">
        <v>240.30192600000001</v>
      </c>
      <c r="AG14">
        <v>240.737549</v>
      </c>
      <c r="AH14">
        <v>241.16894500000001</v>
      </c>
      <c r="AI14" s="22">
        <v>5.0000000000000001E-3</v>
      </c>
    </row>
    <row r="15" spans="1:35">
      <c r="A15" t="s">
        <v>1259</v>
      </c>
      <c r="B15" t="s">
        <v>1260</v>
      </c>
      <c r="C15" t="s">
        <v>1261</v>
      </c>
      <c r="D15" t="s">
        <v>231</v>
      </c>
      <c r="F15">
        <v>593.35406499999999</v>
      </c>
      <c r="G15">
        <v>594.89343299999996</v>
      </c>
      <c r="H15">
        <v>596.012878</v>
      </c>
      <c r="I15">
        <v>597.10223399999995</v>
      </c>
      <c r="J15">
        <v>598.16387899999995</v>
      </c>
      <c r="K15">
        <v>599.16955600000006</v>
      </c>
      <c r="L15">
        <v>600.12353499999995</v>
      </c>
      <c r="M15">
        <v>601.03643799999998</v>
      </c>
      <c r="N15">
        <v>601.92193599999996</v>
      </c>
      <c r="O15">
        <v>602.79125999999997</v>
      </c>
      <c r="P15">
        <v>603.64050299999997</v>
      </c>
      <c r="Q15">
        <v>604.45330799999999</v>
      </c>
      <c r="R15">
        <v>605.215149</v>
      </c>
      <c r="S15">
        <v>605.91265899999996</v>
      </c>
      <c r="T15">
        <v>606.54968299999996</v>
      </c>
      <c r="U15">
        <v>607.13714600000003</v>
      </c>
      <c r="V15">
        <v>607.67242399999998</v>
      </c>
      <c r="W15">
        <v>608.15136700000005</v>
      </c>
      <c r="X15">
        <v>608.57037400000002</v>
      </c>
      <c r="Y15">
        <v>608.92956500000003</v>
      </c>
      <c r="Z15">
        <v>609.22717299999999</v>
      </c>
      <c r="AA15">
        <v>609.459656</v>
      </c>
      <c r="AB15">
        <v>609.62506099999996</v>
      </c>
      <c r="AC15">
        <v>609.71997099999999</v>
      </c>
      <c r="AD15">
        <v>609.73303199999998</v>
      </c>
      <c r="AE15">
        <v>609.66314699999998</v>
      </c>
      <c r="AF15">
        <v>609.52264400000001</v>
      </c>
      <c r="AG15">
        <v>609.32611099999997</v>
      </c>
      <c r="AH15">
        <v>609.08605999999997</v>
      </c>
      <c r="AI15" s="22">
        <v>1E-3</v>
      </c>
    </row>
    <row r="16" spans="1:35">
      <c r="A16" t="s">
        <v>1262</v>
      </c>
      <c r="B16" t="s">
        <v>1263</v>
      </c>
      <c r="C16" t="s">
        <v>1264</v>
      </c>
      <c r="D16" t="s">
        <v>231</v>
      </c>
      <c r="F16">
        <v>125.59050000000001</v>
      </c>
      <c r="G16">
        <v>125.10549899999999</v>
      </c>
      <c r="H16">
        <v>124.587502</v>
      </c>
      <c r="I16">
        <v>124.038498</v>
      </c>
      <c r="J16">
        <v>123.461304</v>
      </c>
      <c r="K16">
        <v>122.858299</v>
      </c>
      <c r="L16">
        <v>122.231796</v>
      </c>
      <c r="M16">
        <v>121.584999</v>
      </c>
      <c r="N16">
        <v>120.91950199999999</v>
      </c>
      <c r="O16">
        <v>120.237801</v>
      </c>
      <c r="P16">
        <v>119.54180100000001</v>
      </c>
      <c r="Q16">
        <v>118.832497</v>
      </c>
      <c r="R16">
        <v>118.113297</v>
      </c>
      <c r="S16">
        <v>117.385002</v>
      </c>
      <c r="T16">
        <v>116.648499</v>
      </c>
      <c r="U16">
        <v>115.9058</v>
      </c>
      <c r="V16">
        <v>115.157799</v>
      </c>
      <c r="W16">
        <v>114.4058</v>
      </c>
      <c r="X16">
        <v>113.650497</v>
      </c>
      <c r="Y16">
        <v>112.893997</v>
      </c>
      <c r="Z16">
        <v>112.136803</v>
      </c>
      <c r="AA16">
        <v>111.37979900000001</v>
      </c>
      <c r="AB16">
        <v>110.624802</v>
      </c>
      <c r="AC16">
        <v>109.871002</v>
      </c>
      <c r="AD16">
        <v>109.120003</v>
      </c>
      <c r="AE16">
        <v>108.371803</v>
      </c>
      <c r="AF16">
        <v>107.62599899999999</v>
      </c>
      <c r="AG16">
        <v>106.882301</v>
      </c>
      <c r="AH16">
        <v>106.140297</v>
      </c>
      <c r="AI16" s="22">
        <v>-6.0000000000000001E-3</v>
      </c>
    </row>
    <row r="17" spans="1:35">
      <c r="A17" t="s">
        <v>1265</v>
      </c>
      <c r="B17" t="s">
        <v>1266</v>
      </c>
      <c r="C17" t="s">
        <v>1267</v>
      </c>
      <c r="D17" t="s">
        <v>231</v>
      </c>
      <c r="F17">
        <v>31.123239999999999</v>
      </c>
      <c r="G17">
        <v>31.552336</v>
      </c>
      <c r="H17">
        <v>31.987663000000001</v>
      </c>
      <c r="I17">
        <v>32.409657000000003</v>
      </c>
      <c r="J17">
        <v>32.829383999999997</v>
      </c>
      <c r="K17">
        <v>33.245941000000002</v>
      </c>
      <c r="L17">
        <v>33.658962000000002</v>
      </c>
      <c r="M17">
        <v>34.068351999999997</v>
      </c>
      <c r="N17">
        <v>34.474316000000002</v>
      </c>
      <c r="O17">
        <v>34.877040999999998</v>
      </c>
      <c r="P17">
        <v>35.276363000000003</v>
      </c>
      <c r="Q17">
        <v>35.672787</v>
      </c>
      <c r="R17">
        <v>36.066764999999997</v>
      </c>
      <c r="S17">
        <v>36.458548999999998</v>
      </c>
      <c r="T17">
        <v>36.848582999999998</v>
      </c>
      <c r="U17">
        <v>37.237124999999999</v>
      </c>
      <c r="V17">
        <v>37.624454</v>
      </c>
      <c r="W17">
        <v>38.010421999999998</v>
      </c>
      <c r="X17">
        <v>38.394981000000001</v>
      </c>
      <c r="Y17">
        <v>38.777881999999998</v>
      </c>
      <c r="Z17">
        <v>39.158962000000002</v>
      </c>
      <c r="AA17">
        <v>39.537841999999998</v>
      </c>
      <c r="AB17">
        <v>39.914402000000003</v>
      </c>
      <c r="AC17">
        <v>40.288212000000001</v>
      </c>
      <c r="AD17">
        <v>40.659004000000003</v>
      </c>
      <c r="AE17">
        <v>41.026546000000003</v>
      </c>
      <c r="AF17">
        <v>41.390678000000001</v>
      </c>
      <c r="AG17">
        <v>41.751362</v>
      </c>
      <c r="AH17">
        <v>42.10857</v>
      </c>
      <c r="AI17" s="22">
        <v>1.0999999999999999E-2</v>
      </c>
    </row>
    <row r="18" spans="1:35">
      <c r="A18" t="s">
        <v>1268</v>
      </c>
      <c r="B18" t="s">
        <v>1269</v>
      </c>
      <c r="C18" t="s">
        <v>1270</v>
      </c>
      <c r="D18" t="s">
        <v>231</v>
      </c>
      <c r="F18">
        <v>51.338450999999999</v>
      </c>
      <c r="G18">
        <v>51.348171000000001</v>
      </c>
      <c r="H18">
        <v>51.347050000000003</v>
      </c>
      <c r="I18">
        <v>51.337631000000002</v>
      </c>
      <c r="J18">
        <v>51.319881000000002</v>
      </c>
      <c r="K18">
        <v>51.29213</v>
      </c>
      <c r="L18">
        <v>51.253830000000001</v>
      </c>
      <c r="M18">
        <v>51.20438</v>
      </c>
      <c r="N18">
        <v>51.143799000000001</v>
      </c>
      <c r="O18">
        <v>51.07423</v>
      </c>
      <c r="P18">
        <v>50.995398999999999</v>
      </c>
      <c r="Q18">
        <v>50.903751</v>
      </c>
      <c r="R18">
        <v>50.795448</v>
      </c>
      <c r="S18">
        <v>50.667171000000003</v>
      </c>
      <c r="T18">
        <v>50.518929</v>
      </c>
      <c r="U18">
        <v>50.352901000000003</v>
      </c>
      <c r="V18">
        <v>50.169829999999997</v>
      </c>
      <c r="W18">
        <v>49.970500999999999</v>
      </c>
      <c r="X18">
        <v>49.755482000000001</v>
      </c>
      <c r="Y18">
        <v>49.523800000000001</v>
      </c>
      <c r="Z18">
        <v>49.275317999999999</v>
      </c>
      <c r="AA18">
        <v>49.011378999999998</v>
      </c>
      <c r="AB18">
        <v>48.733330000000002</v>
      </c>
      <c r="AC18">
        <v>48.442248999999997</v>
      </c>
      <c r="AD18">
        <v>48.137829000000004</v>
      </c>
      <c r="AE18">
        <v>47.819248000000002</v>
      </c>
      <c r="AF18">
        <v>47.487099000000001</v>
      </c>
      <c r="AG18">
        <v>47.141972000000003</v>
      </c>
      <c r="AH18">
        <v>46.783932</v>
      </c>
      <c r="AI18" s="22">
        <v>-3.0000000000000001E-3</v>
      </c>
    </row>
    <row r="19" spans="1:35">
      <c r="A19" t="s">
        <v>1271</v>
      </c>
      <c r="B19" t="s">
        <v>1272</v>
      </c>
      <c r="C19" t="s">
        <v>1273</v>
      </c>
      <c r="D19" t="s">
        <v>231</v>
      </c>
      <c r="F19">
        <v>145.765793</v>
      </c>
      <c r="G19">
        <v>145.581299</v>
      </c>
      <c r="H19">
        <v>145.35380599999999</v>
      </c>
      <c r="I19">
        <v>145.098007</v>
      </c>
      <c r="J19">
        <v>144.80479399999999</v>
      </c>
      <c r="K19">
        <v>144.464493</v>
      </c>
      <c r="L19">
        <v>144.09150700000001</v>
      </c>
      <c r="M19">
        <v>143.69850199999999</v>
      </c>
      <c r="N19">
        <v>143.296494</v>
      </c>
      <c r="O19">
        <v>142.87550400000001</v>
      </c>
      <c r="P19">
        <v>142.430801</v>
      </c>
      <c r="Q19">
        <v>141.97500600000001</v>
      </c>
      <c r="R19">
        <v>141.520996</v>
      </c>
      <c r="S19">
        <v>141.079498</v>
      </c>
      <c r="T19">
        <v>140.645996</v>
      </c>
      <c r="U19">
        <v>140.21350100000001</v>
      </c>
      <c r="V19">
        <v>139.788498</v>
      </c>
      <c r="W19">
        <v>139.376801</v>
      </c>
      <c r="X19">
        <v>138.984802</v>
      </c>
      <c r="Y19">
        <v>138.612503</v>
      </c>
      <c r="Z19">
        <v>138.25649999999999</v>
      </c>
      <c r="AA19">
        <v>137.91400100000001</v>
      </c>
      <c r="AB19">
        <v>137.58230599999999</v>
      </c>
      <c r="AC19">
        <v>137.25950599999999</v>
      </c>
      <c r="AD19">
        <v>136.95030199999999</v>
      </c>
      <c r="AE19">
        <v>136.65379300000001</v>
      </c>
      <c r="AF19">
        <v>136.36480700000001</v>
      </c>
      <c r="AG19">
        <v>136.078506</v>
      </c>
      <c r="AH19">
        <v>135.788803</v>
      </c>
      <c r="AI19" s="22">
        <v>-3.0000000000000001E-3</v>
      </c>
    </row>
    <row r="20" spans="1:35">
      <c r="A20" t="s">
        <v>1274</v>
      </c>
      <c r="B20" t="s">
        <v>1275</v>
      </c>
      <c r="C20" t="s">
        <v>1276</v>
      </c>
      <c r="D20" t="s">
        <v>231</v>
      </c>
      <c r="F20">
        <v>196.40559400000001</v>
      </c>
      <c r="G20">
        <v>196.88909899999999</v>
      </c>
      <c r="H20">
        <v>197.34137000000001</v>
      </c>
      <c r="I20">
        <v>197.77439899999999</v>
      </c>
      <c r="J20">
        <v>198.13687100000001</v>
      </c>
      <c r="K20">
        <v>198.47818000000001</v>
      </c>
      <c r="L20">
        <v>198.80619799999999</v>
      </c>
      <c r="M20">
        <v>199.13061500000001</v>
      </c>
      <c r="N20">
        <v>199.45709199999999</v>
      </c>
      <c r="O20">
        <v>199.80789200000001</v>
      </c>
      <c r="P20">
        <v>200.15795900000001</v>
      </c>
      <c r="Q20">
        <v>200.50091599999999</v>
      </c>
      <c r="R20">
        <v>200.82986500000001</v>
      </c>
      <c r="S20">
        <v>201.143112</v>
      </c>
      <c r="T20">
        <v>201.48429899999999</v>
      </c>
      <c r="U20">
        <v>201.810699</v>
      </c>
      <c r="V20">
        <v>202.12439000000001</v>
      </c>
      <c r="W20">
        <v>202.427155</v>
      </c>
      <c r="X20">
        <v>202.71910099999999</v>
      </c>
      <c r="Y20">
        <v>202.99388099999999</v>
      </c>
      <c r="Z20">
        <v>203.25671399999999</v>
      </c>
      <c r="AA20">
        <v>203.50079299999999</v>
      </c>
      <c r="AB20">
        <v>203.71812399999999</v>
      </c>
      <c r="AC20">
        <v>203.905441</v>
      </c>
      <c r="AD20">
        <v>204.02444499999999</v>
      </c>
      <c r="AE20">
        <v>204.116028</v>
      </c>
      <c r="AF20">
        <v>204.18514999999999</v>
      </c>
      <c r="AG20">
        <v>204.23820499999999</v>
      </c>
      <c r="AH20">
        <v>204.278717</v>
      </c>
      <c r="AI20" s="22">
        <v>1E-3</v>
      </c>
    </row>
    <row r="21" spans="1:35">
      <c r="A21" t="s">
        <v>214</v>
      </c>
      <c r="B21" t="s">
        <v>1277</v>
      </c>
      <c r="C21" t="s">
        <v>1278</v>
      </c>
      <c r="D21" t="s">
        <v>231</v>
      </c>
      <c r="F21">
        <v>1448.8129879999999</v>
      </c>
      <c r="G21">
        <v>1452.4229740000001</v>
      </c>
      <c r="H21">
        <v>1455.5429690000001</v>
      </c>
      <c r="I21">
        <v>1458.1979980000001</v>
      </c>
      <c r="J21">
        <v>1460.3530270000001</v>
      </c>
      <c r="K21">
        <v>1461.9849850000001</v>
      </c>
      <c r="L21">
        <v>1463.160034</v>
      </c>
      <c r="M21">
        <v>1463.9399410000001</v>
      </c>
      <c r="N21">
        <v>1464.36499</v>
      </c>
      <c r="O21">
        <v>1464.4229740000001</v>
      </c>
      <c r="P21">
        <v>1464.084961</v>
      </c>
      <c r="Q21">
        <v>1463.36499</v>
      </c>
      <c r="R21">
        <v>1462.290039</v>
      </c>
      <c r="S21">
        <v>1460.878052</v>
      </c>
      <c r="T21">
        <v>1459.1080320000001</v>
      </c>
      <c r="U21">
        <v>1456.968018</v>
      </c>
      <c r="V21">
        <v>1454.4930420000001</v>
      </c>
      <c r="W21">
        <v>1451.7030030000001</v>
      </c>
      <c r="X21">
        <v>1448.623047</v>
      </c>
      <c r="Y21">
        <v>1445.244995</v>
      </c>
      <c r="Z21">
        <v>1441.5550539999999</v>
      </c>
      <c r="AA21">
        <v>1437.5629879999999</v>
      </c>
      <c r="AB21">
        <v>1433.2829589999999</v>
      </c>
      <c r="AC21">
        <v>1428.718018</v>
      </c>
      <c r="AD21">
        <v>1423.849976</v>
      </c>
      <c r="AE21">
        <v>1418.6829829999999</v>
      </c>
      <c r="AF21">
        <v>1413.23999</v>
      </c>
      <c r="AG21">
        <v>1407.5550539999999</v>
      </c>
      <c r="AH21">
        <v>1401.650024</v>
      </c>
      <c r="AI21" s="22">
        <v>-1E-3</v>
      </c>
    </row>
    <row r="22" spans="1:35">
      <c r="A22" t="s">
        <v>1279</v>
      </c>
      <c r="B22" t="s">
        <v>1280</v>
      </c>
      <c r="C22" t="s">
        <v>1281</v>
      </c>
      <c r="D22" t="s">
        <v>231</v>
      </c>
      <c r="F22">
        <v>1408.3000489999999</v>
      </c>
      <c r="G22">
        <v>1421.3079829999999</v>
      </c>
      <c r="H22">
        <v>1434.0699460000001</v>
      </c>
      <c r="I22">
        <v>1446.5550539999999</v>
      </c>
      <c r="J22">
        <v>1458.8000489999999</v>
      </c>
      <c r="K22">
        <v>1470.8129879999999</v>
      </c>
      <c r="L22">
        <v>1482.5529790000001</v>
      </c>
      <c r="M22">
        <v>1493.959961</v>
      </c>
      <c r="N22">
        <v>1504.9930420000001</v>
      </c>
      <c r="O22">
        <v>1515.6979980000001</v>
      </c>
      <c r="P22">
        <v>1526.094971</v>
      </c>
      <c r="Q22">
        <v>1536.123047</v>
      </c>
      <c r="R22">
        <v>1545.714966</v>
      </c>
      <c r="S22">
        <v>1554.8199460000001</v>
      </c>
      <c r="T22">
        <v>1563.4499510000001</v>
      </c>
      <c r="U22">
        <v>1571.625</v>
      </c>
      <c r="V22">
        <v>1579.3630370000001</v>
      </c>
      <c r="W22">
        <v>1586.6579589999999</v>
      </c>
      <c r="X22">
        <v>1593.51001</v>
      </c>
      <c r="Y22">
        <v>1599.8929439999999</v>
      </c>
      <c r="Z22">
        <v>1605.8129879999999</v>
      </c>
      <c r="AA22">
        <v>1611.3079829999999</v>
      </c>
      <c r="AB22">
        <v>1616.420044</v>
      </c>
      <c r="AC22">
        <v>1621.1850589999999</v>
      </c>
      <c r="AD22">
        <v>1625.5830080000001</v>
      </c>
      <c r="AE22">
        <v>1629.593018</v>
      </c>
      <c r="AF22">
        <v>1633.2380370000001</v>
      </c>
      <c r="AG22">
        <v>1636.5429690000001</v>
      </c>
      <c r="AH22">
        <v>1639.525024</v>
      </c>
      <c r="AI22" s="22">
        <v>5.0000000000000001E-3</v>
      </c>
    </row>
    <row r="23" spans="1:35">
      <c r="A23" t="s">
        <v>1282</v>
      </c>
      <c r="B23" t="s">
        <v>1283</v>
      </c>
      <c r="C23" t="s">
        <v>1284</v>
      </c>
      <c r="D23" t="s">
        <v>231</v>
      </c>
      <c r="F23">
        <v>1245.615967</v>
      </c>
      <c r="G23">
        <v>1259.7116699999999</v>
      </c>
      <c r="H23">
        <v>1273.62915</v>
      </c>
      <c r="I23">
        <v>1287.3408199999999</v>
      </c>
      <c r="J23">
        <v>1300.336182</v>
      </c>
      <c r="K23">
        <v>1313.135254</v>
      </c>
      <c r="L23">
        <v>1325.7388920000001</v>
      </c>
      <c r="M23">
        <v>1338.14978</v>
      </c>
      <c r="N23">
        <v>1350.362183</v>
      </c>
      <c r="O23">
        <v>1361.7928469999999</v>
      </c>
      <c r="P23">
        <v>1373.0439449999999</v>
      </c>
      <c r="Q23">
        <v>1384.1104740000001</v>
      </c>
      <c r="R23">
        <v>1394.9650879999999</v>
      </c>
      <c r="S23">
        <v>1405.6123050000001</v>
      </c>
      <c r="T23">
        <v>1415.5485839999999</v>
      </c>
      <c r="U23">
        <v>1425.296143</v>
      </c>
      <c r="V23">
        <v>1434.834351</v>
      </c>
      <c r="W23">
        <v>1444.1679690000001</v>
      </c>
      <c r="X23">
        <v>1453.3126219999999</v>
      </c>
      <c r="Y23">
        <v>1461.786987</v>
      </c>
      <c r="Z23">
        <v>1470.0507809999999</v>
      </c>
      <c r="AA23">
        <v>1478.1164550000001</v>
      </c>
      <c r="AB23">
        <v>1485.9938959999999</v>
      </c>
      <c r="AC23">
        <v>1493.684814</v>
      </c>
      <c r="AD23">
        <v>1500.5679929999999</v>
      </c>
      <c r="AE23">
        <v>1507.2523189999999</v>
      </c>
      <c r="AF23">
        <v>1513.752197</v>
      </c>
      <c r="AG23">
        <v>1520.0760499999999</v>
      </c>
      <c r="AH23">
        <v>1526.2166749999999</v>
      </c>
      <c r="AI23" s="22">
        <v>7.0000000000000001E-3</v>
      </c>
    </row>
    <row r="24" spans="1:35">
      <c r="A24" t="s">
        <v>1285</v>
      </c>
      <c r="B24" t="s">
        <v>1286</v>
      </c>
      <c r="C24" t="s">
        <v>1287</v>
      </c>
      <c r="D24" t="s">
        <v>231</v>
      </c>
      <c r="F24">
        <v>261.10183699999999</v>
      </c>
      <c r="G24">
        <v>266.300995</v>
      </c>
      <c r="H24">
        <v>271.39819299999999</v>
      </c>
      <c r="I24">
        <v>276.418274</v>
      </c>
      <c r="J24">
        <v>280.84103399999998</v>
      </c>
      <c r="K24">
        <v>285.21560699999998</v>
      </c>
      <c r="L24">
        <v>289.57656900000001</v>
      </c>
      <c r="M24">
        <v>293.90484600000002</v>
      </c>
      <c r="N24">
        <v>298.09335299999998</v>
      </c>
      <c r="O24">
        <v>301.73696899999999</v>
      </c>
      <c r="P24">
        <v>305.35867300000001</v>
      </c>
      <c r="Q24">
        <v>308.96170000000001</v>
      </c>
      <c r="R24">
        <v>312.54541</v>
      </c>
      <c r="S24">
        <v>316.10913099999999</v>
      </c>
      <c r="T24">
        <v>319.498199</v>
      </c>
      <c r="U24">
        <v>322.86215199999998</v>
      </c>
      <c r="V24">
        <v>326.19833399999999</v>
      </c>
      <c r="W24">
        <v>329.50210600000003</v>
      </c>
      <c r="X24">
        <v>332.77383400000002</v>
      </c>
      <c r="Y24">
        <v>335.88980099999998</v>
      </c>
      <c r="Z24">
        <v>338.96798699999999</v>
      </c>
      <c r="AA24">
        <v>342.00610399999999</v>
      </c>
      <c r="AB24">
        <v>345.00186200000002</v>
      </c>
      <c r="AC24">
        <v>347.957672</v>
      </c>
      <c r="AD24">
        <v>350.72204599999998</v>
      </c>
      <c r="AE24">
        <v>353.440674</v>
      </c>
      <c r="AF24">
        <v>356.113495</v>
      </c>
      <c r="AG24">
        <v>358.73825099999999</v>
      </c>
      <c r="AH24">
        <v>361.31408699999997</v>
      </c>
      <c r="AI24" s="22">
        <v>1.2E-2</v>
      </c>
    </row>
    <row r="25" spans="1:35">
      <c r="A25" t="s">
        <v>213</v>
      </c>
      <c r="B25" t="s">
        <v>1288</v>
      </c>
      <c r="C25" t="s">
        <v>1289</v>
      </c>
      <c r="D25" t="s">
        <v>231</v>
      </c>
      <c r="F25">
        <v>1406.816284</v>
      </c>
      <c r="G25">
        <v>1440.4285890000001</v>
      </c>
      <c r="H25">
        <v>1474.159302</v>
      </c>
      <c r="I25">
        <v>1508.036865</v>
      </c>
      <c r="J25">
        <v>1543.6094969999999</v>
      </c>
      <c r="K25">
        <v>1579.3232419999999</v>
      </c>
      <c r="L25">
        <v>1615.1782229999999</v>
      </c>
      <c r="M25">
        <v>1651.1739500000001</v>
      </c>
      <c r="N25">
        <v>1687.309937</v>
      </c>
      <c r="O25">
        <v>1725.00647</v>
      </c>
      <c r="P25">
        <v>1762.836914</v>
      </c>
      <c r="Q25">
        <v>1800.7958980000001</v>
      </c>
      <c r="R25">
        <v>1838.8767089999999</v>
      </c>
      <c r="S25">
        <v>1877.0699460000001</v>
      </c>
      <c r="T25">
        <v>1916.586182</v>
      </c>
      <c r="U25">
        <v>1956.201904</v>
      </c>
      <c r="V25">
        <v>1995.9060059999999</v>
      </c>
      <c r="W25">
        <v>2035.682129</v>
      </c>
      <c r="X25">
        <v>2075.5166020000001</v>
      </c>
      <c r="Y25">
        <v>2116.3789059999999</v>
      </c>
      <c r="Z25">
        <v>2157.2849120000001</v>
      </c>
      <c r="AA25">
        <v>2198.218018</v>
      </c>
      <c r="AB25">
        <v>2239.1657709999999</v>
      </c>
      <c r="AC25">
        <v>2280.1120609999998</v>
      </c>
      <c r="AD25">
        <v>2321.6833499999998</v>
      </c>
      <c r="AE25">
        <v>2363.233643</v>
      </c>
      <c r="AF25">
        <v>2404.77124</v>
      </c>
      <c r="AG25">
        <v>2446.304932</v>
      </c>
      <c r="AH25">
        <v>2487.8393550000001</v>
      </c>
      <c r="AI25" s="22">
        <v>2.1000000000000001E-2</v>
      </c>
    </row>
    <row r="26" spans="1:35">
      <c r="A26" t="s">
        <v>1290</v>
      </c>
      <c r="B26" t="s">
        <v>1291</v>
      </c>
      <c r="C26" t="s">
        <v>1292</v>
      </c>
      <c r="D26" t="s">
        <v>231</v>
      </c>
      <c r="F26">
        <v>215.50250199999999</v>
      </c>
      <c r="G26">
        <v>216.787003</v>
      </c>
      <c r="H26">
        <v>218.005798</v>
      </c>
      <c r="I26">
        <v>219.15980500000001</v>
      </c>
      <c r="J26">
        <v>220.245499</v>
      </c>
      <c r="K26">
        <v>221.26480100000001</v>
      </c>
      <c r="L26">
        <v>222.22030599999999</v>
      </c>
      <c r="M26">
        <v>223.115005</v>
      </c>
      <c r="N26">
        <v>223.951797</v>
      </c>
      <c r="O26">
        <v>224.729996</v>
      </c>
      <c r="P26">
        <v>225.447495</v>
      </c>
      <c r="Q26">
        <v>226.105301</v>
      </c>
      <c r="R26">
        <v>226.704498</v>
      </c>
      <c r="S26">
        <v>227.24650600000001</v>
      </c>
      <c r="T26">
        <v>227.72830200000001</v>
      </c>
      <c r="U26">
        <v>228.15029899999999</v>
      </c>
      <c r="V26">
        <v>228.515503</v>
      </c>
      <c r="W26">
        <v>228.82730100000001</v>
      </c>
      <c r="X26">
        <v>229.087006</v>
      </c>
      <c r="Y26">
        <v>229.29299900000001</v>
      </c>
      <c r="Z26">
        <v>229.44380200000001</v>
      </c>
      <c r="AA26">
        <v>229.54299900000001</v>
      </c>
      <c r="AB26">
        <v>229.59530599999999</v>
      </c>
      <c r="AC26">
        <v>229.60000600000001</v>
      </c>
      <c r="AD26">
        <v>229.541</v>
      </c>
      <c r="AE26">
        <v>229.420807</v>
      </c>
      <c r="AF26">
        <v>229.26629600000001</v>
      </c>
      <c r="AG26">
        <v>229.10699500000001</v>
      </c>
      <c r="AH26">
        <v>228.962997</v>
      </c>
      <c r="AI26" s="22">
        <v>2E-3</v>
      </c>
    </row>
    <row r="27" spans="1:35">
      <c r="A27" t="s">
        <v>1293</v>
      </c>
      <c r="B27" t="s">
        <v>1294</v>
      </c>
      <c r="C27" t="s">
        <v>1295</v>
      </c>
      <c r="D27" t="s">
        <v>231</v>
      </c>
      <c r="F27">
        <v>239.305511</v>
      </c>
      <c r="G27">
        <v>242.13305700000001</v>
      </c>
      <c r="H27">
        <v>244.95889299999999</v>
      </c>
      <c r="I27">
        <v>247.68708799999999</v>
      </c>
      <c r="J27">
        <v>250.28230300000001</v>
      </c>
      <c r="K27">
        <v>252.77761799999999</v>
      </c>
      <c r="L27">
        <v>255.17982499999999</v>
      </c>
      <c r="M27">
        <v>257.50900300000001</v>
      </c>
      <c r="N27">
        <v>259.78024299999998</v>
      </c>
      <c r="O27">
        <v>261.96649200000002</v>
      </c>
      <c r="P27">
        <v>264.080872</v>
      </c>
      <c r="Q27">
        <v>266.13140900000002</v>
      </c>
      <c r="R27">
        <v>268.12866200000002</v>
      </c>
      <c r="S27">
        <v>270.08139</v>
      </c>
      <c r="T27">
        <v>271.964966</v>
      </c>
      <c r="U27">
        <v>273.805634</v>
      </c>
      <c r="V27">
        <v>275.60214200000001</v>
      </c>
      <c r="W27">
        <v>277.35290500000002</v>
      </c>
      <c r="X27">
        <v>279.05569500000001</v>
      </c>
      <c r="Y27">
        <v>280.68167099999999</v>
      </c>
      <c r="Z27">
        <v>282.26147500000002</v>
      </c>
      <c r="AA27">
        <v>283.79553199999998</v>
      </c>
      <c r="AB27">
        <v>285.28445399999998</v>
      </c>
      <c r="AC27">
        <v>286.727417</v>
      </c>
      <c r="AD27">
        <v>288.09207199999997</v>
      </c>
      <c r="AE27">
        <v>289.408478</v>
      </c>
      <c r="AF27">
        <v>290.681061</v>
      </c>
      <c r="AG27">
        <v>291.913025</v>
      </c>
      <c r="AH27">
        <v>293.10772700000001</v>
      </c>
      <c r="AI27" s="22">
        <v>7.0000000000000001E-3</v>
      </c>
    </row>
    <row r="28" spans="1:35">
      <c r="A28" t="s">
        <v>114</v>
      </c>
    </row>
    <row r="29" spans="1:35">
      <c r="A29" t="s">
        <v>215</v>
      </c>
    </row>
    <row r="30" spans="1:35">
      <c r="A30" t="s">
        <v>206</v>
      </c>
    </row>
    <row r="31" spans="1:35">
      <c r="A31" t="s">
        <v>211</v>
      </c>
      <c r="B31" t="s">
        <v>1296</v>
      </c>
      <c r="C31" t="s">
        <v>1297</v>
      </c>
      <c r="D31" t="s">
        <v>202</v>
      </c>
      <c r="F31">
        <v>710.078979</v>
      </c>
      <c r="G31">
        <v>745.46997099999999</v>
      </c>
      <c r="H31">
        <v>736.68206799999996</v>
      </c>
      <c r="I31">
        <v>738.70519999999999</v>
      </c>
      <c r="J31">
        <v>748.32171600000004</v>
      </c>
      <c r="K31">
        <v>757.27587900000003</v>
      </c>
      <c r="L31">
        <v>766.14733899999999</v>
      </c>
      <c r="M31">
        <v>772.89410399999997</v>
      </c>
      <c r="N31">
        <v>777.79357900000002</v>
      </c>
      <c r="O31">
        <v>783.99468999999999</v>
      </c>
      <c r="P31">
        <v>794.75061000000005</v>
      </c>
      <c r="Q31">
        <v>805.91589399999998</v>
      </c>
      <c r="R31">
        <v>813.78576699999996</v>
      </c>
      <c r="S31">
        <v>821.34020999999996</v>
      </c>
      <c r="T31">
        <v>830.72882100000004</v>
      </c>
      <c r="U31">
        <v>842.31744400000002</v>
      </c>
      <c r="V31">
        <v>856.212402</v>
      </c>
      <c r="W31">
        <v>871.08654799999999</v>
      </c>
      <c r="X31">
        <v>888.00317399999994</v>
      </c>
      <c r="Y31">
        <v>904.34942599999999</v>
      </c>
      <c r="Z31">
        <v>921.39001499999995</v>
      </c>
      <c r="AA31">
        <v>938.95989999999995</v>
      </c>
      <c r="AB31">
        <v>956.99127199999998</v>
      </c>
      <c r="AC31">
        <v>974.60882600000002</v>
      </c>
      <c r="AD31">
        <v>993.36712599999998</v>
      </c>
      <c r="AE31">
        <v>1013.58374</v>
      </c>
      <c r="AF31">
        <v>1035.090698</v>
      </c>
      <c r="AG31">
        <v>1057.723755</v>
      </c>
      <c r="AH31">
        <v>1081.9085689999999</v>
      </c>
      <c r="AI31" s="22">
        <v>1.4999999999999999E-2</v>
      </c>
    </row>
    <row r="32" spans="1:35">
      <c r="A32" t="s">
        <v>212</v>
      </c>
      <c r="B32" t="s">
        <v>1298</v>
      </c>
      <c r="C32" t="s">
        <v>1299</v>
      </c>
      <c r="D32" t="s">
        <v>202</v>
      </c>
      <c r="F32">
        <v>33.891998000000001</v>
      </c>
      <c r="G32">
        <v>36.630001</v>
      </c>
      <c r="H32">
        <v>37.250919000000003</v>
      </c>
      <c r="I32">
        <v>37.928448000000003</v>
      </c>
      <c r="J32">
        <v>38.582844000000001</v>
      </c>
      <c r="K32">
        <v>39.201327999999997</v>
      </c>
      <c r="L32">
        <v>39.822952000000001</v>
      </c>
      <c r="M32">
        <v>40.457236999999999</v>
      </c>
      <c r="N32">
        <v>41.099151999999997</v>
      </c>
      <c r="O32">
        <v>41.750576000000002</v>
      </c>
      <c r="P32">
        <v>42.408977999999998</v>
      </c>
      <c r="Q32">
        <v>43.071007000000002</v>
      </c>
      <c r="R32">
        <v>43.736645000000003</v>
      </c>
      <c r="S32">
        <v>44.405921999999997</v>
      </c>
      <c r="T32">
        <v>45.078777000000002</v>
      </c>
      <c r="U32">
        <v>45.755299000000001</v>
      </c>
      <c r="V32">
        <v>46.435478000000003</v>
      </c>
      <c r="W32">
        <v>47.119484</v>
      </c>
      <c r="X32">
        <v>47.807274</v>
      </c>
      <c r="Y32">
        <v>48.498725999999998</v>
      </c>
      <c r="Z32">
        <v>49.194065000000002</v>
      </c>
      <c r="AA32">
        <v>49.893104999999998</v>
      </c>
      <c r="AB32">
        <v>50.597079999999998</v>
      </c>
      <c r="AC32">
        <v>51.306601999999998</v>
      </c>
      <c r="AD32">
        <v>52.021793000000002</v>
      </c>
      <c r="AE32">
        <v>52.742984999999997</v>
      </c>
      <c r="AF32">
        <v>53.470382999999998</v>
      </c>
      <c r="AG32">
        <v>54.204514000000003</v>
      </c>
      <c r="AH32">
        <v>54.945633000000001</v>
      </c>
      <c r="AI32" s="22">
        <v>1.7000000000000001E-2</v>
      </c>
    </row>
    <row r="33" spans="1:35">
      <c r="A33" t="s">
        <v>1256</v>
      </c>
      <c r="B33" t="s">
        <v>1300</v>
      </c>
      <c r="C33" t="s">
        <v>1301</v>
      </c>
      <c r="D33" t="s">
        <v>202</v>
      </c>
      <c r="F33">
        <v>50.740718999999999</v>
      </c>
      <c r="G33">
        <v>56.534430999999998</v>
      </c>
      <c r="H33">
        <v>60.376579</v>
      </c>
      <c r="I33">
        <v>62.836734999999997</v>
      </c>
      <c r="J33">
        <v>65.337990000000005</v>
      </c>
      <c r="K33">
        <v>67.897064</v>
      </c>
      <c r="L33">
        <v>70.512161000000006</v>
      </c>
      <c r="M33">
        <v>73.204375999999996</v>
      </c>
      <c r="N33">
        <v>75.988669999999999</v>
      </c>
      <c r="O33">
        <v>78.861144999999993</v>
      </c>
      <c r="P33">
        <v>81.841094999999996</v>
      </c>
      <c r="Q33">
        <v>84.912086000000002</v>
      </c>
      <c r="R33">
        <v>88.077208999999996</v>
      </c>
      <c r="S33">
        <v>91.337661999999995</v>
      </c>
      <c r="T33">
        <v>94.683143999999999</v>
      </c>
      <c r="U33">
        <v>98.125945999999999</v>
      </c>
      <c r="V33">
        <v>101.669319</v>
      </c>
      <c r="W33">
        <v>105.31547500000001</v>
      </c>
      <c r="X33">
        <v>109.06652099999999</v>
      </c>
      <c r="Y33">
        <v>112.89244100000001</v>
      </c>
      <c r="Z33">
        <v>116.824089</v>
      </c>
      <c r="AA33">
        <v>120.86422</v>
      </c>
      <c r="AB33">
        <v>125.015038</v>
      </c>
      <c r="AC33">
        <v>129.27801500000001</v>
      </c>
      <c r="AD33">
        <v>133.62089499999999</v>
      </c>
      <c r="AE33">
        <v>138.07399000000001</v>
      </c>
      <c r="AF33">
        <v>142.646118</v>
      </c>
      <c r="AG33">
        <v>147.34742700000001</v>
      </c>
      <c r="AH33">
        <v>152.18673699999999</v>
      </c>
      <c r="AI33" s="22">
        <v>0.04</v>
      </c>
    </row>
    <row r="34" spans="1:35">
      <c r="A34" t="s">
        <v>1259</v>
      </c>
      <c r="B34" t="s">
        <v>1302</v>
      </c>
      <c r="C34" t="s">
        <v>1303</v>
      </c>
      <c r="D34" t="s">
        <v>202</v>
      </c>
      <c r="F34">
        <v>315.62841800000001</v>
      </c>
      <c r="G34">
        <v>422.74731400000002</v>
      </c>
      <c r="H34">
        <v>501.79760700000003</v>
      </c>
      <c r="I34">
        <v>547.62390100000005</v>
      </c>
      <c r="J34">
        <v>567.10003700000004</v>
      </c>
      <c r="K34">
        <v>580.01007100000004</v>
      </c>
      <c r="L34">
        <v>593.03802499999995</v>
      </c>
      <c r="M34">
        <v>606.25683600000002</v>
      </c>
      <c r="N34">
        <v>619.70391800000004</v>
      </c>
      <c r="O34">
        <v>633.394226</v>
      </c>
      <c r="P34">
        <v>647.34759499999996</v>
      </c>
      <c r="Q34">
        <v>661.58007799999996</v>
      </c>
      <c r="R34">
        <v>676.07147199999997</v>
      </c>
      <c r="S34">
        <v>690.78887899999995</v>
      </c>
      <c r="T34">
        <v>705.776794</v>
      </c>
      <c r="U34">
        <v>721.07025099999998</v>
      </c>
      <c r="V34">
        <v>736.65130599999998</v>
      </c>
      <c r="W34">
        <v>752.51965299999995</v>
      </c>
      <c r="X34">
        <v>768.69628899999998</v>
      </c>
      <c r="Y34">
        <v>785.15838599999995</v>
      </c>
      <c r="Z34">
        <v>801.90203899999995</v>
      </c>
      <c r="AA34">
        <v>818.92358400000001</v>
      </c>
      <c r="AB34">
        <v>836.21734600000002</v>
      </c>
      <c r="AC34">
        <v>853.78289800000005</v>
      </c>
      <c r="AD34">
        <v>871.62298599999997</v>
      </c>
      <c r="AE34">
        <v>889.74096699999996</v>
      </c>
      <c r="AF34">
        <v>908.15856900000006</v>
      </c>
      <c r="AG34">
        <v>926.90478499999995</v>
      </c>
      <c r="AH34">
        <v>945.99829099999999</v>
      </c>
      <c r="AI34" s="22">
        <v>0.04</v>
      </c>
    </row>
    <row r="35" spans="1:35">
      <c r="A35" t="s">
        <v>1262</v>
      </c>
      <c r="B35" t="s">
        <v>1304</v>
      </c>
      <c r="C35" t="s">
        <v>1305</v>
      </c>
      <c r="D35" t="s">
        <v>202</v>
      </c>
      <c r="F35">
        <v>26.969999000000001</v>
      </c>
      <c r="G35">
        <v>47.43</v>
      </c>
      <c r="H35">
        <v>59.271999000000001</v>
      </c>
      <c r="I35">
        <v>61.380001</v>
      </c>
      <c r="J35">
        <v>61.920161999999998</v>
      </c>
      <c r="K35">
        <v>62.41534</v>
      </c>
      <c r="L35">
        <v>62.870857000000001</v>
      </c>
      <c r="M35">
        <v>63.294476000000003</v>
      </c>
      <c r="N35">
        <v>63.689357999999999</v>
      </c>
      <c r="O35">
        <v>64.061240999999995</v>
      </c>
      <c r="P35">
        <v>64.419899000000001</v>
      </c>
      <c r="Q35">
        <v>64.773528999999996</v>
      </c>
      <c r="R35">
        <v>65.123833000000005</v>
      </c>
      <c r="S35">
        <v>65.470909000000006</v>
      </c>
      <c r="T35">
        <v>65.814910999999995</v>
      </c>
      <c r="U35">
        <v>66.156433000000007</v>
      </c>
      <c r="V35">
        <v>66.495697000000007</v>
      </c>
      <c r="W35">
        <v>66.832970000000003</v>
      </c>
      <c r="X35">
        <v>67.168334999999999</v>
      </c>
      <c r="Y35">
        <v>67.502707999999998</v>
      </c>
      <c r="Z35">
        <v>67.836005999999998</v>
      </c>
      <c r="AA35">
        <v>68.168655000000001</v>
      </c>
      <c r="AB35">
        <v>68.502373000000006</v>
      </c>
      <c r="AC35">
        <v>68.839500000000001</v>
      </c>
      <c r="AD35">
        <v>69.182654999999997</v>
      </c>
      <c r="AE35">
        <v>69.532364000000001</v>
      </c>
      <c r="AF35">
        <v>69.888549999999995</v>
      </c>
      <c r="AG35">
        <v>70.251152000000005</v>
      </c>
      <c r="AH35">
        <v>70.620002999999997</v>
      </c>
      <c r="AI35" s="22">
        <v>3.5000000000000003E-2</v>
      </c>
    </row>
    <row r="36" spans="1:35">
      <c r="A36" t="s">
        <v>1265</v>
      </c>
      <c r="B36" t="s">
        <v>1306</v>
      </c>
      <c r="C36" t="s">
        <v>1307</v>
      </c>
      <c r="D36" t="s">
        <v>202</v>
      </c>
      <c r="F36">
        <v>32.485492999999998</v>
      </c>
      <c r="G36">
        <v>45.917563999999999</v>
      </c>
      <c r="H36">
        <v>54.438347</v>
      </c>
      <c r="I36">
        <v>58.580399</v>
      </c>
      <c r="J36">
        <v>60.373111999999999</v>
      </c>
      <c r="K36">
        <v>62.175818999999997</v>
      </c>
      <c r="L36">
        <v>63.987071999999998</v>
      </c>
      <c r="M36">
        <v>65.816010000000006</v>
      </c>
      <c r="N36">
        <v>67.672150000000002</v>
      </c>
      <c r="O36">
        <v>69.540038999999993</v>
      </c>
      <c r="P36">
        <v>71.392394999999993</v>
      </c>
      <c r="Q36">
        <v>73.242050000000006</v>
      </c>
      <c r="R36">
        <v>75.092895999999996</v>
      </c>
      <c r="S36">
        <v>76.872742000000002</v>
      </c>
      <c r="T36">
        <v>78.633728000000005</v>
      </c>
      <c r="U36">
        <v>80.435424999999995</v>
      </c>
      <c r="V36">
        <v>82.260277000000002</v>
      </c>
      <c r="W36">
        <v>84.062126000000006</v>
      </c>
      <c r="X36">
        <v>85.845725999999999</v>
      </c>
      <c r="Y36">
        <v>87.640495000000001</v>
      </c>
      <c r="Z36">
        <v>89.452477000000002</v>
      </c>
      <c r="AA36">
        <v>91.281104999999997</v>
      </c>
      <c r="AB36">
        <v>93.125473</v>
      </c>
      <c r="AC36">
        <v>94.983176999999998</v>
      </c>
      <c r="AD36">
        <v>96.849968000000004</v>
      </c>
      <c r="AE36">
        <v>98.726249999999993</v>
      </c>
      <c r="AF36">
        <v>100.62426000000001</v>
      </c>
      <c r="AG36">
        <v>102.54549400000001</v>
      </c>
      <c r="AH36">
        <v>104.48915100000001</v>
      </c>
      <c r="AI36" s="22">
        <v>4.2999999999999997E-2</v>
      </c>
    </row>
    <row r="37" spans="1:35">
      <c r="A37" t="s">
        <v>1268</v>
      </c>
      <c r="B37" t="s">
        <v>1308</v>
      </c>
      <c r="C37" t="s">
        <v>1309</v>
      </c>
      <c r="D37" t="s">
        <v>202</v>
      </c>
      <c r="F37">
        <v>7.1724589999999999</v>
      </c>
      <c r="G37">
        <v>8.457884</v>
      </c>
      <c r="H37">
        <v>9.5488759999999999</v>
      </c>
      <c r="I37">
        <v>10.326612000000001</v>
      </c>
      <c r="J37">
        <v>10.693877000000001</v>
      </c>
      <c r="K37">
        <v>10.870692</v>
      </c>
      <c r="L37">
        <v>11.037345</v>
      </c>
      <c r="M37">
        <v>11.193871</v>
      </c>
      <c r="N37">
        <v>11.34094</v>
      </c>
      <c r="O37">
        <v>11.454879</v>
      </c>
      <c r="P37">
        <v>11.523292</v>
      </c>
      <c r="Q37">
        <v>11.581455</v>
      </c>
      <c r="R37">
        <v>11.636729000000001</v>
      </c>
      <c r="S37">
        <v>11.687825999999999</v>
      </c>
      <c r="T37">
        <v>11.736679000000001</v>
      </c>
      <c r="U37">
        <v>11.776113</v>
      </c>
      <c r="V37">
        <v>11.806799</v>
      </c>
      <c r="W37">
        <v>11.835800000000001</v>
      </c>
      <c r="X37">
        <v>11.867737999999999</v>
      </c>
      <c r="Y37">
        <v>11.907171999999999</v>
      </c>
      <c r="Z37">
        <v>11.952139000000001</v>
      </c>
      <c r="AA37">
        <v>11.998142</v>
      </c>
      <c r="AB37">
        <v>12.043982</v>
      </c>
      <c r="AC37">
        <v>12.087415</v>
      </c>
      <c r="AD37">
        <v>12.125690000000001</v>
      </c>
      <c r="AE37">
        <v>12.1586</v>
      </c>
      <c r="AF37">
        <v>12.189465</v>
      </c>
      <c r="AG37">
        <v>12.221159999999999</v>
      </c>
      <c r="AH37">
        <v>12.255587</v>
      </c>
      <c r="AI37" s="22">
        <v>1.9E-2</v>
      </c>
    </row>
    <row r="38" spans="1:35">
      <c r="A38" t="s">
        <v>1271</v>
      </c>
      <c r="B38" t="s">
        <v>1310</v>
      </c>
      <c r="C38" t="s">
        <v>1311</v>
      </c>
      <c r="D38" t="s">
        <v>202</v>
      </c>
      <c r="F38">
        <v>96.943595999999999</v>
      </c>
      <c r="G38">
        <v>96.375838999999999</v>
      </c>
      <c r="H38">
        <v>98.188980000000001</v>
      </c>
      <c r="I38">
        <v>99.832595999999995</v>
      </c>
      <c r="J38">
        <v>101.372215</v>
      </c>
      <c r="K38">
        <v>102.851097</v>
      </c>
      <c r="L38">
        <v>104.335266</v>
      </c>
      <c r="M38">
        <v>105.832863</v>
      </c>
      <c r="N38">
        <v>107.348007</v>
      </c>
      <c r="O38">
        <v>108.917366</v>
      </c>
      <c r="P38">
        <v>110.521828</v>
      </c>
      <c r="Q38">
        <v>112.14489</v>
      </c>
      <c r="R38">
        <v>113.791878</v>
      </c>
      <c r="S38">
        <v>115.46772</v>
      </c>
      <c r="T38">
        <v>117.171211</v>
      </c>
      <c r="U38">
        <v>118.89960499999999</v>
      </c>
      <c r="V38">
        <v>120.656273</v>
      </c>
      <c r="W38">
        <v>122.44444300000001</v>
      </c>
      <c r="X38">
        <v>124.26765399999999</v>
      </c>
      <c r="Y38">
        <v>126.12685399999999</v>
      </c>
      <c r="Z38">
        <v>128.02136200000001</v>
      </c>
      <c r="AA38">
        <v>129.95013399999999</v>
      </c>
      <c r="AB38">
        <v>131.91334499999999</v>
      </c>
      <c r="AC38">
        <v>133.910202</v>
      </c>
      <c r="AD38">
        <v>135.94387800000001</v>
      </c>
      <c r="AE38">
        <v>138.014771</v>
      </c>
      <c r="AF38">
        <v>140.12088</v>
      </c>
      <c r="AG38">
        <v>142.26033000000001</v>
      </c>
      <c r="AH38">
        <v>144.430115</v>
      </c>
      <c r="AI38" s="22">
        <v>1.4E-2</v>
      </c>
    </row>
    <row r="39" spans="1:35">
      <c r="A39" t="s">
        <v>1274</v>
      </c>
      <c r="B39" t="s">
        <v>1312</v>
      </c>
      <c r="C39" t="s">
        <v>1313</v>
      </c>
      <c r="D39" t="s">
        <v>202</v>
      </c>
      <c r="F39">
        <v>5.5833570000000003</v>
      </c>
      <c r="G39">
        <v>6.899108</v>
      </c>
      <c r="H39">
        <v>8.7525999999999993</v>
      </c>
      <c r="I39">
        <v>10.320059000000001</v>
      </c>
      <c r="J39">
        <v>11.326893999999999</v>
      </c>
      <c r="K39">
        <v>11.649971000000001</v>
      </c>
      <c r="L39">
        <v>11.976704</v>
      </c>
      <c r="M39">
        <v>12.309505</v>
      </c>
      <c r="N39">
        <v>12.650805999999999</v>
      </c>
      <c r="O39">
        <v>13.010585000000001</v>
      </c>
      <c r="P39">
        <v>13.382293000000001</v>
      </c>
      <c r="Q39">
        <v>13.763350000000001</v>
      </c>
      <c r="R39">
        <v>14.154275999999999</v>
      </c>
      <c r="S39">
        <v>14.556096999999999</v>
      </c>
      <c r="T39">
        <v>14.956531</v>
      </c>
      <c r="U39">
        <v>15.366565</v>
      </c>
      <c r="V39">
        <v>15.786690999999999</v>
      </c>
      <c r="W39">
        <v>16.216818</v>
      </c>
      <c r="X39">
        <v>16.657633000000001</v>
      </c>
      <c r="Y39">
        <v>17.097104999999999</v>
      </c>
      <c r="Z39">
        <v>17.546858</v>
      </c>
      <c r="AA39">
        <v>18.007286000000001</v>
      </c>
      <c r="AB39">
        <v>18.478339999999999</v>
      </c>
      <c r="AC39">
        <v>18.960153999999999</v>
      </c>
      <c r="AD39">
        <v>19.440370999999999</v>
      </c>
      <c r="AE39">
        <v>19.930873999999999</v>
      </c>
      <c r="AF39">
        <v>20.432293000000001</v>
      </c>
      <c r="AG39">
        <v>20.944868</v>
      </c>
      <c r="AH39">
        <v>21.468855000000001</v>
      </c>
      <c r="AI39" s="22">
        <v>4.9000000000000002E-2</v>
      </c>
    </row>
    <row r="40" spans="1:35">
      <c r="A40" t="s">
        <v>214</v>
      </c>
      <c r="B40" t="s">
        <v>1314</v>
      </c>
      <c r="C40" t="s">
        <v>1315</v>
      </c>
      <c r="D40" t="s">
        <v>202</v>
      </c>
      <c r="F40">
        <v>445.94699100000003</v>
      </c>
      <c r="G40">
        <v>487.20901500000002</v>
      </c>
      <c r="H40">
        <v>523.71002199999998</v>
      </c>
      <c r="I40">
        <v>560.38824499999998</v>
      </c>
      <c r="J40">
        <v>597.47442599999999</v>
      </c>
      <c r="K40">
        <v>634.90472399999999</v>
      </c>
      <c r="L40">
        <v>672.73303199999998</v>
      </c>
      <c r="M40">
        <v>710.81597899999997</v>
      </c>
      <c r="N40">
        <v>748.88952600000005</v>
      </c>
      <c r="O40">
        <v>787.29797399999995</v>
      </c>
      <c r="P40">
        <v>826.023865</v>
      </c>
      <c r="Q40">
        <v>864.93164100000001</v>
      </c>
      <c r="R40">
        <v>904.114868</v>
      </c>
      <c r="S40">
        <v>943.79315199999996</v>
      </c>
      <c r="T40">
        <v>983.87207000000001</v>
      </c>
      <c r="U40">
        <v>1024.044312</v>
      </c>
      <c r="V40">
        <v>1064.332764</v>
      </c>
      <c r="W40">
        <v>1104.986206</v>
      </c>
      <c r="X40">
        <v>1146.439697</v>
      </c>
      <c r="Y40">
        <v>1189.1207280000001</v>
      </c>
      <c r="Z40">
        <v>1232.996216</v>
      </c>
      <c r="AA40">
        <v>1277.6727289999999</v>
      </c>
      <c r="AB40">
        <v>1322.664673</v>
      </c>
      <c r="AC40">
        <v>1367.44165</v>
      </c>
      <c r="AD40">
        <v>1411.900024</v>
      </c>
      <c r="AE40">
        <v>1456.2844239999999</v>
      </c>
      <c r="AF40">
        <v>1500.4047849999999</v>
      </c>
      <c r="AG40">
        <v>1543.762573</v>
      </c>
      <c r="AH40">
        <v>1585.8328859999999</v>
      </c>
      <c r="AI40" s="22">
        <v>4.5999999999999999E-2</v>
      </c>
    </row>
    <row r="41" spans="1:35">
      <c r="A41" t="s">
        <v>1279</v>
      </c>
      <c r="B41" t="s">
        <v>1316</v>
      </c>
      <c r="C41" t="s">
        <v>1317</v>
      </c>
      <c r="D41" t="s">
        <v>202</v>
      </c>
      <c r="F41">
        <v>64.328002999999995</v>
      </c>
      <c r="G41">
        <v>75.594002000000003</v>
      </c>
      <c r="H41">
        <v>81.957999999999998</v>
      </c>
      <c r="I41">
        <v>85.139999000000003</v>
      </c>
      <c r="J41">
        <v>93.982192999999995</v>
      </c>
      <c r="K41">
        <v>103.36318199999999</v>
      </c>
      <c r="L41">
        <v>113.16532100000001</v>
      </c>
      <c r="M41">
        <v>123.31379699999999</v>
      </c>
      <c r="N41">
        <v>133.73538199999999</v>
      </c>
      <c r="O41">
        <v>144.346588</v>
      </c>
      <c r="P41">
        <v>155.08763099999999</v>
      </c>
      <c r="Q41">
        <v>165.88197299999999</v>
      </c>
      <c r="R41">
        <v>176.64450099999999</v>
      </c>
      <c r="S41">
        <v>187.40939299999999</v>
      </c>
      <c r="T41">
        <v>198.268677</v>
      </c>
      <c r="U41">
        <v>209.41423</v>
      </c>
      <c r="V41">
        <v>220.845947</v>
      </c>
      <c r="W41">
        <v>232.543701</v>
      </c>
      <c r="X41">
        <v>244.48284899999999</v>
      </c>
      <c r="Y41">
        <v>256.64562999999998</v>
      </c>
      <c r="Z41">
        <v>269.010651</v>
      </c>
      <c r="AA41">
        <v>281.56417800000003</v>
      </c>
      <c r="AB41">
        <v>294.26825000000002</v>
      </c>
      <c r="AC41">
        <v>307.09204099999999</v>
      </c>
      <c r="AD41">
        <v>320.00271600000002</v>
      </c>
      <c r="AE41">
        <v>332.96649200000002</v>
      </c>
      <c r="AF41">
        <v>345.94287100000003</v>
      </c>
      <c r="AG41">
        <v>358.890961</v>
      </c>
      <c r="AH41">
        <v>371.77322400000003</v>
      </c>
      <c r="AI41" s="22">
        <v>6.5000000000000002E-2</v>
      </c>
    </row>
    <row r="42" spans="1:35">
      <c r="A42" t="s">
        <v>1282</v>
      </c>
      <c r="B42" t="s">
        <v>1318</v>
      </c>
      <c r="C42" t="s">
        <v>1319</v>
      </c>
      <c r="D42" t="s">
        <v>202</v>
      </c>
      <c r="F42">
        <v>121.340279</v>
      </c>
      <c r="G42">
        <v>154.57797199999999</v>
      </c>
      <c r="H42">
        <v>184.62844799999999</v>
      </c>
      <c r="I42">
        <v>208.98757900000001</v>
      </c>
      <c r="J42">
        <v>225.37876900000001</v>
      </c>
      <c r="K42">
        <v>238.34477200000001</v>
      </c>
      <c r="L42">
        <v>251.587997</v>
      </c>
      <c r="M42">
        <v>265.00787400000002</v>
      </c>
      <c r="N42">
        <v>278.52264400000001</v>
      </c>
      <c r="O42">
        <v>292.37914999999998</v>
      </c>
      <c r="P42">
        <v>306.63424700000002</v>
      </c>
      <c r="Q42">
        <v>321.28695699999997</v>
      </c>
      <c r="R42">
        <v>336.38125600000001</v>
      </c>
      <c r="S42">
        <v>351.955963</v>
      </c>
      <c r="T42">
        <v>367.83340500000003</v>
      </c>
      <c r="U42">
        <v>384.15817299999998</v>
      </c>
      <c r="V42">
        <v>400.97872899999999</v>
      </c>
      <c r="W42">
        <v>418.281586</v>
      </c>
      <c r="X42">
        <v>436.11956800000002</v>
      </c>
      <c r="Y42">
        <v>454.223206</v>
      </c>
      <c r="Z42">
        <v>472.74136399999998</v>
      </c>
      <c r="AA42">
        <v>491.70300300000002</v>
      </c>
      <c r="AB42">
        <v>511.12606799999998</v>
      </c>
      <c r="AC42">
        <v>530.98492399999998</v>
      </c>
      <c r="AD42">
        <v>550.75610400000005</v>
      </c>
      <c r="AE42">
        <v>570.81701699999996</v>
      </c>
      <c r="AF42">
        <v>591.32055700000001</v>
      </c>
      <c r="AG42">
        <v>612.31854199999998</v>
      </c>
      <c r="AH42">
        <v>633.87719700000002</v>
      </c>
      <c r="AI42" s="22">
        <v>6.0999999999999999E-2</v>
      </c>
    </row>
    <row r="43" spans="1:35">
      <c r="A43" t="s">
        <v>1285</v>
      </c>
      <c r="B43" t="s">
        <v>1320</v>
      </c>
      <c r="C43" t="s">
        <v>1321</v>
      </c>
      <c r="D43" t="s">
        <v>202</v>
      </c>
      <c r="F43">
        <v>25.162047999999999</v>
      </c>
      <c r="G43">
        <v>33.757781999999999</v>
      </c>
      <c r="H43">
        <v>43.291224999999997</v>
      </c>
      <c r="I43">
        <v>49.386383000000002</v>
      </c>
      <c r="J43">
        <v>51.574387000000002</v>
      </c>
      <c r="K43">
        <v>53.530833999999999</v>
      </c>
      <c r="L43">
        <v>55.570011000000001</v>
      </c>
      <c r="M43">
        <v>57.661495000000002</v>
      </c>
      <c r="N43">
        <v>59.811988999999997</v>
      </c>
      <c r="O43">
        <v>61.987437999999997</v>
      </c>
      <c r="P43">
        <v>64.196487000000005</v>
      </c>
      <c r="Q43">
        <v>66.463004999999995</v>
      </c>
      <c r="R43">
        <v>68.793846000000002</v>
      </c>
      <c r="S43">
        <v>71.198943999999997</v>
      </c>
      <c r="T43">
        <v>73.662277000000003</v>
      </c>
      <c r="U43">
        <v>76.193236999999996</v>
      </c>
      <c r="V43">
        <v>78.792975999999996</v>
      </c>
      <c r="W43">
        <v>81.454643000000004</v>
      </c>
      <c r="X43">
        <v>84.179428000000001</v>
      </c>
      <c r="Y43">
        <v>86.959701999999993</v>
      </c>
      <c r="Z43">
        <v>89.805481</v>
      </c>
      <c r="AA43">
        <v>92.720855999999998</v>
      </c>
      <c r="AB43">
        <v>95.706917000000004</v>
      </c>
      <c r="AC43">
        <v>98.766266000000002</v>
      </c>
      <c r="AD43">
        <v>101.88080600000001</v>
      </c>
      <c r="AE43">
        <v>105.06590300000001</v>
      </c>
      <c r="AF43">
        <v>108.32765999999999</v>
      </c>
      <c r="AG43">
        <v>111.667374</v>
      </c>
      <c r="AH43">
        <v>115.087654</v>
      </c>
      <c r="AI43" s="22">
        <v>5.6000000000000001E-2</v>
      </c>
    </row>
    <row r="44" spans="1:35">
      <c r="A44" t="s">
        <v>213</v>
      </c>
      <c r="B44" t="s">
        <v>1322</v>
      </c>
      <c r="C44" t="s">
        <v>1323</v>
      </c>
      <c r="D44" t="s">
        <v>202</v>
      </c>
      <c r="F44">
        <v>21.436751999999998</v>
      </c>
      <c r="G44">
        <v>27.598734</v>
      </c>
      <c r="H44">
        <v>35.583275</v>
      </c>
      <c r="I44">
        <v>40.530216000000003</v>
      </c>
      <c r="J44">
        <v>42.960293</v>
      </c>
      <c r="K44">
        <v>45.071503</v>
      </c>
      <c r="L44">
        <v>47.258926000000002</v>
      </c>
      <c r="M44">
        <v>49.535010999999997</v>
      </c>
      <c r="N44">
        <v>51.919395000000002</v>
      </c>
      <c r="O44">
        <v>54.415638000000001</v>
      </c>
      <c r="P44">
        <v>57.007767000000001</v>
      </c>
      <c r="Q44">
        <v>59.691803</v>
      </c>
      <c r="R44">
        <v>62.468406999999999</v>
      </c>
      <c r="S44">
        <v>65.338493</v>
      </c>
      <c r="T44">
        <v>68.332961999999995</v>
      </c>
      <c r="U44">
        <v>71.430465999999996</v>
      </c>
      <c r="V44">
        <v>74.628899000000004</v>
      </c>
      <c r="W44">
        <v>77.928932000000003</v>
      </c>
      <c r="X44">
        <v>81.334746999999993</v>
      </c>
      <c r="Y44">
        <v>84.875998999999993</v>
      </c>
      <c r="Z44">
        <v>88.529678000000004</v>
      </c>
      <c r="AA44">
        <v>92.295119999999997</v>
      </c>
      <c r="AB44">
        <v>96.174530000000004</v>
      </c>
      <c r="AC44">
        <v>100.172386</v>
      </c>
      <c r="AD44">
        <v>104.314087</v>
      </c>
      <c r="AE44">
        <v>108.579628</v>
      </c>
      <c r="AF44">
        <v>112.96938299999999</v>
      </c>
      <c r="AG44">
        <v>117.485657</v>
      </c>
      <c r="AH44">
        <v>122.13298</v>
      </c>
      <c r="AI44" s="22">
        <v>6.4000000000000001E-2</v>
      </c>
    </row>
    <row r="45" spans="1:35">
      <c r="A45" t="s">
        <v>1290</v>
      </c>
      <c r="B45" t="s">
        <v>1324</v>
      </c>
      <c r="C45" t="s">
        <v>1325</v>
      </c>
      <c r="D45" t="s">
        <v>202</v>
      </c>
      <c r="F45">
        <v>48.393002000000003</v>
      </c>
      <c r="G45">
        <v>52.212001999999998</v>
      </c>
      <c r="H45">
        <v>54.320999</v>
      </c>
      <c r="I45">
        <v>56.43</v>
      </c>
      <c r="J45">
        <v>57.815392000000003</v>
      </c>
      <c r="K45">
        <v>59.144066000000002</v>
      </c>
      <c r="L45">
        <v>60.473391999999997</v>
      </c>
      <c r="M45">
        <v>61.790427999999999</v>
      </c>
      <c r="N45">
        <v>63.030360999999999</v>
      </c>
      <c r="O45">
        <v>64.167816000000002</v>
      </c>
      <c r="P45">
        <v>65.257767000000001</v>
      </c>
      <c r="Q45">
        <v>66.297470000000004</v>
      </c>
      <c r="R45">
        <v>67.283569</v>
      </c>
      <c r="S45">
        <v>68.213134999999994</v>
      </c>
      <c r="T45">
        <v>69.085907000000006</v>
      </c>
      <c r="U45">
        <v>69.909248000000005</v>
      </c>
      <c r="V45">
        <v>70.688300999999996</v>
      </c>
      <c r="W45">
        <v>71.428200000000004</v>
      </c>
      <c r="X45">
        <v>72.133858000000004</v>
      </c>
      <c r="Y45">
        <v>72.808730999999995</v>
      </c>
      <c r="Z45">
        <v>73.454993999999999</v>
      </c>
      <c r="AA45">
        <v>74.074744999999993</v>
      </c>
      <c r="AB45">
        <v>74.669487000000004</v>
      </c>
      <c r="AC45">
        <v>75.240584999999996</v>
      </c>
      <c r="AD45">
        <v>75.790413000000001</v>
      </c>
      <c r="AE45">
        <v>76.318916000000002</v>
      </c>
      <c r="AF45">
        <v>76.827270999999996</v>
      </c>
      <c r="AG45">
        <v>77.315162999999998</v>
      </c>
      <c r="AH45">
        <v>77.784637000000004</v>
      </c>
      <c r="AI45" s="22">
        <v>1.7000000000000001E-2</v>
      </c>
    </row>
    <row r="46" spans="1:35">
      <c r="A46" t="s">
        <v>1293</v>
      </c>
      <c r="B46" t="s">
        <v>1326</v>
      </c>
      <c r="C46" t="s">
        <v>1327</v>
      </c>
      <c r="D46" t="s">
        <v>202</v>
      </c>
      <c r="F46">
        <v>25.34132</v>
      </c>
      <c r="G46">
        <v>30.831939999999999</v>
      </c>
      <c r="H46">
        <v>34.844315000000002</v>
      </c>
      <c r="I46">
        <v>35.958019</v>
      </c>
      <c r="J46">
        <v>37.186523000000001</v>
      </c>
      <c r="K46">
        <v>38.400398000000003</v>
      </c>
      <c r="L46">
        <v>39.597152999999999</v>
      </c>
      <c r="M46">
        <v>40.775063000000003</v>
      </c>
      <c r="N46">
        <v>41.934654000000002</v>
      </c>
      <c r="O46">
        <v>43.060527999999998</v>
      </c>
      <c r="P46">
        <v>44.201756000000003</v>
      </c>
      <c r="Q46">
        <v>45.363827000000001</v>
      </c>
      <c r="R46">
        <v>46.548321000000001</v>
      </c>
      <c r="S46">
        <v>47.756633999999998</v>
      </c>
      <c r="T46">
        <v>48.983604</v>
      </c>
      <c r="U46">
        <v>50.236697999999997</v>
      </c>
      <c r="V46">
        <v>51.516010000000001</v>
      </c>
      <c r="W46">
        <v>52.821052999999999</v>
      </c>
      <c r="X46">
        <v>54.150795000000002</v>
      </c>
      <c r="Y46">
        <v>55.505904999999998</v>
      </c>
      <c r="Z46">
        <v>56.886997000000001</v>
      </c>
      <c r="AA46">
        <v>58.293770000000002</v>
      </c>
      <c r="AB46">
        <v>59.725966999999997</v>
      </c>
      <c r="AC46">
        <v>61.183010000000003</v>
      </c>
      <c r="AD46">
        <v>62.647793</v>
      </c>
      <c r="AE46">
        <v>64.137566000000007</v>
      </c>
      <c r="AF46">
        <v>65.652901</v>
      </c>
      <c r="AG46">
        <v>67.194282999999999</v>
      </c>
      <c r="AH46">
        <v>68.761512999999994</v>
      </c>
      <c r="AI46" s="22">
        <v>3.5999999999999997E-2</v>
      </c>
    </row>
    <row r="47" spans="1:35">
      <c r="A47" t="s">
        <v>1328</v>
      </c>
      <c r="B47" t="s">
        <v>1329</v>
      </c>
      <c r="C47" t="s">
        <v>1330</v>
      </c>
      <c r="D47" t="s">
        <v>202</v>
      </c>
      <c r="F47">
        <v>2031.443481</v>
      </c>
      <c r="G47">
        <v>2328.2434079999998</v>
      </c>
      <c r="H47">
        <v>2524.6442870000001</v>
      </c>
      <c r="I47">
        <v>2664.3542480000001</v>
      </c>
      <c r="J47">
        <v>2771.4008789999998</v>
      </c>
      <c r="K47">
        <v>2867.1066890000002</v>
      </c>
      <c r="L47">
        <v>2964.1140140000002</v>
      </c>
      <c r="M47">
        <v>3060.1589359999998</v>
      </c>
      <c r="N47">
        <v>3155.1308589999999</v>
      </c>
      <c r="O47">
        <v>3252.639893</v>
      </c>
      <c r="P47">
        <v>3355.9975589999999</v>
      </c>
      <c r="Q47">
        <v>3460.9008789999998</v>
      </c>
      <c r="R47">
        <v>3563.7053219999998</v>
      </c>
      <c r="S47">
        <v>3667.5942380000001</v>
      </c>
      <c r="T47">
        <v>3774.619385</v>
      </c>
      <c r="U47">
        <v>3885.2897950000001</v>
      </c>
      <c r="V47">
        <v>3999.758057</v>
      </c>
      <c r="W47">
        <v>4116.8779299999997</v>
      </c>
      <c r="X47">
        <v>4238.2216799999997</v>
      </c>
      <c r="Y47">
        <v>4361.3129879999997</v>
      </c>
      <c r="Z47">
        <v>4487.5444340000004</v>
      </c>
      <c r="AA47">
        <v>4616.3706050000001</v>
      </c>
      <c r="AB47">
        <v>4747.2202150000003</v>
      </c>
      <c r="AC47">
        <v>4878.6381840000004</v>
      </c>
      <c r="AD47">
        <v>5011.4672849999997</v>
      </c>
      <c r="AE47">
        <v>5146.673828</v>
      </c>
      <c r="AF47">
        <v>5284.0668949999999</v>
      </c>
      <c r="AG47">
        <v>5423.0380859999996</v>
      </c>
      <c r="AH47">
        <v>5563.5517579999996</v>
      </c>
      <c r="AI47" s="22">
        <v>3.6999999999999998E-2</v>
      </c>
    </row>
    <row r="48" spans="1:35">
      <c r="A48" t="s">
        <v>207</v>
      </c>
    </row>
    <row r="49" spans="1:35">
      <c r="A49" t="s">
        <v>211</v>
      </c>
      <c r="B49" t="s">
        <v>1331</v>
      </c>
      <c r="C49" t="s">
        <v>1332</v>
      </c>
      <c r="D49" t="s">
        <v>202</v>
      </c>
      <c r="F49">
        <v>243.14546200000001</v>
      </c>
      <c r="G49">
        <v>335.79156499999999</v>
      </c>
      <c r="H49">
        <v>383.935181</v>
      </c>
      <c r="I49">
        <v>400.52246100000002</v>
      </c>
      <c r="J49">
        <v>407.61910999999998</v>
      </c>
      <c r="K49">
        <v>414.49111900000003</v>
      </c>
      <c r="L49">
        <v>421.393036</v>
      </c>
      <c r="M49">
        <v>427.40426600000001</v>
      </c>
      <c r="N49">
        <v>432.63568099999998</v>
      </c>
      <c r="O49">
        <v>438.49890099999999</v>
      </c>
      <c r="P49">
        <v>446.48907500000001</v>
      </c>
      <c r="Q49">
        <v>454.73223899999999</v>
      </c>
      <c r="R49">
        <v>461.52075200000002</v>
      </c>
      <c r="S49">
        <v>468.21243299999998</v>
      </c>
      <c r="T49">
        <v>475.80575599999997</v>
      </c>
      <c r="U49">
        <v>484.48400900000001</v>
      </c>
      <c r="V49">
        <v>494.31170700000001</v>
      </c>
      <c r="W49">
        <v>504.67654399999998</v>
      </c>
      <c r="X49">
        <v>516.08764599999995</v>
      </c>
      <c r="Y49">
        <v>527.31774900000005</v>
      </c>
      <c r="Z49">
        <v>538.96856700000001</v>
      </c>
      <c r="AA49">
        <v>550.96636999999998</v>
      </c>
      <c r="AB49">
        <v>563.28277600000001</v>
      </c>
      <c r="AC49">
        <v>575.50067100000001</v>
      </c>
      <c r="AD49">
        <v>588.36859100000004</v>
      </c>
      <c r="AE49">
        <v>602.04803500000003</v>
      </c>
      <c r="AF49">
        <v>616.46588099999997</v>
      </c>
      <c r="AG49">
        <v>631.54870600000004</v>
      </c>
      <c r="AH49">
        <v>647.51074200000005</v>
      </c>
      <c r="AI49" s="22">
        <v>3.5999999999999997E-2</v>
      </c>
    </row>
    <row r="50" spans="1:35">
      <c r="A50" t="s">
        <v>212</v>
      </c>
      <c r="B50" t="s">
        <v>1333</v>
      </c>
      <c r="C50" t="s">
        <v>1334</v>
      </c>
      <c r="D50" t="s">
        <v>202</v>
      </c>
      <c r="F50">
        <v>44.242100000000001</v>
      </c>
      <c r="G50">
        <v>57.959876999999999</v>
      </c>
      <c r="H50">
        <v>69.951576000000003</v>
      </c>
      <c r="I50">
        <v>78.945351000000002</v>
      </c>
      <c r="J50">
        <v>84.759506000000002</v>
      </c>
      <c r="K50">
        <v>89.937743999999995</v>
      </c>
      <c r="L50">
        <v>92.223777999999996</v>
      </c>
      <c r="M50">
        <v>94.555144999999996</v>
      </c>
      <c r="N50">
        <v>96.929855000000003</v>
      </c>
      <c r="O50">
        <v>99.348456999999996</v>
      </c>
      <c r="P50">
        <v>101.810303</v>
      </c>
      <c r="Q50">
        <v>104.31398</v>
      </c>
      <c r="R50">
        <v>106.860016</v>
      </c>
      <c r="S50">
        <v>109.449196</v>
      </c>
      <c r="T50">
        <v>112.081863</v>
      </c>
      <c r="U50">
        <v>114.759064</v>
      </c>
      <c r="V50">
        <v>117.48131600000001</v>
      </c>
      <c r="W50">
        <v>120.24996899999999</v>
      </c>
      <c r="X50">
        <v>123.06551399999999</v>
      </c>
      <c r="Y50">
        <v>125.92826100000001</v>
      </c>
      <c r="Z50">
        <v>128.839752</v>
      </c>
      <c r="AA50">
        <v>131.79995700000001</v>
      </c>
      <c r="AB50">
        <v>134.81431599999999</v>
      </c>
      <c r="AC50">
        <v>137.88580300000001</v>
      </c>
      <c r="AD50">
        <v>141.01591500000001</v>
      </c>
      <c r="AE50">
        <v>144.20684800000001</v>
      </c>
      <c r="AF50">
        <v>147.46043399999999</v>
      </c>
      <c r="AG50">
        <v>150.77969400000001</v>
      </c>
      <c r="AH50">
        <v>154.16679400000001</v>
      </c>
      <c r="AI50" s="22">
        <v>4.5999999999999999E-2</v>
      </c>
    </row>
    <row r="51" spans="1:35">
      <c r="A51" t="s">
        <v>1256</v>
      </c>
      <c r="B51" t="s">
        <v>1335</v>
      </c>
      <c r="C51" t="s">
        <v>1336</v>
      </c>
      <c r="D51" t="s">
        <v>202</v>
      </c>
      <c r="F51">
        <v>29.798960000000001</v>
      </c>
      <c r="G51">
        <v>40.311973999999999</v>
      </c>
      <c r="H51">
        <v>50.607475000000001</v>
      </c>
      <c r="I51">
        <v>59.090389000000002</v>
      </c>
      <c r="J51">
        <v>65.108185000000006</v>
      </c>
      <c r="K51">
        <v>68.878365000000002</v>
      </c>
      <c r="L51">
        <v>71.778519000000003</v>
      </c>
      <c r="M51">
        <v>74.124474000000006</v>
      </c>
      <c r="N51">
        <v>76.529831000000001</v>
      </c>
      <c r="O51">
        <v>78.988663000000003</v>
      </c>
      <c r="P51">
        <v>81.514861999999994</v>
      </c>
      <c r="Q51">
        <v>84.099945000000005</v>
      </c>
      <c r="R51">
        <v>86.744704999999996</v>
      </c>
      <c r="S51">
        <v>89.448975000000004</v>
      </c>
      <c r="T51">
        <v>92.207825</v>
      </c>
      <c r="U51">
        <v>95.026832999999996</v>
      </c>
      <c r="V51">
        <v>97.907409999999999</v>
      </c>
      <c r="W51">
        <v>100.85034899999999</v>
      </c>
      <c r="X51">
        <v>103.85659800000001</v>
      </c>
      <c r="Y51">
        <v>106.912582</v>
      </c>
      <c r="Z51">
        <v>110.031853</v>
      </c>
      <c r="AA51">
        <v>113.21547700000001</v>
      </c>
      <c r="AB51">
        <v>116.464378</v>
      </c>
      <c r="AC51">
        <v>119.778374</v>
      </c>
      <c r="AD51">
        <v>123.13962600000001</v>
      </c>
      <c r="AE51">
        <v>126.56178300000001</v>
      </c>
      <c r="AF51">
        <v>130.05413799999999</v>
      </c>
      <c r="AG51">
        <v>133.62745699999999</v>
      </c>
      <c r="AH51">
        <v>137.290436</v>
      </c>
      <c r="AI51" s="22">
        <v>5.6000000000000001E-2</v>
      </c>
    </row>
    <row r="52" spans="1:35">
      <c r="A52" t="s">
        <v>1259</v>
      </c>
      <c r="B52" t="s">
        <v>1337</v>
      </c>
      <c r="C52" t="s">
        <v>1338</v>
      </c>
      <c r="D52" t="s">
        <v>202</v>
      </c>
      <c r="F52">
        <v>280.836365</v>
      </c>
      <c r="G52">
        <v>391.70883199999997</v>
      </c>
      <c r="H52">
        <v>486.74243200000001</v>
      </c>
      <c r="I52">
        <v>550.70733600000005</v>
      </c>
      <c r="J52">
        <v>603.09759499999996</v>
      </c>
      <c r="K52">
        <v>615.40289299999995</v>
      </c>
      <c r="L52">
        <v>627.85687299999995</v>
      </c>
      <c r="M52">
        <v>640.49560499999995</v>
      </c>
      <c r="N52">
        <v>653.34362799999997</v>
      </c>
      <c r="O52">
        <v>666.416382</v>
      </c>
      <c r="P52">
        <v>679.72045900000001</v>
      </c>
      <c r="Q52">
        <v>693.25176999999996</v>
      </c>
      <c r="R52">
        <v>706.99322500000005</v>
      </c>
      <c r="S52">
        <v>720.92309599999999</v>
      </c>
      <c r="T52">
        <v>735.06103499999995</v>
      </c>
      <c r="U52">
        <v>749.42907700000001</v>
      </c>
      <c r="V52">
        <v>764.01898200000005</v>
      </c>
      <c r="W52">
        <v>778.82794200000001</v>
      </c>
      <c r="X52">
        <v>793.86084000000005</v>
      </c>
      <c r="Y52">
        <v>809.10955799999999</v>
      </c>
      <c r="Z52">
        <v>824.57147199999997</v>
      </c>
      <c r="AA52">
        <v>840.24200399999995</v>
      </c>
      <c r="AB52">
        <v>856.11712599999998</v>
      </c>
      <c r="AC52">
        <v>872.19311500000003</v>
      </c>
      <c r="AD52">
        <v>888.45996100000002</v>
      </c>
      <c r="AE52">
        <v>904.91650400000003</v>
      </c>
      <c r="AF52">
        <v>921.58117700000003</v>
      </c>
      <c r="AG52">
        <v>938.47827099999995</v>
      </c>
      <c r="AH52">
        <v>955.62683100000004</v>
      </c>
      <c r="AI52" s="22">
        <v>4.4999999999999998E-2</v>
      </c>
    </row>
    <row r="53" spans="1:35">
      <c r="A53" t="s">
        <v>1262</v>
      </c>
      <c r="B53" t="s">
        <v>1339</v>
      </c>
      <c r="C53" t="s">
        <v>1340</v>
      </c>
      <c r="D53" t="s">
        <v>202</v>
      </c>
      <c r="F53">
        <v>26.796666999999999</v>
      </c>
      <c r="G53">
        <v>45.314689999999999</v>
      </c>
      <c r="H53">
        <v>64.486289999999997</v>
      </c>
      <c r="I53">
        <v>81.043578999999994</v>
      </c>
      <c r="J53">
        <v>93.134765999999999</v>
      </c>
      <c r="K53">
        <v>100.868759</v>
      </c>
      <c r="L53">
        <v>107.840248</v>
      </c>
      <c r="M53">
        <v>108.36943100000001</v>
      </c>
      <c r="N53">
        <v>108.73043800000001</v>
      </c>
      <c r="O53">
        <v>108.962463</v>
      </c>
      <c r="P53">
        <v>109.136337</v>
      </c>
      <c r="Q53">
        <v>109.31253100000001</v>
      </c>
      <c r="R53">
        <v>109.494522</v>
      </c>
      <c r="S53">
        <v>109.682007</v>
      </c>
      <c r="T53">
        <v>109.874374</v>
      </c>
      <c r="U53">
        <v>110.07062500000001</v>
      </c>
      <c r="V53">
        <v>110.27067599999999</v>
      </c>
      <c r="W53">
        <v>110.472984</v>
      </c>
      <c r="X53">
        <v>110.676666</v>
      </c>
      <c r="Y53">
        <v>110.88208</v>
      </c>
      <c r="Z53">
        <v>111.08747099999999</v>
      </c>
      <c r="AA53">
        <v>111.293312</v>
      </c>
      <c r="AB53">
        <v>111.50631</v>
      </c>
      <c r="AC53">
        <v>111.74614699999999</v>
      </c>
      <c r="AD53">
        <v>112.02600099999999</v>
      </c>
      <c r="AE53">
        <v>112.349495</v>
      </c>
      <c r="AF53">
        <v>112.717384</v>
      </c>
      <c r="AG53">
        <v>113.130196</v>
      </c>
      <c r="AH53">
        <v>113.58820299999999</v>
      </c>
      <c r="AI53" s="22">
        <v>5.2999999999999999E-2</v>
      </c>
    </row>
    <row r="54" spans="1:35">
      <c r="A54" t="s">
        <v>1265</v>
      </c>
      <c r="B54" t="s">
        <v>1341</v>
      </c>
      <c r="C54" t="s">
        <v>1342</v>
      </c>
      <c r="D54" t="s">
        <v>202</v>
      </c>
      <c r="F54">
        <v>25.196525999999999</v>
      </c>
      <c r="G54">
        <v>42.608761000000001</v>
      </c>
      <c r="H54">
        <v>60.635548</v>
      </c>
      <c r="I54">
        <v>76.204123999999993</v>
      </c>
      <c r="J54">
        <v>87.573295999999999</v>
      </c>
      <c r="K54">
        <v>94.845459000000005</v>
      </c>
      <c r="L54">
        <v>101.40065800000001</v>
      </c>
      <c r="M54">
        <v>104.595985</v>
      </c>
      <c r="N54">
        <v>107.86273199999999</v>
      </c>
      <c r="O54">
        <v>111.197243</v>
      </c>
      <c r="P54">
        <v>114.59079</v>
      </c>
      <c r="Q54">
        <v>118.050285</v>
      </c>
      <c r="R54">
        <v>121.579582</v>
      </c>
      <c r="S54">
        <v>125.155067</v>
      </c>
      <c r="T54">
        <v>128.797516</v>
      </c>
      <c r="U54">
        <v>132.53035</v>
      </c>
      <c r="V54">
        <v>136.34974700000001</v>
      </c>
      <c r="W54">
        <v>140.240295</v>
      </c>
      <c r="X54">
        <v>144.20495600000001</v>
      </c>
      <c r="Y54">
        <v>148.25529499999999</v>
      </c>
      <c r="Z54">
        <v>152.394699</v>
      </c>
      <c r="AA54">
        <v>156.62347399999999</v>
      </c>
      <c r="AB54">
        <v>160.942566</v>
      </c>
      <c r="AC54">
        <v>165.35136399999999</v>
      </c>
      <c r="AD54">
        <v>169.848938</v>
      </c>
      <c r="AE54">
        <v>174.436218</v>
      </c>
      <c r="AF54">
        <v>179.11892700000001</v>
      </c>
      <c r="AG54">
        <v>183.89915500000001</v>
      </c>
      <c r="AH54">
        <v>188.77813699999999</v>
      </c>
      <c r="AI54" s="22">
        <v>7.4999999999999997E-2</v>
      </c>
    </row>
    <row r="55" spans="1:35">
      <c r="A55" t="s">
        <v>1268</v>
      </c>
      <c r="B55" t="s">
        <v>1343</v>
      </c>
      <c r="C55" t="s">
        <v>1344</v>
      </c>
      <c r="D55" t="s">
        <v>202</v>
      </c>
      <c r="F55">
        <v>19.641961999999999</v>
      </c>
      <c r="G55">
        <v>33.215679000000002</v>
      </c>
      <c r="H55">
        <v>47.268467000000001</v>
      </c>
      <c r="I55">
        <v>59.404961</v>
      </c>
      <c r="J55">
        <v>68.267807000000005</v>
      </c>
      <c r="K55">
        <v>73.936829000000003</v>
      </c>
      <c r="L55">
        <v>79.046927999999994</v>
      </c>
      <c r="M55">
        <v>81.697327000000001</v>
      </c>
      <c r="N55">
        <v>84.197013999999996</v>
      </c>
      <c r="O55">
        <v>85.953468000000001</v>
      </c>
      <c r="P55">
        <v>86.642052000000007</v>
      </c>
      <c r="Q55">
        <v>87.126075999999998</v>
      </c>
      <c r="R55">
        <v>87.600150999999997</v>
      </c>
      <c r="S55">
        <v>88.047066000000001</v>
      </c>
      <c r="T55">
        <v>88.515472000000003</v>
      </c>
      <c r="U55">
        <v>88.823288000000005</v>
      </c>
      <c r="V55">
        <v>88.985320999999999</v>
      </c>
      <c r="W55">
        <v>89.172111999999998</v>
      </c>
      <c r="X55">
        <v>89.495384000000001</v>
      </c>
      <c r="Y55">
        <v>90.072411000000002</v>
      </c>
      <c r="Z55">
        <v>90.859511999999995</v>
      </c>
      <c r="AA55">
        <v>91.744774000000007</v>
      </c>
      <c r="AB55">
        <v>92.696106</v>
      </c>
      <c r="AC55">
        <v>93.655745999999994</v>
      </c>
      <c r="AD55">
        <v>94.557418999999996</v>
      </c>
      <c r="AE55">
        <v>95.400192000000004</v>
      </c>
      <c r="AF55">
        <v>96.266959999999997</v>
      </c>
      <c r="AG55">
        <v>97.231399999999994</v>
      </c>
      <c r="AH55">
        <v>98.346619000000004</v>
      </c>
      <c r="AI55" s="22">
        <v>5.8999999999999997E-2</v>
      </c>
    </row>
    <row r="56" spans="1:35">
      <c r="A56" t="s">
        <v>1271</v>
      </c>
      <c r="B56" t="s">
        <v>1345</v>
      </c>
      <c r="C56" t="s">
        <v>1346</v>
      </c>
      <c r="D56" t="s">
        <v>202</v>
      </c>
      <c r="F56">
        <v>21.804157</v>
      </c>
      <c r="G56">
        <v>29.275511000000002</v>
      </c>
      <c r="H56">
        <v>36.391086999999999</v>
      </c>
      <c r="I56">
        <v>42.134377000000001</v>
      </c>
      <c r="J56">
        <v>46.149593000000003</v>
      </c>
      <c r="K56">
        <v>48.538395000000001</v>
      </c>
      <c r="L56">
        <v>50.317287</v>
      </c>
      <c r="M56">
        <v>51.333579999999998</v>
      </c>
      <c r="N56">
        <v>52.367713999999999</v>
      </c>
      <c r="O56">
        <v>53.428528</v>
      </c>
      <c r="P56">
        <v>54.510128000000002</v>
      </c>
      <c r="Q56">
        <v>55.610111000000003</v>
      </c>
      <c r="R56">
        <v>56.732365000000001</v>
      </c>
      <c r="S56">
        <v>57.880558000000001</v>
      </c>
      <c r="T56">
        <v>59.054034999999999</v>
      </c>
      <c r="U56">
        <v>60.251175000000003</v>
      </c>
      <c r="V56">
        <v>61.474559999999997</v>
      </c>
      <c r="W56">
        <v>62.726730000000003</v>
      </c>
      <c r="X56">
        <v>64.010589999999993</v>
      </c>
      <c r="Y56">
        <v>65.327087000000006</v>
      </c>
      <c r="Z56">
        <v>66.676070999999993</v>
      </c>
      <c r="AA56">
        <v>68.057311999999996</v>
      </c>
      <c r="AB56">
        <v>69.470946999999995</v>
      </c>
      <c r="AC56">
        <v>70.916954000000004</v>
      </c>
      <c r="AD56">
        <v>72.397980000000004</v>
      </c>
      <c r="AE56">
        <v>73.914649999999995</v>
      </c>
      <c r="AF56">
        <v>75.465866000000005</v>
      </c>
      <c r="AG56">
        <v>77.050514000000007</v>
      </c>
      <c r="AH56">
        <v>78.666718000000003</v>
      </c>
      <c r="AI56" s="22">
        <v>4.7E-2</v>
      </c>
    </row>
    <row r="57" spans="1:35">
      <c r="A57" t="s">
        <v>1274</v>
      </c>
      <c r="B57" t="s">
        <v>1347</v>
      </c>
      <c r="C57" t="s">
        <v>1348</v>
      </c>
      <c r="D57" t="s">
        <v>202</v>
      </c>
      <c r="F57">
        <v>29.001909000000001</v>
      </c>
      <c r="G57">
        <v>38.939624999999999</v>
      </c>
      <c r="H57">
        <v>48.404114</v>
      </c>
      <c r="I57">
        <v>56.043312</v>
      </c>
      <c r="J57">
        <v>61.383991000000002</v>
      </c>
      <c r="K57">
        <v>64.561356000000004</v>
      </c>
      <c r="L57">
        <v>66.927482999999995</v>
      </c>
      <c r="M57">
        <v>68.857924999999994</v>
      </c>
      <c r="N57">
        <v>70.841437999999997</v>
      </c>
      <c r="O57">
        <v>72.918564000000003</v>
      </c>
      <c r="P57">
        <v>75.062759</v>
      </c>
      <c r="Q57">
        <v>77.264267000000004</v>
      </c>
      <c r="R57">
        <v>79.524733999999995</v>
      </c>
      <c r="S57">
        <v>81.848335000000006</v>
      </c>
      <c r="T57">
        <v>84.195853999999997</v>
      </c>
      <c r="U57">
        <v>86.603179999999995</v>
      </c>
      <c r="V57">
        <v>89.073074000000005</v>
      </c>
      <c r="W57">
        <v>91.606102000000007</v>
      </c>
      <c r="X57">
        <v>94.205521000000005</v>
      </c>
      <c r="Y57">
        <v>96.825774999999993</v>
      </c>
      <c r="Z57">
        <v>99.511925000000005</v>
      </c>
      <c r="AA57">
        <v>102.264999</v>
      </c>
      <c r="AB57">
        <v>105.084068</v>
      </c>
      <c r="AC57">
        <v>107.969559</v>
      </c>
      <c r="AD57">
        <v>110.868172</v>
      </c>
      <c r="AE57">
        <v>113.832314</v>
      </c>
      <c r="AF57">
        <v>116.86582900000001</v>
      </c>
      <c r="AG57">
        <v>119.971458</v>
      </c>
      <c r="AH57">
        <v>123.15158099999999</v>
      </c>
      <c r="AI57" s="22">
        <v>5.2999999999999999E-2</v>
      </c>
    </row>
    <row r="58" spans="1:35">
      <c r="A58" t="s">
        <v>214</v>
      </c>
      <c r="B58" t="s">
        <v>1349</v>
      </c>
      <c r="C58" t="s">
        <v>1350</v>
      </c>
      <c r="D58" t="s">
        <v>202</v>
      </c>
      <c r="F58">
        <v>43.401493000000002</v>
      </c>
      <c r="G58">
        <v>79.040122999999994</v>
      </c>
      <c r="H58">
        <v>115.73732800000001</v>
      </c>
      <c r="I58">
        <v>144.31880200000001</v>
      </c>
      <c r="J58">
        <v>161.96167</v>
      </c>
      <c r="K58">
        <v>174.66456600000001</v>
      </c>
      <c r="L58">
        <v>184.330566</v>
      </c>
      <c r="M58">
        <v>194.21669</v>
      </c>
      <c r="N58">
        <v>204.29608200000001</v>
      </c>
      <c r="O58">
        <v>214.626465</v>
      </c>
      <c r="P58">
        <v>225.21134900000001</v>
      </c>
      <c r="Q58">
        <v>236.03950499999999</v>
      </c>
      <c r="R58">
        <v>247.13400300000001</v>
      </c>
      <c r="S58">
        <v>258.53561400000001</v>
      </c>
      <c r="T58">
        <v>270.23638899999997</v>
      </c>
      <c r="U58">
        <v>282.19741800000003</v>
      </c>
      <c r="V58">
        <v>294.43173200000001</v>
      </c>
      <c r="W58">
        <v>306.98468000000003</v>
      </c>
      <c r="X58">
        <v>319.93069500000001</v>
      </c>
      <c r="Y58">
        <v>333.34088100000002</v>
      </c>
      <c r="Z58">
        <v>347.21804800000001</v>
      </c>
      <c r="AA58">
        <v>361.513214</v>
      </c>
      <c r="AB58">
        <v>376.16323899999998</v>
      </c>
      <c r="AC58">
        <v>391.09524499999998</v>
      </c>
      <c r="AD58">
        <v>406.29702800000001</v>
      </c>
      <c r="AE58">
        <v>421.81195100000002</v>
      </c>
      <c r="AF58">
        <v>437.61935399999999</v>
      </c>
      <c r="AG58">
        <v>453.65158100000002</v>
      </c>
      <c r="AH58">
        <v>469.833099</v>
      </c>
      <c r="AI58" s="22">
        <v>8.8999999999999996E-2</v>
      </c>
    </row>
    <row r="59" spans="1:35">
      <c r="A59" t="s">
        <v>1279</v>
      </c>
      <c r="B59" t="s">
        <v>1351</v>
      </c>
      <c r="C59" t="s">
        <v>1352</v>
      </c>
      <c r="D59" t="s">
        <v>202</v>
      </c>
      <c r="F59">
        <v>17.711981000000002</v>
      </c>
      <c r="G59">
        <v>29.951968999999998</v>
      </c>
      <c r="H59">
        <v>42.623955000000002</v>
      </c>
      <c r="I59">
        <v>53.567936000000003</v>
      </c>
      <c r="J59">
        <v>61.559933000000001</v>
      </c>
      <c r="K59">
        <v>66.671927999999994</v>
      </c>
      <c r="L59">
        <v>71.279921999999999</v>
      </c>
      <c r="M59">
        <v>76.662291999999994</v>
      </c>
      <c r="N59">
        <v>82.150413999999998</v>
      </c>
      <c r="O59">
        <v>87.709571999999994</v>
      </c>
      <c r="P59">
        <v>93.316719000000006</v>
      </c>
      <c r="Q59">
        <v>98.940490999999994</v>
      </c>
      <c r="R59">
        <v>104.546043</v>
      </c>
      <c r="S59">
        <v>110.151779</v>
      </c>
      <c r="T59">
        <v>115.801529</v>
      </c>
      <c r="U59">
        <v>121.581558</v>
      </c>
      <c r="V59">
        <v>127.492592</v>
      </c>
      <c r="W59">
        <v>133.52624499999999</v>
      </c>
      <c r="X59">
        <v>139.67248499999999</v>
      </c>
      <c r="Y59">
        <v>145.92378199999999</v>
      </c>
      <c r="Z59">
        <v>152.271759</v>
      </c>
      <c r="AA59">
        <v>158.712219</v>
      </c>
      <c r="AB59">
        <v>165.230942</v>
      </c>
      <c r="AC59">
        <v>171.81689499999999</v>
      </c>
      <c r="AD59">
        <v>178.45689400000001</v>
      </c>
      <c r="AE59">
        <v>185.13732899999999</v>
      </c>
      <c r="AF59">
        <v>191.84298699999999</v>
      </c>
      <c r="AG59">
        <v>198.55867000000001</v>
      </c>
      <c r="AH59">
        <v>205.27046200000001</v>
      </c>
      <c r="AI59" s="22">
        <v>9.0999999999999998E-2</v>
      </c>
    </row>
    <row r="60" spans="1:35">
      <c r="A60" t="s">
        <v>1282</v>
      </c>
      <c r="B60" t="s">
        <v>1353</v>
      </c>
      <c r="C60" t="s">
        <v>1354</v>
      </c>
      <c r="D60" t="s">
        <v>202</v>
      </c>
      <c r="F60">
        <v>91.279387999999997</v>
      </c>
      <c r="G60">
        <v>154.35865799999999</v>
      </c>
      <c r="H60">
        <v>219.66423</v>
      </c>
      <c r="I60">
        <v>276.06451399999997</v>
      </c>
      <c r="J60">
        <v>317.25155599999999</v>
      </c>
      <c r="K60">
        <v>343.596405</v>
      </c>
      <c r="L60">
        <v>367.34390300000001</v>
      </c>
      <c r="M60">
        <v>382.82449300000002</v>
      </c>
      <c r="N60">
        <v>398.53997800000002</v>
      </c>
      <c r="O60">
        <v>414.53860500000002</v>
      </c>
      <c r="P60">
        <v>430.96127300000001</v>
      </c>
      <c r="Q60">
        <v>447.81228599999997</v>
      </c>
      <c r="R60">
        <v>465.11679099999998</v>
      </c>
      <c r="S60">
        <v>482.90234400000003</v>
      </c>
      <c r="T60">
        <v>500.96951300000001</v>
      </c>
      <c r="U60">
        <v>519.50836200000003</v>
      </c>
      <c r="V60">
        <v>538.54644800000005</v>
      </c>
      <c r="W60">
        <v>558.08233600000005</v>
      </c>
      <c r="X60">
        <v>578.15362500000003</v>
      </c>
      <c r="Y60">
        <v>598.50408900000002</v>
      </c>
      <c r="Z60">
        <v>619.32586700000002</v>
      </c>
      <c r="AA60">
        <v>640.64349400000003</v>
      </c>
      <c r="AB60">
        <v>662.47534199999996</v>
      </c>
      <c r="AC60">
        <v>684.81463599999995</v>
      </c>
      <c r="AD60">
        <v>707.22051999999996</v>
      </c>
      <c r="AE60">
        <v>730.06036400000005</v>
      </c>
      <c r="AF60">
        <v>753.42486599999995</v>
      </c>
      <c r="AG60">
        <v>777.34991500000001</v>
      </c>
      <c r="AH60">
        <v>801.87402299999997</v>
      </c>
      <c r="AI60" s="22">
        <v>8.1000000000000003E-2</v>
      </c>
    </row>
    <row r="61" spans="1:35">
      <c r="A61" t="s">
        <v>1285</v>
      </c>
      <c r="B61" t="s">
        <v>1355</v>
      </c>
      <c r="C61" t="s">
        <v>1356</v>
      </c>
      <c r="D61" t="s">
        <v>202</v>
      </c>
      <c r="F61">
        <v>90.713904999999997</v>
      </c>
      <c r="G61">
        <v>125.583687</v>
      </c>
      <c r="H61">
        <v>164.386169</v>
      </c>
      <c r="I61">
        <v>199.255966</v>
      </c>
      <c r="J61">
        <v>225.73603800000001</v>
      </c>
      <c r="K61">
        <v>243.039841</v>
      </c>
      <c r="L61">
        <v>259.55712899999997</v>
      </c>
      <c r="M61">
        <v>272.453125</v>
      </c>
      <c r="N61">
        <v>285.794647</v>
      </c>
      <c r="O61">
        <v>299.19274899999999</v>
      </c>
      <c r="P61">
        <v>313.14953600000001</v>
      </c>
      <c r="Q61">
        <v>327.69116200000002</v>
      </c>
      <c r="R61">
        <v>342.84011800000002</v>
      </c>
      <c r="S61">
        <v>358.61981200000002</v>
      </c>
      <c r="T61">
        <v>374.87417599999998</v>
      </c>
      <c r="U61">
        <v>391.79058800000001</v>
      </c>
      <c r="V61">
        <v>409.39093000000003</v>
      </c>
      <c r="W61">
        <v>427.69464099999999</v>
      </c>
      <c r="X61">
        <v>446.72839399999998</v>
      </c>
      <c r="Y61">
        <v>466.348389</v>
      </c>
      <c r="Z61">
        <v>486.73355099999998</v>
      </c>
      <c r="AA61">
        <v>507.90823399999999</v>
      </c>
      <c r="AB61">
        <v>529.89691200000004</v>
      </c>
      <c r="AC61">
        <v>552.73230000000001</v>
      </c>
      <c r="AD61">
        <v>576.19653300000004</v>
      </c>
      <c r="AE61">
        <v>600.54156499999999</v>
      </c>
      <c r="AF61">
        <v>625.79742399999998</v>
      </c>
      <c r="AG61">
        <v>651.99127199999998</v>
      </c>
      <c r="AH61">
        <v>679.15313700000002</v>
      </c>
      <c r="AI61" s="22">
        <v>7.4999999999999997E-2</v>
      </c>
    </row>
    <row r="62" spans="1:35">
      <c r="A62" t="s">
        <v>213</v>
      </c>
      <c r="B62" t="s">
        <v>1357</v>
      </c>
      <c r="C62" t="s">
        <v>1358</v>
      </c>
      <c r="D62" t="s">
        <v>202</v>
      </c>
      <c r="F62">
        <v>41.477749000000003</v>
      </c>
      <c r="G62">
        <v>56.116959000000001</v>
      </c>
      <c r="H62">
        <v>70.654503000000005</v>
      </c>
      <c r="I62">
        <v>82.650513000000004</v>
      </c>
      <c r="J62">
        <v>91.190062999999995</v>
      </c>
      <c r="K62">
        <v>96.476439999999997</v>
      </c>
      <c r="L62">
        <v>100.644547</v>
      </c>
      <c r="M62">
        <v>105.10861199999999</v>
      </c>
      <c r="N62">
        <v>109.777794</v>
      </c>
      <c r="O62">
        <v>114.634125</v>
      </c>
      <c r="P62">
        <v>119.654022</v>
      </c>
      <c r="Q62">
        <v>124.82345599999999</v>
      </c>
      <c r="R62">
        <v>130.140533</v>
      </c>
      <c r="S62">
        <v>135.60420199999999</v>
      </c>
      <c r="T62">
        <v>141.26831100000001</v>
      </c>
      <c r="U62">
        <v>147.09477200000001</v>
      </c>
      <c r="V62">
        <v>153.074432</v>
      </c>
      <c r="W62">
        <v>159.205353</v>
      </c>
      <c r="X62">
        <v>165.49443099999999</v>
      </c>
      <c r="Y62">
        <v>171.99311800000001</v>
      </c>
      <c r="Z62">
        <v>178.657501</v>
      </c>
      <c r="AA62">
        <v>185.48194899999999</v>
      </c>
      <c r="AB62">
        <v>192.46803299999999</v>
      </c>
      <c r="AC62">
        <v>199.62287900000001</v>
      </c>
      <c r="AD62">
        <v>206.99113500000001</v>
      </c>
      <c r="AE62">
        <v>214.53208900000001</v>
      </c>
      <c r="AF62">
        <v>222.241882</v>
      </c>
      <c r="AG62">
        <v>230.12132299999999</v>
      </c>
      <c r="AH62">
        <v>238.176727</v>
      </c>
      <c r="AI62" s="22">
        <v>6.4000000000000001E-2</v>
      </c>
    </row>
    <row r="63" spans="1:35">
      <c r="A63" t="s">
        <v>1290</v>
      </c>
      <c r="B63" t="s">
        <v>1359</v>
      </c>
      <c r="C63" t="s">
        <v>1360</v>
      </c>
      <c r="D63" t="s">
        <v>202</v>
      </c>
      <c r="F63">
        <v>18.422384000000001</v>
      </c>
      <c r="G63">
        <v>24.921766000000002</v>
      </c>
      <c r="H63">
        <v>31.286677999999998</v>
      </c>
      <c r="I63">
        <v>36.531010000000002</v>
      </c>
      <c r="J63">
        <v>40.251339000000002</v>
      </c>
      <c r="K63">
        <v>42.582152999999998</v>
      </c>
      <c r="L63">
        <v>44.375087999999998</v>
      </c>
      <c r="M63">
        <v>45.552967000000002</v>
      </c>
      <c r="N63">
        <v>46.643486000000003</v>
      </c>
      <c r="O63">
        <v>47.615417000000001</v>
      </c>
      <c r="P63">
        <v>48.534264</v>
      </c>
      <c r="Q63">
        <v>49.396385000000002</v>
      </c>
      <c r="R63">
        <v>50.197502</v>
      </c>
      <c r="S63">
        <v>50.933815000000003</v>
      </c>
      <c r="T63">
        <v>51.605465000000002</v>
      </c>
      <c r="U63">
        <v>52.221404999999997</v>
      </c>
      <c r="V63">
        <v>52.787604999999999</v>
      </c>
      <c r="W63">
        <v>53.310012999999998</v>
      </c>
      <c r="X63">
        <v>53.794593999999996</v>
      </c>
      <c r="Y63">
        <v>54.246001999999997</v>
      </c>
      <c r="Z63">
        <v>54.667313</v>
      </c>
      <c r="AA63">
        <v>55.060822000000002</v>
      </c>
      <c r="AB63">
        <v>55.427867999999997</v>
      </c>
      <c r="AC63">
        <v>55.770457999999998</v>
      </c>
      <c r="AD63">
        <v>56.094085999999997</v>
      </c>
      <c r="AE63">
        <v>56.398609</v>
      </c>
      <c r="AF63">
        <v>56.681601999999998</v>
      </c>
      <c r="AG63">
        <v>56.938384999999997</v>
      </c>
      <c r="AH63">
        <v>57.168449000000003</v>
      </c>
      <c r="AI63" s="22">
        <v>4.1000000000000002E-2</v>
      </c>
    </row>
    <row r="64" spans="1:35">
      <c r="A64" t="s">
        <v>1293</v>
      </c>
      <c r="B64" t="s">
        <v>1361</v>
      </c>
      <c r="C64" t="s">
        <v>1362</v>
      </c>
      <c r="D64" t="s">
        <v>202</v>
      </c>
      <c r="F64">
        <v>37.358677</v>
      </c>
      <c r="G64">
        <v>50.538738000000002</v>
      </c>
      <c r="H64">
        <v>63.446117000000001</v>
      </c>
      <c r="I64">
        <v>74.081069999999997</v>
      </c>
      <c r="J64">
        <v>81.625525999999994</v>
      </c>
      <c r="K64">
        <v>86.352164999999999</v>
      </c>
      <c r="L64">
        <v>89.988045</v>
      </c>
      <c r="M64">
        <v>93.229279000000005</v>
      </c>
      <c r="N64">
        <v>96.518051</v>
      </c>
      <c r="O64">
        <v>99.834007</v>
      </c>
      <c r="P64">
        <v>103.228836</v>
      </c>
      <c r="Q64">
        <v>106.711052</v>
      </c>
      <c r="R64">
        <v>110.286186</v>
      </c>
      <c r="S64">
        <v>113.95946499999999</v>
      </c>
      <c r="T64">
        <v>117.72137499999999</v>
      </c>
      <c r="U64">
        <v>121.58760100000001</v>
      </c>
      <c r="V64">
        <v>125.559944</v>
      </c>
      <c r="W64">
        <v>129.63948099999999</v>
      </c>
      <c r="X64">
        <v>133.82646199999999</v>
      </c>
      <c r="Y64">
        <v>138.11544799999999</v>
      </c>
      <c r="Z64">
        <v>142.51733400000001</v>
      </c>
      <c r="AA64">
        <v>147.03389000000001</v>
      </c>
      <c r="AB64">
        <v>151.667145</v>
      </c>
      <c r="AC64">
        <v>156.41830400000001</v>
      </c>
      <c r="AD64">
        <v>161.26028400000001</v>
      </c>
      <c r="AE64">
        <v>166.222961</v>
      </c>
      <c r="AF64">
        <v>171.310562</v>
      </c>
      <c r="AG64">
        <v>176.52694700000001</v>
      </c>
      <c r="AH64">
        <v>181.87539699999999</v>
      </c>
      <c r="AI64" s="22">
        <v>5.8000000000000003E-2</v>
      </c>
    </row>
    <row r="65" spans="1:35">
      <c r="A65" t="s">
        <v>1363</v>
      </c>
      <c r="B65" t="s">
        <v>1364</v>
      </c>
      <c r="C65" t="s">
        <v>1365</v>
      </c>
      <c r="D65" t="s">
        <v>202</v>
      </c>
      <c r="F65">
        <v>1060.8295900000001</v>
      </c>
      <c r="G65">
        <v>1535.6385499999999</v>
      </c>
      <c r="H65">
        <v>1956.2210689999999</v>
      </c>
      <c r="I65">
        <v>2270.5656739999999</v>
      </c>
      <c r="J65">
        <v>2496.6696780000002</v>
      </c>
      <c r="K65">
        <v>2624.844482</v>
      </c>
      <c r="L65">
        <v>2736.3034670000002</v>
      </c>
      <c r="M65">
        <v>2821.4812010000001</v>
      </c>
      <c r="N65">
        <v>2907.1589359999998</v>
      </c>
      <c r="O65">
        <v>2993.8640140000002</v>
      </c>
      <c r="P65">
        <v>3083.5327149999998</v>
      </c>
      <c r="Q65">
        <v>3175.1757809999999</v>
      </c>
      <c r="R65">
        <v>3267.311279</v>
      </c>
      <c r="S65">
        <v>3361.35376</v>
      </c>
      <c r="T65">
        <v>3458.070557</v>
      </c>
      <c r="U65">
        <v>3557.9589839999999</v>
      </c>
      <c r="V65">
        <v>3661.1564939999998</v>
      </c>
      <c r="W65">
        <v>3767.2658689999998</v>
      </c>
      <c r="X65">
        <v>3877.064453</v>
      </c>
      <c r="Y65">
        <v>3989.1020509999998</v>
      </c>
      <c r="Z65">
        <v>4104.3325199999999</v>
      </c>
      <c r="AA65">
        <v>4222.5615230000003</v>
      </c>
      <c r="AB65">
        <v>4343.7075199999999</v>
      </c>
      <c r="AC65">
        <v>4467.2685549999997</v>
      </c>
      <c r="AD65">
        <v>4593.1997069999998</v>
      </c>
      <c r="AE65">
        <v>4722.3706050000001</v>
      </c>
      <c r="AF65">
        <v>4854.9150390000004</v>
      </c>
      <c r="AG65">
        <v>4990.8554690000001</v>
      </c>
      <c r="AH65">
        <v>5130.4770509999998</v>
      </c>
      <c r="AI65" s="22">
        <v>5.8000000000000003E-2</v>
      </c>
    </row>
    <row r="66" spans="1:35">
      <c r="A66" t="s">
        <v>112</v>
      </c>
      <c r="B66" t="s">
        <v>1366</v>
      </c>
      <c r="C66" t="s">
        <v>1365</v>
      </c>
      <c r="D66" t="s">
        <v>202</v>
      </c>
      <c r="F66">
        <v>3092.2739259999998</v>
      </c>
      <c r="G66">
        <v>3863.8820799999999</v>
      </c>
      <c r="H66">
        <v>4480.8652339999999</v>
      </c>
      <c r="I66">
        <v>4934.919922</v>
      </c>
      <c r="J66">
        <v>5268.0708009999998</v>
      </c>
      <c r="K66">
        <v>5491.9516599999997</v>
      </c>
      <c r="L66">
        <v>5700.4174800000001</v>
      </c>
      <c r="M66">
        <v>5881.640625</v>
      </c>
      <c r="N66">
        <v>6062.2890619999998</v>
      </c>
      <c r="O66">
        <v>6246.5034180000002</v>
      </c>
      <c r="P66">
        <v>6439.5307620000003</v>
      </c>
      <c r="Q66">
        <v>6636.0771480000003</v>
      </c>
      <c r="R66">
        <v>6831.0161129999997</v>
      </c>
      <c r="S66">
        <v>7028.9487300000001</v>
      </c>
      <c r="T66">
        <v>7232.6904299999997</v>
      </c>
      <c r="U66">
        <v>7443.2495120000003</v>
      </c>
      <c r="V66">
        <v>7660.9145509999998</v>
      </c>
      <c r="W66">
        <v>7884.1440430000002</v>
      </c>
      <c r="X66">
        <v>8115.2856449999999</v>
      </c>
      <c r="Y66">
        <v>8350.4160159999992</v>
      </c>
      <c r="Z66">
        <v>8591.8769530000009</v>
      </c>
      <c r="AA66">
        <v>8838.9326170000004</v>
      </c>
      <c r="AB66">
        <v>9090.9277340000008</v>
      </c>
      <c r="AC66">
        <v>9345.90625</v>
      </c>
      <c r="AD66">
        <v>9604.6660159999992</v>
      </c>
      <c r="AE66">
        <v>9869.0458980000003</v>
      </c>
      <c r="AF66">
        <v>10138.983398</v>
      </c>
      <c r="AG66">
        <v>10413.891602</v>
      </c>
      <c r="AH66">
        <v>10694.028319999999</v>
      </c>
      <c r="AI66" s="22">
        <v>4.4999999999999998E-2</v>
      </c>
    </row>
    <row r="67" spans="1:35">
      <c r="A67" t="s">
        <v>216</v>
      </c>
    </row>
    <row r="68" spans="1:35">
      <c r="A68" t="s">
        <v>211</v>
      </c>
      <c r="B68" t="s">
        <v>1367</v>
      </c>
      <c r="C68" t="s">
        <v>1368</v>
      </c>
      <c r="D68" t="s">
        <v>202</v>
      </c>
      <c r="F68">
        <v>47.423141000000001</v>
      </c>
      <c r="G68">
        <v>46.367550000000001</v>
      </c>
      <c r="H68">
        <v>46.121803</v>
      </c>
      <c r="I68">
        <v>46.319042000000003</v>
      </c>
      <c r="J68">
        <v>46.842078999999998</v>
      </c>
      <c r="K68">
        <v>47.387383</v>
      </c>
      <c r="L68">
        <v>47.970078000000001</v>
      </c>
      <c r="M68">
        <v>48.509177999999999</v>
      </c>
      <c r="N68">
        <v>49.009602000000001</v>
      </c>
      <c r="O68">
        <v>49.582680000000003</v>
      </c>
      <c r="P68">
        <v>50.348796999999998</v>
      </c>
      <c r="Q68">
        <v>51.150725999999999</v>
      </c>
      <c r="R68">
        <v>51.844681000000001</v>
      </c>
      <c r="S68">
        <v>52.540646000000002</v>
      </c>
      <c r="T68">
        <v>53.319443</v>
      </c>
      <c r="U68">
        <v>54.194930999999997</v>
      </c>
      <c r="V68">
        <v>55.171546999999997</v>
      </c>
      <c r="W68">
        <v>56.197688999999997</v>
      </c>
      <c r="X68">
        <v>57.314678000000001</v>
      </c>
      <c r="Y68">
        <v>58.420783999999998</v>
      </c>
      <c r="Z68">
        <v>59.565468000000003</v>
      </c>
      <c r="AA68">
        <v>60.742359</v>
      </c>
      <c r="AB68">
        <v>61.948818000000003</v>
      </c>
      <c r="AC68">
        <v>63.150246000000003</v>
      </c>
      <c r="AD68">
        <v>64.407889999999995</v>
      </c>
      <c r="AE68">
        <v>65.735016000000002</v>
      </c>
      <c r="AF68">
        <v>67.125388999999998</v>
      </c>
      <c r="AG68">
        <v>68.572693000000001</v>
      </c>
      <c r="AH68">
        <v>70.094299000000007</v>
      </c>
      <c r="AI68" s="22">
        <v>1.4E-2</v>
      </c>
    </row>
    <row r="69" spans="1:35">
      <c r="A69" t="s">
        <v>212</v>
      </c>
      <c r="B69" t="s">
        <v>1369</v>
      </c>
      <c r="C69" t="s">
        <v>1370</v>
      </c>
      <c r="D69" t="s">
        <v>202</v>
      </c>
      <c r="F69">
        <v>1.0062629999999999</v>
      </c>
      <c r="G69">
        <v>1.0441499999999999</v>
      </c>
      <c r="H69">
        <v>1.0762890000000001</v>
      </c>
      <c r="I69">
        <v>1.1045970000000001</v>
      </c>
      <c r="J69">
        <v>1.1287959999999999</v>
      </c>
      <c r="K69">
        <v>1.1493180000000001</v>
      </c>
      <c r="L69">
        <v>1.1671069999999999</v>
      </c>
      <c r="M69">
        <v>1.1826779999999999</v>
      </c>
      <c r="N69">
        <v>1.1963220000000001</v>
      </c>
      <c r="O69">
        <v>1.208356</v>
      </c>
      <c r="P69">
        <v>1.219001</v>
      </c>
      <c r="Q69">
        <v>1.2284360000000001</v>
      </c>
      <c r="R69">
        <v>1.2368399999999999</v>
      </c>
      <c r="S69">
        <v>1.2443679999999999</v>
      </c>
      <c r="T69">
        <v>1.2511509999999999</v>
      </c>
      <c r="U69">
        <v>1.2572989999999999</v>
      </c>
      <c r="V69">
        <v>1.2629079999999999</v>
      </c>
      <c r="W69">
        <v>1.2680560000000001</v>
      </c>
      <c r="X69">
        <v>1.2728120000000001</v>
      </c>
      <c r="Y69">
        <v>1.2772349999999999</v>
      </c>
      <c r="Z69">
        <v>1.281374</v>
      </c>
      <c r="AA69">
        <v>1.285269</v>
      </c>
      <c r="AB69">
        <v>1.2889569999999999</v>
      </c>
      <c r="AC69">
        <v>1.2924690000000001</v>
      </c>
      <c r="AD69">
        <v>1.2958289999999999</v>
      </c>
      <c r="AE69">
        <v>1.299059</v>
      </c>
      <c r="AF69">
        <v>1.302179</v>
      </c>
      <c r="AG69">
        <v>1.3052029999999999</v>
      </c>
      <c r="AH69">
        <v>1.3081449999999999</v>
      </c>
      <c r="AI69" s="22">
        <v>8.9999999999999993E-3</v>
      </c>
    </row>
    <row r="70" spans="1:35">
      <c r="A70" t="s">
        <v>1256</v>
      </c>
      <c r="B70" t="s">
        <v>1371</v>
      </c>
      <c r="C70" t="s">
        <v>1372</v>
      </c>
      <c r="D70" t="s">
        <v>202</v>
      </c>
      <c r="F70">
        <v>2.2818999999999998</v>
      </c>
      <c r="G70">
        <v>2.3426399999999998</v>
      </c>
      <c r="H70">
        <v>2.4650479999999999</v>
      </c>
      <c r="I70">
        <v>2.5995650000000001</v>
      </c>
      <c r="J70">
        <v>2.734801</v>
      </c>
      <c r="K70">
        <v>2.8735569999999999</v>
      </c>
      <c r="L70">
        <v>3.0144679999999999</v>
      </c>
      <c r="M70">
        <v>3.1632699999999998</v>
      </c>
      <c r="N70">
        <v>3.3243580000000001</v>
      </c>
      <c r="O70">
        <v>3.4972789999999998</v>
      </c>
      <c r="P70">
        <v>3.6855220000000002</v>
      </c>
      <c r="Q70">
        <v>3.8840870000000001</v>
      </c>
      <c r="R70">
        <v>4.0934869999999997</v>
      </c>
      <c r="S70">
        <v>4.3137239999999997</v>
      </c>
      <c r="T70">
        <v>4.5410490000000001</v>
      </c>
      <c r="U70">
        <v>4.7785919999999997</v>
      </c>
      <c r="V70">
        <v>5.0267689999999998</v>
      </c>
      <c r="W70">
        <v>5.2857289999999999</v>
      </c>
      <c r="X70">
        <v>5.555498</v>
      </c>
      <c r="Y70">
        <v>5.8253459999999997</v>
      </c>
      <c r="Z70">
        <v>6.1047849999999997</v>
      </c>
      <c r="AA70">
        <v>6.3940640000000002</v>
      </c>
      <c r="AB70">
        <v>6.693174</v>
      </c>
      <c r="AC70">
        <v>7.0021630000000004</v>
      </c>
      <c r="AD70">
        <v>7.3102840000000002</v>
      </c>
      <c r="AE70">
        <v>7.6272060000000002</v>
      </c>
      <c r="AF70">
        <v>7.9528179999999997</v>
      </c>
      <c r="AG70">
        <v>8.2870039999999996</v>
      </c>
      <c r="AH70">
        <v>8.6297200000000007</v>
      </c>
      <c r="AI70" s="22">
        <v>4.9000000000000002E-2</v>
      </c>
    </row>
    <row r="71" spans="1:35">
      <c r="A71" t="s">
        <v>1259</v>
      </c>
      <c r="B71" t="s">
        <v>1373</v>
      </c>
      <c r="C71" t="s">
        <v>1374</v>
      </c>
      <c r="D71" t="s">
        <v>202</v>
      </c>
      <c r="F71">
        <v>21.343447000000001</v>
      </c>
      <c r="G71">
        <v>23.328316000000001</v>
      </c>
      <c r="H71">
        <v>25.259329000000001</v>
      </c>
      <c r="I71">
        <v>26.844503</v>
      </c>
      <c r="J71">
        <v>28.220020000000002</v>
      </c>
      <c r="K71">
        <v>29.476091</v>
      </c>
      <c r="L71">
        <v>30.638822999999999</v>
      </c>
      <c r="M71">
        <v>31.743164</v>
      </c>
      <c r="N71">
        <v>32.806507000000003</v>
      </c>
      <c r="O71">
        <v>33.836029000000003</v>
      </c>
      <c r="P71">
        <v>34.844954999999999</v>
      </c>
      <c r="Q71">
        <v>35.848754999999997</v>
      </c>
      <c r="R71">
        <v>36.846347999999999</v>
      </c>
      <c r="S71">
        <v>37.830382999999998</v>
      </c>
      <c r="T71">
        <v>38.820450000000001</v>
      </c>
      <c r="U71">
        <v>39.828896</v>
      </c>
      <c r="V71">
        <v>40.849742999999997</v>
      </c>
      <c r="W71">
        <v>41.884875999999998</v>
      </c>
      <c r="X71">
        <v>42.945388999999999</v>
      </c>
      <c r="Y71">
        <v>44.021434999999997</v>
      </c>
      <c r="Z71">
        <v>45.112003000000001</v>
      </c>
      <c r="AA71">
        <v>46.216866000000003</v>
      </c>
      <c r="AB71">
        <v>47.334282000000002</v>
      </c>
      <c r="AC71">
        <v>48.465243999999998</v>
      </c>
      <c r="AD71">
        <v>49.616309999999999</v>
      </c>
      <c r="AE71">
        <v>50.789515999999999</v>
      </c>
      <c r="AF71">
        <v>51.988506000000001</v>
      </c>
      <c r="AG71">
        <v>53.218521000000003</v>
      </c>
      <c r="AH71">
        <v>54.480499000000002</v>
      </c>
      <c r="AI71" s="22">
        <v>3.4000000000000002E-2</v>
      </c>
    </row>
    <row r="72" spans="1:35">
      <c r="A72" t="s">
        <v>1262</v>
      </c>
      <c r="B72" t="s">
        <v>1375</v>
      </c>
      <c r="C72" t="s">
        <v>1376</v>
      </c>
      <c r="D72" t="s">
        <v>202</v>
      </c>
      <c r="F72">
        <v>4.273352</v>
      </c>
      <c r="G72">
        <v>4.4791809999999996</v>
      </c>
      <c r="H72">
        <v>4.6452540000000004</v>
      </c>
      <c r="I72">
        <v>4.7855220000000003</v>
      </c>
      <c r="J72">
        <v>4.8974130000000002</v>
      </c>
      <c r="K72">
        <v>4.9908710000000003</v>
      </c>
      <c r="L72">
        <v>5.0685380000000002</v>
      </c>
      <c r="M72">
        <v>5.1330119999999999</v>
      </c>
      <c r="N72">
        <v>5.1861550000000003</v>
      </c>
      <c r="O72">
        <v>5.229876</v>
      </c>
      <c r="P72">
        <v>5.2663859999999998</v>
      </c>
      <c r="Q72">
        <v>5.2975640000000004</v>
      </c>
      <c r="R72">
        <v>5.3242719999999997</v>
      </c>
      <c r="S72">
        <v>5.3471760000000002</v>
      </c>
      <c r="T72">
        <v>5.3668380000000004</v>
      </c>
      <c r="U72">
        <v>5.3837380000000001</v>
      </c>
      <c r="V72">
        <v>5.398288</v>
      </c>
      <c r="W72">
        <v>5.4108229999999997</v>
      </c>
      <c r="X72">
        <v>5.4216280000000001</v>
      </c>
      <c r="Y72">
        <v>5.4309770000000004</v>
      </c>
      <c r="Z72">
        <v>5.4390599999999996</v>
      </c>
      <c r="AA72">
        <v>5.4460730000000002</v>
      </c>
      <c r="AB72">
        <v>5.4522899999999996</v>
      </c>
      <c r="AC72">
        <v>5.4581390000000001</v>
      </c>
      <c r="AD72">
        <v>5.4639499999999996</v>
      </c>
      <c r="AE72">
        <v>5.4698690000000001</v>
      </c>
      <c r="AF72">
        <v>5.4759849999999997</v>
      </c>
      <c r="AG72">
        <v>5.4823639999999996</v>
      </c>
      <c r="AH72">
        <v>5.4890670000000004</v>
      </c>
      <c r="AI72" s="22">
        <v>8.9999999999999993E-3</v>
      </c>
    </row>
    <row r="73" spans="1:35">
      <c r="A73" t="s">
        <v>1265</v>
      </c>
      <c r="B73" t="s">
        <v>1377</v>
      </c>
      <c r="C73" t="s">
        <v>1378</v>
      </c>
      <c r="D73" t="s">
        <v>202</v>
      </c>
      <c r="F73">
        <v>1.375221</v>
      </c>
      <c r="G73">
        <v>1.4571829999999999</v>
      </c>
      <c r="H73">
        <v>1.532079</v>
      </c>
      <c r="I73">
        <v>1.599677</v>
      </c>
      <c r="J73">
        <v>1.6609389999999999</v>
      </c>
      <c r="K73">
        <v>1.716998</v>
      </c>
      <c r="L73">
        <v>1.7685759999999999</v>
      </c>
      <c r="M73">
        <v>1.8164849999999999</v>
      </c>
      <c r="N73">
        <v>1.861445</v>
      </c>
      <c r="O73">
        <v>1.9036090000000001</v>
      </c>
      <c r="P73">
        <v>1.9428510000000001</v>
      </c>
      <c r="Q73">
        <v>1.979757</v>
      </c>
      <c r="R73">
        <v>2.0146850000000001</v>
      </c>
      <c r="S73">
        <v>2.0465460000000002</v>
      </c>
      <c r="T73">
        <v>2.0765380000000002</v>
      </c>
      <c r="U73">
        <v>2.105925</v>
      </c>
      <c r="V73">
        <v>2.1345260000000001</v>
      </c>
      <c r="W73">
        <v>2.1616379999999999</v>
      </c>
      <c r="X73">
        <v>2.187468</v>
      </c>
      <c r="Y73">
        <v>2.2126380000000001</v>
      </c>
      <c r="Z73">
        <v>2.2373310000000002</v>
      </c>
      <c r="AA73">
        <v>2.2616049999999999</v>
      </c>
      <c r="AB73">
        <v>2.2854969999999999</v>
      </c>
      <c r="AC73">
        <v>2.309015</v>
      </c>
      <c r="AD73">
        <v>2.332131</v>
      </c>
      <c r="AE73">
        <v>2.3548879999999999</v>
      </c>
      <c r="AF73">
        <v>2.3775210000000002</v>
      </c>
      <c r="AG73">
        <v>2.4000759999999999</v>
      </c>
      <c r="AH73">
        <v>2.4225569999999998</v>
      </c>
      <c r="AI73" s="22">
        <v>0.02</v>
      </c>
    </row>
    <row r="74" spans="1:35">
      <c r="A74" t="s">
        <v>1268</v>
      </c>
      <c r="B74" t="s">
        <v>1379</v>
      </c>
      <c r="C74" t="s">
        <v>1380</v>
      </c>
      <c r="D74" t="s">
        <v>202</v>
      </c>
      <c r="F74">
        <v>5.6156360000000003</v>
      </c>
      <c r="G74">
        <v>5.721063</v>
      </c>
      <c r="H74">
        <v>5.844652</v>
      </c>
      <c r="I74">
        <v>5.9630590000000003</v>
      </c>
      <c r="J74">
        <v>6.0691499999999996</v>
      </c>
      <c r="K74">
        <v>6.1706940000000001</v>
      </c>
      <c r="L74">
        <v>6.2710540000000004</v>
      </c>
      <c r="M74">
        <v>6.3695250000000003</v>
      </c>
      <c r="N74">
        <v>6.4658889999999998</v>
      </c>
      <c r="O74">
        <v>6.5450280000000003</v>
      </c>
      <c r="P74">
        <v>6.5985740000000002</v>
      </c>
      <c r="Q74">
        <v>6.6477339999999998</v>
      </c>
      <c r="R74">
        <v>6.6966850000000004</v>
      </c>
      <c r="S74">
        <v>6.7442919999999997</v>
      </c>
      <c r="T74">
        <v>6.7915340000000004</v>
      </c>
      <c r="U74">
        <v>6.833717</v>
      </c>
      <c r="V74">
        <v>6.8710649999999998</v>
      </c>
      <c r="W74">
        <v>6.9078999999999997</v>
      </c>
      <c r="X74">
        <v>6.9470710000000002</v>
      </c>
      <c r="Y74">
        <v>6.9914050000000003</v>
      </c>
      <c r="Z74">
        <v>7.0396000000000001</v>
      </c>
      <c r="AA74">
        <v>7.0887419999999999</v>
      </c>
      <c r="AB74">
        <v>7.1380210000000002</v>
      </c>
      <c r="AC74">
        <v>7.185943</v>
      </c>
      <c r="AD74">
        <v>7.2306369999999998</v>
      </c>
      <c r="AE74">
        <v>7.2718730000000003</v>
      </c>
      <c r="AF74">
        <v>7.3117710000000002</v>
      </c>
      <c r="AG74">
        <v>7.3521929999999998</v>
      </c>
      <c r="AH74">
        <v>7.3943680000000001</v>
      </c>
      <c r="AI74" s="22">
        <v>0.01</v>
      </c>
    </row>
    <row r="75" spans="1:35">
      <c r="A75" t="s">
        <v>1271</v>
      </c>
      <c r="B75" t="s">
        <v>1381</v>
      </c>
      <c r="C75" t="s">
        <v>1382</v>
      </c>
      <c r="D75" t="s">
        <v>202</v>
      </c>
      <c r="F75">
        <v>0.63681100000000002</v>
      </c>
      <c r="G75">
        <v>0.61521599999999999</v>
      </c>
      <c r="H75">
        <v>0.63014599999999998</v>
      </c>
      <c r="I75">
        <v>0.64219700000000002</v>
      </c>
      <c r="J75">
        <v>0.65244100000000005</v>
      </c>
      <c r="K75">
        <v>0.66163000000000005</v>
      </c>
      <c r="L75">
        <v>0.67073499999999997</v>
      </c>
      <c r="M75">
        <v>0.67983400000000005</v>
      </c>
      <c r="N75">
        <v>0.68894900000000003</v>
      </c>
      <c r="O75">
        <v>0.69872299999999998</v>
      </c>
      <c r="P75">
        <v>0.70891099999999996</v>
      </c>
      <c r="Q75">
        <v>0.719198</v>
      </c>
      <c r="R75">
        <v>0.72959399999999996</v>
      </c>
      <c r="S75">
        <v>0.74011099999999996</v>
      </c>
      <c r="T75">
        <v>0.75076200000000004</v>
      </c>
      <c r="U75">
        <v>0.76155399999999995</v>
      </c>
      <c r="V75">
        <v>0.77249699999999999</v>
      </c>
      <c r="W75">
        <v>0.78360099999999999</v>
      </c>
      <c r="X75">
        <v>0.79486900000000005</v>
      </c>
      <c r="Y75">
        <v>0.80631200000000003</v>
      </c>
      <c r="Z75">
        <v>0.81793700000000003</v>
      </c>
      <c r="AA75">
        <v>0.82974300000000001</v>
      </c>
      <c r="AB75">
        <v>0.84174700000000002</v>
      </c>
      <c r="AC75">
        <v>0.85394800000000004</v>
      </c>
      <c r="AD75">
        <v>0.86635099999999998</v>
      </c>
      <c r="AE75">
        <v>0.87896399999999997</v>
      </c>
      <c r="AF75">
        <v>0.89179200000000003</v>
      </c>
      <c r="AG75">
        <v>0.90484100000000001</v>
      </c>
      <c r="AH75">
        <v>0.91811299999999996</v>
      </c>
      <c r="AI75" s="22">
        <v>1.2999999999999999E-2</v>
      </c>
    </row>
    <row r="76" spans="1:35">
      <c r="A76" t="s">
        <v>1274</v>
      </c>
      <c r="B76" t="s">
        <v>1383</v>
      </c>
      <c r="C76" t="s">
        <v>1384</v>
      </c>
      <c r="D76" t="s">
        <v>202</v>
      </c>
      <c r="F76">
        <v>6.5872E-2</v>
      </c>
      <c r="G76">
        <v>7.6454999999999995E-2</v>
      </c>
      <c r="H76">
        <v>8.6470000000000005E-2</v>
      </c>
      <c r="I76">
        <v>9.5138E-2</v>
      </c>
      <c r="J76">
        <v>0.102715</v>
      </c>
      <c r="K76">
        <v>0.109502</v>
      </c>
      <c r="L76">
        <v>0.115657</v>
      </c>
      <c r="M76">
        <v>0.12130299999999999</v>
      </c>
      <c r="N76">
        <v>0.12654799999999999</v>
      </c>
      <c r="O76">
        <v>0.13158</v>
      </c>
      <c r="P76">
        <v>0.136382</v>
      </c>
      <c r="Q76">
        <v>0.14097000000000001</v>
      </c>
      <c r="R76">
        <v>0.145394</v>
      </c>
      <c r="S76">
        <v>0.149704</v>
      </c>
      <c r="T76">
        <v>0.15374499999999999</v>
      </c>
      <c r="U76">
        <v>0.15770600000000001</v>
      </c>
      <c r="V76">
        <v>0.16161400000000001</v>
      </c>
      <c r="W76">
        <v>0.16548399999999999</v>
      </c>
      <c r="X76">
        <v>0.16933799999999999</v>
      </c>
      <c r="Y76">
        <v>0.17303499999999999</v>
      </c>
      <c r="Z76">
        <v>0.176734</v>
      </c>
      <c r="AA76">
        <v>0.180452</v>
      </c>
      <c r="AB76">
        <v>0.184201</v>
      </c>
      <c r="AC76">
        <v>0.18798899999999999</v>
      </c>
      <c r="AD76">
        <v>0.191688</v>
      </c>
      <c r="AE76">
        <v>0.19542999999999999</v>
      </c>
      <c r="AF76">
        <v>0.19922300000000001</v>
      </c>
      <c r="AG76">
        <v>0.203068</v>
      </c>
      <c r="AH76">
        <v>0.20696800000000001</v>
      </c>
      <c r="AI76" s="22">
        <v>4.2000000000000003E-2</v>
      </c>
    </row>
    <row r="77" spans="1:35">
      <c r="A77" t="s">
        <v>214</v>
      </c>
      <c r="B77" t="s">
        <v>1385</v>
      </c>
      <c r="C77" t="s">
        <v>1386</v>
      </c>
      <c r="D77" t="s">
        <v>202</v>
      </c>
      <c r="F77">
        <v>14.291022999999999</v>
      </c>
      <c r="G77">
        <v>15.403852000000001</v>
      </c>
      <c r="H77">
        <v>16.466524</v>
      </c>
      <c r="I77">
        <v>17.484112</v>
      </c>
      <c r="J77">
        <v>18.438578</v>
      </c>
      <c r="K77">
        <v>19.337043999999999</v>
      </c>
      <c r="L77">
        <v>20.187798000000001</v>
      </c>
      <c r="M77">
        <v>20.994629</v>
      </c>
      <c r="N77">
        <v>21.758624999999999</v>
      </c>
      <c r="O77">
        <v>22.490202</v>
      </c>
      <c r="P77">
        <v>23.192791</v>
      </c>
      <c r="Q77">
        <v>23.867598000000001</v>
      </c>
      <c r="R77">
        <v>24.519058000000001</v>
      </c>
      <c r="S77">
        <v>25.152920000000002</v>
      </c>
      <c r="T77">
        <v>25.769638</v>
      </c>
      <c r="U77">
        <v>26.36647</v>
      </c>
      <c r="V77">
        <v>26.945543000000001</v>
      </c>
      <c r="W77">
        <v>27.511816</v>
      </c>
      <c r="X77">
        <v>28.072358999999999</v>
      </c>
      <c r="Y77">
        <v>28.633461</v>
      </c>
      <c r="Z77">
        <v>29.194868</v>
      </c>
      <c r="AA77">
        <v>29.751711</v>
      </c>
      <c r="AB77">
        <v>30.298272999999998</v>
      </c>
      <c r="AC77">
        <v>30.82856</v>
      </c>
      <c r="AD77">
        <v>31.342054000000001</v>
      </c>
      <c r="AE77">
        <v>31.842524000000001</v>
      </c>
      <c r="AF77">
        <v>32.328381</v>
      </c>
      <c r="AG77">
        <v>32.794552000000003</v>
      </c>
      <c r="AH77">
        <v>33.235858999999998</v>
      </c>
      <c r="AI77" s="22">
        <v>3.1E-2</v>
      </c>
    </row>
    <row r="78" spans="1:35">
      <c r="A78" t="s">
        <v>1279</v>
      </c>
      <c r="B78" t="s">
        <v>1387</v>
      </c>
      <c r="C78" t="s">
        <v>1388</v>
      </c>
      <c r="D78" t="s">
        <v>202</v>
      </c>
      <c r="F78">
        <v>1.729398</v>
      </c>
      <c r="G78">
        <v>1.9405060000000001</v>
      </c>
      <c r="H78">
        <v>2.1560890000000001</v>
      </c>
      <c r="I78">
        <v>2.37439</v>
      </c>
      <c r="J78">
        <v>2.5902090000000002</v>
      </c>
      <c r="K78">
        <v>2.7969189999999999</v>
      </c>
      <c r="L78">
        <v>2.9946679999999999</v>
      </c>
      <c r="M78">
        <v>3.1840839999999999</v>
      </c>
      <c r="N78">
        <v>3.365723</v>
      </c>
      <c r="O78">
        <v>3.5399889999999998</v>
      </c>
      <c r="P78">
        <v>3.7074400000000001</v>
      </c>
      <c r="Q78">
        <v>3.868322</v>
      </c>
      <c r="R78">
        <v>4.0227149999999998</v>
      </c>
      <c r="S78">
        <v>4.1717719999999998</v>
      </c>
      <c r="T78">
        <v>4.3170520000000003</v>
      </c>
      <c r="U78">
        <v>4.4608340000000002</v>
      </c>
      <c r="V78">
        <v>4.6034769999999998</v>
      </c>
      <c r="W78">
        <v>4.7450979999999996</v>
      </c>
      <c r="X78">
        <v>4.8857530000000002</v>
      </c>
      <c r="Y78">
        <v>5.0255089999999996</v>
      </c>
      <c r="Z78">
        <v>5.164409</v>
      </c>
      <c r="AA78">
        <v>5.3025580000000003</v>
      </c>
      <c r="AB78">
        <v>5.4398660000000003</v>
      </c>
      <c r="AC78">
        <v>5.5762869999999998</v>
      </c>
      <c r="AD78">
        <v>5.7117120000000003</v>
      </c>
      <c r="AE78">
        <v>5.8460159999999997</v>
      </c>
      <c r="AF78">
        <v>5.9790609999999997</v>
      </c>
      <c r="AG78">
        <v>6.1107060000000004</v>
      </c>
      <c r="AH78">
        <v>6.2408289999999997</v>
      </c>
      <c r="AI78" s="22">
        <v>4.7E-2</v>
      </c>
    </row>
    <row r="79" spans="1:35">
      <c r="A79" t="s">
        <v>1282</v>
      </c>
      <c r="B79" t="s">
        <v>1389</v>
      </c>
      <c r="C79" t="s">
        <v>1390</v>
      </c>
      <c r="D79" t="s">
        <v>202</v>
      </c>
      <c r="F79">
        <v>10.97953</v>
      </c>
      <c r="G79">
        <v>11.478201</v>
      </c>
      <c r="H79">
        <v>11.913265000000001</v>
      </c>
      <c r="I79">
        <v>12.294639</v>
      </c>
      <c r="J79">
        <v>12.627687999999999</v>
      </c>
      <c r="K79">
        <v>12.920790999999999</v>
      </c>
      <c r="L79">
        <v>13.179679999999999</v>
      </c>
      <c r="M79">
        <v>13.408682000000001</v>
      </c>
      <c r="N79">
        <v>13.611603000000001</v>
      </c>
      <c r="O79">
        <v>13.793385000000001</v>
      </c>
      <c r="P79">
        <v>13.957406000000001</v>
      </c>
      <c r="Q79">
        <v>14.106166999999999</v>
      </c>
      <c r="R79">
        <v>14.242005000000001</v>
      </c>
      <c r="S79">
        <v>14.366897</v>
      </c>
      <c r="T79">
        <v>14.481479999999999</v>
      </c>
      <c r="U79">
        <v>14.587826</v>
      </c>
      <c r="V79">
        <v>14.687233000000001</v>
      </c>
      <c r="W79">
        <v>14.780568000000001</v>
      </c>
      <c r="X79">
        <v>14.868819999999999</v>
      </c>
      <c r="Y79">
        <v>14.951580999999999</v>
      </c>
      <c r="Z79">
        <v>15.030099999999999</v>
      </c>
      <c r="AA79">
        <v>15.104990000000001</v>
      </c>
      <c r="AB79">
        <v>15.176742000000001</v>
      </c>
      <c r="AC79">
        <v>15.245628</v>
      </c>
      <c r="AD79">
        <v>15.310263000000001</v>
      </c>
      <c r="AE79">
        <v>15.372285</v>
      </c>
      <c r="AF79">
        <v>15.432404999999999</v>
      </c>
      <c r="AG79">
        <v>15.490957999999999</v>
      </c>
      <c r="AH79">
        <v>15.548268</v>
      </c>
      <c r="AI79" s="22">
        <v>1.2999999999999999E-2</v>
      </c>
    </row>
    <row r="80" spans="1:35">
      <c r="A80" t="s">
        <v>1285</v>
      </c>
      <c r="B80" t="s">
        <v>1391</v>
      </c>
      <c r="C80" t="s">
        <v>1392</v>
      </c>
      <c r="D80" t="s">
        <v>202</v>
      </c>
      <c r="F80">
        <v>1.034492</v>
      </c>
      <c r="G80">
        <v>0.99601099999999998</v>
      </c>
      <c r="H80">
        <v>0.96615300000000004</v>
      </c>
      <c r="I80">
        <v>0.94137499999999996</v>
      </c>
      <c r="J80">
        <v>0.91805400000000004</v>
      </c>
      <c r="K80">
        <v>0.89600199999999997</v>
      </c>
      <c r="L80">
        <v>0.87472399999999995</v>
      </c>
      <c r="M80">
        <v>0.85463800000000001</v>
      </c>
      <c r="N80">
        <v>0.83557300000000001</v>
      </c>
      <c r="O80">
        <v>0.81794</v>
      </c>
      <c r="P80">
        <v>0.80143900000000001</v>
      </c>
      <c r="Q80">
        <v>0.785694</v>
      </c>
      <c r="R80">
        <v>0.77058400000000005</v>
      </c>
      <c r="S80">
        <v>0.75597400000000003</v>
      </c>
      <c r="T80">
        <v>0.74202599999999996</v>
      </c>
      <c r="U80">
        <v>0.728599</v>
      </c>
      <c r="V80">
        <v>0.71566300000000005</v>
      </c>
      <c r="W80">
        <v>0.70325800000000005</v>
      </c>
      <c r="X80">
        <v>0.69134799999999996</v>
      </c>
      <c r="Y80">
        <v>0.67998099999999995</v>
      </c>
      <c r="Z80">
        <v>0.66904200000000003</v>
      </c>
      <c r="AA80">
        <v>0.65848600000000002</v>
      </c>
      <c r="AB80">
        <v>0.64829400000000004</v>
      </c>
      <c r="AC80">
        <v>0.63843799999999995</v>
      </c>
      <c r="AD80">
        <v>0.62902999999999998</v>
      </c>
      <c r="AE80">
        <v>0.61994700000000003</v>
      </c>
      <c r="AF80">
        <v>0.61114500000000005</v>
      </c>
      <c r="AG80">
        <v>0.60261200000000004</v>
      </c>
      <c r="AH80">
        <v>0.59433100000000005</v>
      </c>
      <c r="AI80" s="22">
        <v>-0.02</v>
      </c>
    </row>
    <row r="81" spans="1:35">
      <c r="A81" t="s">
        <v>213</v>
      </c>
      <c r="B81" t="s">
        <v>1393</v>
      </c>
      <c r="C81" t="s">
        <v>1394</v>
      </c>
      <c r="D81" t="s">
        <v>202</v>
      </c>
      <c r="F81">
        <v>2.056041</v>
      </c>
      <c r="G81">
        <v>2.2239300000000002</v>
      </c>
      <c r="H81">
        <v>2.3859140000000001</v>
      </c>
      <c r="I81">
        <v>2.5383819999999999</v>
      </c>
      <c r="J81">
        <v>2.6863220000000001</v>
      </c>
      <c r="K81">
        <v>2.8267340000000001</v>
      </c>
      <c r="L81">
        <v>2.9619110000000002</v>
      </c>
      <c r="M81">
        <v>3.0936409999999999</v>
      </c>
      <c r="N81">
        <v>3.224078</v>
      </c>
      <c r="O81">
        <v>3.35331</v>
      </c>
      <c r="P81">
        <v>3.4810599999999998</v>
      </c>
      <c r="Q81">
        <v>3.6073309999999998</v>
      </c>
      <c r="R81">
        <v>3.7324109999999999</v>
      </c>
      <c r="S81">
        <v>3.856554</v>
      </c>
      <c r="T81">
        <v>3.9815369999999999</v>
      </c>
      <c r="U81">
        <v>4.1063970000000003</v>
      </c>
      <c r="V81">
        <v>4.2310189999999999</v>
      </c>
      <c r="W81">
        <v>4.3554599999999999</v>
      </c>
      <c r="X81">
        <v>4.4799889999999998</v>
      </c>
      <c r="Y81">
        <v>4.6060540000000003</v>
      </c>
      <c r="Z81">
        <v>4.7324640000000002</v>
      </c>
      <c r="AA81">
        <v>4.8590929999999997</v>
      </c>
      <c r="AB81">
        <v>4.9859879999999999</v>
      </c>
      <c r="AC81">
        <v>5.113321</v>
      </c>
      <c r="AD81">
        <v>5.2422110000000002</v>
      </c>
      <c r="AE81">
        <v>5.3715659999999996</v>
      </c>
      <c r="AF81">
        <v>5.5012590000000001</v>
      </c>
      <c r="AG81">
        <v>5.6312749999999996</v>
      </c>
      <c r="AH81">
        <v>5.7617219999999998</v>
      </c>
      <c r="AI81" s="22">
        <v>3.6999999999999998E-2</v>
      </c>
    </row>
    <row r="82" spans="1:35">
      <c r="A82" t="s">
        <v>1290</v>
      </c>
      <c r="B82" t="s">
        <v>1395</v>
      </c>
      <c r="C82" t="s">
        <v>1396</v>
      </c>
      <c r="D82" t="s">
        <v>202</v>
      </c>
      <c r="F82">
        <v>1.315159</v>
      </c>
      <c r="G82">
        <v>1.3515710000000001</v>
      </c>
      <c r="H82">
        <v>1.401203</v>
      </c>
      <c r="I82">
        <v>1.448269</v>
      </c>
      <c r="J82">
        <v>1.490272</v>
      </c>
      <c r="K82">
        <v>1.528861</v>
      </c>
      <c r="L82">
        <v>1.5658209999999999</v>
      </c>
      <c r="M82">
        <v>1.6010279999999999</v>
      </c>
      <c r="N82">
        <v>1.632976</v>
      </c>
      <c r="O82">
        <v>1.661187</v>
      </c>
      <c r="P82">
        <v>1.687252</v>
      </c>
      <c r="Q82">
        <v>1.71123</v>
      </c>
      <c r="R82">
        <v>1.7331449999999999</v>
      </c>
      <c r="S82">
        <v>1.75302</v>
      </c>
      <c r="T82">
        <v>1.770937</v>
      </c>
      <c r="U82">
        <v>1.787161</v>
      </c>
      <c r="V82">
        <v>1.801885</v>
      </c>
      <c r="W82">
        <v>1.815293</v>
      </c>
      <c r="X82">
        <v>1.827555</v>
      </c>
      <c r="Y82">
        <v>1.8388009999999999</v>
      </c>
      <c r="Z82">
        <v>1.849121</v>
      </c>
      <c r="AA82">
        <v>1.8585959999999999</v>
      </c>
      <c r="AB82">
        <v>1.8672869999999999</v>
      </c>
      <c r="AC82">
        <v>1.8752530000000001</v>
      </c>
      <c r="AD82">
        <v>1.8825810000000001</v>
      </c>
      <c r="AE82">
        <v>1.8892880000000001</v>
      </c>
      <c r="AF82">
        <v>1.8954009999999999</v>
      </c>
      <c r="AG82">
        <v>1.900908</v>
      </c>
      <c r="AH82">
        <v>1.9058569999999999</v>
      </c>
      <c r="AI82" s="22">
        <v>1.2999999999999999E-2</v>
      </c>
    </row>
    <row r="83" spans="1:35">
      <c r="A83" t="s">
        <v>1293</v>
      </c>
      <c r="B83" t="s">
        <v>1397</v>
      </c>
      <c r="C83" t="s">
        <v>1398</v>
      </c>
      <c r="D83" t="s">
        <v>202</v>
      </c>
      <c r="F83">
        <v>1.3873660000000001</v>
      </c>
      <c r="G83">
        <v>1.5061150000000001</v>
      </c>
      <c r="H83">
        <v>1.6128100000000001</v>
      </c>
      <c r="I83">
        <v>1.7258629999999999</v>
      </c>
      <c r="J83">
        <v>1.854373</v>
      </c>
      <c r="K83">
        <v>1.978618</v>
      </c>
      <c r="L83">
        <v>2.0982919999999998</v>
      </c>
      <c r="M83">
        <v>2.212968</v>
      </c>
      <c r="N83">
        <v>2.3225889999999998</v>
      </c>
      <c r="O83">
        <v>2.4248690000000002</v>
      </c>
      <c r="P83">
        <v>2.5281760000000002</v>
      </c>
      <c r="Q83">
        <v>2.6335980000000001</v>
      </c>
      <c r="R83">
        <v>2.7414800000000001</v>
      </c>
      <c r="S83">
        <v>2.8521390000000002</v>
      </c>
      <c r="T83">
        <v>2.9651719999999999</v>
      </c>
      <c r="U83">
        <v>3.081699</v>
      </c>
      <c r="V83">
        <v>3.2019039999999999</v>
      </c>
      <c r="W83">
        <v>3.3258559999999999</v>
      </c>
      <c r="X83">
        <v>3.4535149999999999</v>
      </c>
      <c r="Y83">
        <v>3.585645</v>
      </c>
      <c r="Z83">
        <v>3.7219479999999998</v>
      </c>
      <c r="AA83">
        <v>3.8624550000000002</v>
      </c>
      <c r="AB83">
        <v>4.0071919999999999</v>
      </c>
      <c r="AC83">
        <v>4.1561370000000002</v>
      </c>
      <c r="AD83">
        <v>4.3064840000000002</v>
      </c>
      <c r="AE83">
        <v>4.4612210000000001</v>
      </c>
      <c r="AF83">
        <v>4.620444</v>
      </c>
      <c r="AG83">
        <v>4.7842510000000003</v>
      </c>
      <c r="AH83">
        <v>4.9525699999999997</v>
      </c>
      <c r="AI83" s="22">
        <v>4.5999999999999999E-2</v>
      </c>
    </row>
    <row r="84" spans="1:35">
      <c r="A84" t="s">
        <v>1328</v>
      </c>
      <c r="B84" t="s">
        <v>1399</v>
      </c>
      <c r="C84" t="s">
        <v>1400</v>
      </c>
      <c r="D84" t="s">
        <v>202</v>
      </c>
      <c r="F84">
        <v>33.362082999999998</v>
      </c>
      <c r="G84">
        <v>33.291046000000001</v>
      </c>
      <c r="H84">
        <v>33.543773999999999</v>
      </c>
      <c r="I84">
        <v>33.943812999999999</v>
      </c>
      <c r="J84">
        <v>34.447868</v>
      </c>
      <c r="K84">
        <v>34.956932000000002</v>
      </c>
      <c r="L84">
        <v>35.476719000000003</v>
      </c>
      <c r="M84">
        <v>35.983359999999998</v>
      </c>
      <c r="N84">
        <v>36.478530999999997</v>
      </c>
      <c r="O84">
        <v>36.997509000000001</v>
      </c>
      <c r="P84">
        <v>37.577545000000001</v>
      </c>
      <c r="Q84">
        <v>38.168385000000001</v>
      </c>
      <c r="R84">
        <v>38.726424999999999</v>
      </c>
      <c r="S84">
        <v>39.286076000000001</v>
      </c>
      <c r="T84">
        <v>39.871765000000003</v>
      </c>
      <c r="U84">
        <v>40.487602000000003</v>
      </c>
      <c r="V84">
        <v>41.134417999999997</v>
      </c>
      <c r="W84">
        <v>41.797691</v>
      </c>
      <c r="X84">
        <v>42.491652999999999</v>
      </c>
      <c r="Y84">
        <v>43.184508999999998</v>
      </c>
      <c r="Z84">
        <v>43.892471</v>
      </c>
      <c r="AA84">
        <v>44.611888999999998</v>
      </c>
      <c r="AB84">
        <v>45.339897000000001</v>
      </c>
      <c r="AC84">
        <v>46.064582999999999</v>
      </c>
      <c r="AD84">
        <v>46.800407</v>
      </c>
      <c r="AE84">
        <v>47.554264000000003</v>
      </c>
      <c r="AF84">
        <v>48.323734000000002</v>
      </c>
      <c r="AG84">
        <v>49.105536999999998</v>
      </c>
      <c r="AH84">
        <v>49.902842999999997</v>
      </c>
      <c r="AI84" s="22">
        <v>1.4E-2</v>
      </c>
    </row>
    <row r="85" spans="1:35">
      <c r="A85" t="s">
        <v>1363</v>
      </c>
      <c r="B85" t="s">
        <v>1401</v>
      </c>
      <c r="C85" t="s">
        <v>1400</v>
      </c>
      <c r="D85" t="s">
        <v>202</v>
      </c>
      <c r="F85">
        <v>83.452560000000005</v>
      </c>
      <c r="G85">
        <v>87.040908999999999</v>
      </c>
      <c r="H85">
        <v>91.019249000000002</v>
      </c>
      <c r="I85">
        <v>94.816528000000005</v>
      </c>
      <c r="J85">
        <v>98.465987999999996</v>
      </c>
      <c r="K85">
        <v>101.86409</v>
      </c>
      <c r="L85">
        <v>105.071213</v>
      </c>
      <c r="M85">
        <v>108.08477000000001</v>
      </c>
      <c r="N85">
        <v>110.938408</v>
      </c>
      <c r="O85">
        <v>113.716522</v>
      </c>
      <c r="P85">
        <v>116.52939600000001</v>
      </c>
      <c r="Q85">
        <v>119.30880000000001</v>
      </c>
      <c r="R85">
        <v>121.966949</v>
      </c>
      <c r="S85">
        <v>124.580147</v>
      </c>
      <c r="T85">
        <v>127.227577</v>
      </c>
      <c r="U85">
        <v>129.93373099999999</v>
      </c>
      <c r="V85">
        <v>132.70126300000001</v>
      </c>
      <c r="W85">
        <v>135.505447</v>
      </c>
      <c r="X85">
        <v>138.39643899999999</v>
      </c>
      <c r="Y85">
        <v>141.29568499999999</v>
      </c>
      <c r="Z85">
        <v>144.24375900000001</v>
      </c>
      <c r="AA85">
        <v>147.23117099999999</v>
      </c>
      <c r="AB85">
        <v>150.25071700000001</v>
      </c>
      <c r="AC85">
        <v>153.27423099999999</v>
      </c>
      <c r="AD85">
        <v>156.33902</v>
      </c>
      <c r="AE85">
        <v>159.47041300000001</v>
      </c>
      <c r="AF85">
        <v>162.66952499999999</v>
      </c>
      <c r="AG85">
        <v>165.93566899999999</v>
      </c>
      <c r="AH85">
        <v>169.28036499999999</v>
      </c>
      <c r="AI85" s="22">
        <v>2.5999999999999999E-2</v>
      </c>
    </row>
    <row r="86" spans="1:35">
      <c r="A86" t="s">
        <v>112</v>
      </c>
      <c r="B86" t="s">
        <v>1402</v>
      </c>
      <c r="C86" t="s">
        <v>1400</v>
      </c>
      <c r="D86" t="s">
        <v>202</v>
      </c>
      <c r="F86">
        <v>116.81465900000001</v>
      </c>
      <c r="G86">
        <v>120.331947</v>
      </c>
      <c r="H86">
        <v>124.563034</v>
      </c>
      <c r="I86">
        <v>128.76033000000001</v>
      </c>
      <c r="J86">
        <v>132.91386399999999</v>
      </c>
      <c r="K86">
        <v>136.820999</v>
      </c>
      <c r="L86">
        <v>140.54792800000001</v>
      </c>
      <c r="M86">
        <v>144.06811500000001</v>
      </c>
      <c r="N86">
        <v>147.41693100000001</v>
      </c>
      <c r="O86">
        <v>150.71400499999999</v>
      </c>
      <c r="P86">
        <v>154.10694899999999</v>
      </c>
      <c r="Q86">
        <v>157.47714199999999</v>
      </c>
      <c r="R86">
        <v>160.69338999999999</v>
      </c>
      <c r="S86">
        <v>163.86622600000001</v>
      </c>
      <c r="T86">
        <v>167.09934999999999</v>
      </c>
      <c r="U86">
        <v>170.42132599999999</v>
      </c>
      <c r="V86">
        <v>173.835678</v>
      </c>
      <c r="W86">
        <v>177.303146</v>
      </c>
      <c r="X86">
        <v>180.888092</v>
      </c>
      <c r="Y86">
        <v>184.480209</v>
      </c>
      <c r="Z86">
        <v>188.13623000000001</v>
      </c>
      <c r="AA86">
        <v>191.843063</v>
      </c>
      <c r="AB86">
        <v>195.59063699999999</v>
      </c>
      <c r="AC86">
        <v>199.33880600000001</v>
      </c>
      <c r="AD86">
        <v>203.13940400000001</v>
      </c>
      <c r="AE86">
        <v>207.02465799999999</v>
      </c>
      <c r="AF86">
        <v>210.99328600000001</v>
      </c>
      <c r="AG86">
        <v>215.04122899999999</v>
      </c>
      <c r="AH86">
        <v>219.183167</v>
      </c>
      <c r="AI86" s="22">
        <v>2.3E-2</v>
      </c>
    </row>
    <row r="87" spans="1:35">
      <c r="A87" t="s">
        <v>113</v>
      </c>
    </row>
    <row r="88" spans="1:35">
      <c r="A88" t="s">
        <v>211</v>
      </c>
      <c r="B88" t="s">
        <v>1403</v>
      </c>
      <c r="C88" t="s">
        <v>1404</v>
      </c>
      <c r="D88" t="s">
        <v>202</v>
      </c>
      <c r="F88">
        <v>1173.034668</v>
      </c>
      <c r="G88">
        <v>1318.6945800000001</v>
      </c>
      <c r="H88">
        <v>1350.2619629999999</v>
      </c>
      <c r="I88">
        <v>1352.2789310000001</v>
      </c>
      <c r="J88">
        <v>1371.197754</v>
      </c>
      <c r="K88">
        <v>1389.149414</v>
      </c>
      <c r="L88">
        <v>1407.1179199999999</v>
      </c>
      <c r="M88">
        <v>1421.592529</v>
      </c>
      <c r="N88">
        <v>1433.0273440000001</v>
      </c>
      <c r="O88">
        <v>1446.8048100000001</v>
      </c>
      <c r="P88">
        <v>1468.513672</v>
      </c>
      <c r="Q88">
        <v>1491.042236</v>
      </c>
      <c r="R88">
        <v>1508.001831</v>
      </c>
      <c r="S88">
        <v>1524.5074460000001</v>
      </c>
      <c r="T88">
        <v>1544.2664789999999</v>
      </c>
      <c r="U88">
        <v>1567.9221190000001</v>
      </c>
      <c r="V88">
        <v>1595.6707759999999</v>
      </c>
      <c r="W88">
        <v>1625.223389</v>
      </c>
      <c r="X88">
        <v>1658.3792719999999</v>
      </c>
      <c r="Y88">
        <v>1690.6396480000001</v>
      </c>
      <c r="Z88">
        <v>1724.2036129999999</v>
      </c>
      <c r="AA88">
        <v>1758.7885739999999</v>
      </c>
      <c r="AB88">
        <v>1794.2814940000001</v>
      </c>
      <c r="AC88">
        <v>1829.1610109999999</v>
      </c>
      <c r="AD88">
        <v>1866.1365969999999</v>
      </c>
      <c r="AE88">
        <v>1905.77124</v>
      </c>
      <c r="AF88">
        <v>1947.779663</v>
      </c>
      <c r="AG88">
        <v>1991.880981</v>
      </c>
      <c r="AH88">
        <v>2038.8267820000001</v>
      </c>
      <c r="AI88" s="22">
        <v>0.02</v>
      </c>
    </row>
    <row r="89" spans="1:35">
      <c r="A89" t="s">
        <v>217</v>
      </c>
      <c r="B89" t="s">
        <v>1405</v>
      </c>
      <c r="C89" t="s">
        <v>1406</v>
      </c>
      <c r="D89" t="s">
        <v>202</v>
      </c>
      <c r="F89">
        <v>771.93774399999995</v>
      </c>
      <c r="G89">
        <v>826.14868200000001</v>
      </c>
      <c r="H89">
        <v>825.03100600000005</v>
      </c>
      <c r="I89">
        <v>821.41747999999995</v>
      </c>
      <c r="J89">
        <v>831.81805399999996</v>
      </c>
      <c r="K89">
        <v>841.58648700000003</v>
      </c>
      <c r="L89">
        <v>851.34570299999996</v>
      </c>
      <c r="M89">
        <v>858.87561000000005</v>
      </c>
      <c r="N89">
        <v>864.46972700000003</v>
      </c>
      <c r="O89">
        <v>871.53289800000005</v>
      </c>
      <c r="P89">
        <v>883.58019999999999</v>
      </c>
      <c r="Q89">
        <v>896.11834699999997</v>
      </c>
      <c r="R89">
        <v>905.12927200000001</v>
      </c>
      <c r="S89">
        <v>913.83673099999999</v>
      </c>
      <c r="T89">
        <v>924.56738299999995</v>
      </c>
      <c r="U89">
        <v>937.716858</v>
      </c>
      <c r="V89">
        <v>953.39996299999996</v>
      </c>
      <c r="W89">
        <v>970.17730700000004</v>
      </c>
      <c r="X89">
        <v>989.16076699999996</v>
      </c>
      <c r="Y89">
        <v>1007.538635</v>
      </c>
      <c r="Z89">
        <v>1026.6834719999999</v>
      </c>
      <c r="AA89">
        <v>1046.4167480000001</v>
      </c>
      <c r="AB89">
        <v>1066.6655270000001</v>
      </c>
      <c r="AC89">
        <v>1086.4807129999999</v>
      </c>
      <c r="AD89">
        <v>1107.5491939999999</v>
      </c>
      <c r="AE89">
        <v>1130.216553</v>
      </c>
      <c r="AF89">
        <v>1154.3011469999999</v>
      </c>
      <c r="AG89">
        <v>1179.6252440000001</v>
      </c>
      <c r="AH89">
        <v>1206.6517329999999</v>
      </c>
      <c r="AI89" s="22">
        <v>1.6E-2</v>
      </c>
    </row>
    <row r="90" spans="1:35">
      <c r="A90" t="s">
        <v>218</v>
      </c>
      <c r="B90" t="s">
        <v>1407</v>
      </c>
      <c r="C90" t="s">
        <v>1408</v>
      </c>
      <c r="D90" t="s">
        <v>202</v>
      </c>
      <c r="F90">
        <v>291.44287100000003</v>
      </c>
      <c r="G90">
        <v>376.62927200000001</v>
      </c>
      <c r="H90">
        <v>410.172821</v>
      </c>
      <c r="I90">
        <v>416.49899299999998</v>
      </c>
      <c r="J90">
        <v>423.612549</v>
      </c>
      <c r="K90">
        <v>430.48113999999998</v>
      </c>
      <c r="L90">
        <v>437.37762500000002</v>
      </c>
      <c r="M90">
        <v>443.32412699999998</v>
      </c>
      <c r="N90">
        <v>448.44000199999999</v>
      </c>
      <c r="O90">
        <v>454.22287</v>
      </c>
      <c r="P90">
        <v>462.25238000000002</v>
      </c>
      <c r="Q90">
        <v>470.542755</v>
      </c>
      <c r="R90">
        <v>477.288544</v>
      </c>
      <c r="S90">
        <v>483.92678799999999</v>
      </c>
      <c r="T90">
        <v>491.51174900000001</v>
      </c>
      <c r="U90">
        <v>500.235657</v>
      </c>
      <c r="V90">
        <v>510.16430700000001</v>
      </c>
      <c r="W90">
        <v>520.65051300000005</v>
      </c>
      <c r="X90">
        <v>532.22595200000001</v>
      </c>
      <c r="Y90">
        <v>543.59844999999996</v>
      </c>
      <c r="Z90">
        <v>555.40142800000001</v>
      </c>
      <c r="AA90">
        <v>567.55664100000001</v>
      </c>
      <c r="AB90">
        <v>580.03369099999998</v>
      </c>
      <c r="AC90">
        <v>592.39367700000003</v>
      </c>
      <c r="AD90">
        <v>605.42309599999999</v>
      </c>
      <c r="AE90">
        <v>619.29064900000003</v>
      </c>
      <c r="AF90">
        <v>633.91833499999996</v>
      </c>
      <c r="AG90">
        <v>649.228027</v>
      </c>
      <c r="AH90">
        <v>665.44378700000004</v>
      </c>
      <c r="AI90" s="22">
        <v>0.03</v>
      </c>
    </row>
    <row r="91" spans="1:35">
      <c r="A91" t="s">
        <v>219</v>
      </c>
      <c r="B91" t="s">
        <v>1409</v>
      </c>
      <c r="C91" t="s">
        <v>1410</v>
      </c>
      <c r="D91" t="s">
        <v>202</v>
      </c>
      <c r="F91">
        <v>109.65400700000001</v>
      </c>
      <c r="G91">
        <v>115.916664</v>
      </c>
      <c r="H91">
        <v>115.05811300000001</v>
      </c>
      <c r="I91">
        <v>114.36243399999999</v>
      </c>
      <c r="J91">
        <v>115.767021</v>
      </c>
      <c r="K91">
        <v>117.08181</v>
      </c>
      <c r="L91">
        <v>118.394547</v>
      </c>
      <c r="M91">
        <v>119.392647</v>
      </c>
      <c r="N91">
        <v>120.11769099999999</v>
      </c>
      <c r="O91">
        <v>121.049088</v>
      </c>
      <c r="P91">
        <v>122.68103000000001</v>
      </c>
      <c r="Q91">
        <v>124.381058</v>
      </c>
      <c r="R91">
        <v>125.584198</v>
      </c>
      <c r="S91">
        <v>126.74402600000001</v>
      </c>
      <c r="T91">
        <v>128.187408</v>
      </c>
      <c r="U91">
        <v>129.96958900000001</v>
      </c>
      <c r="V91">
        <v>132.106415</v>
      </c>
      <c r="W91">
        <v>134.39553799999999</v>
      </c>
      <c r="X91">
        <v>136.99246199999999</v>
      </c>
      <c r="Y91">
        <v>139.50266999999999</v>
      </c>
      <c r="Z91">
        <v>142.11863700000001</v>
      </c>
      <c r="AA91">
        <v>144.81526199999999</v>
      </c>
      <c r="AB91">
        <v>147.582245</v>
      </c>
      <c r="AC91">
        <v>150.28645299999999</v>
      </c>
      <c r="AD91">
        <v>153.16430700000001</v>
      </c>
      <c r="AE91">
        <v>156.26412999999999</v>
      </c>
      <c r="AF91">
        <v>159.560318</v>
      </c>
      <c r="AG91">
        <v>163.027771</v>
      </c>
      <c r="AH91">
        <v>166.73127700000001</v>
      </c>
      <c r="AI91" s="22">
        <v>1.4999999999999999E-2</v>
      </c>
    </row>
    <row r="92" spans="1:35">
      <c r="A92" t="s">
        <v>212</v>
      </c>
      <c r="B92" t="s">
        <v>1411</v>
      </c>
      <c r="C92" t="s">
        <v>1412</v>
      </c>
      <c r="D92" t="s">
        <v>202</v>
      </c>
      <c r="F92">
        <v>97.788550999999998</v>
      </c>
      <c r="G92">
        <v>116.537071</v>
      </c>
      <c r="H92">
        <v>129.851135</v>
      </c>
      <c r="I92">
        <v>138.94378699999999</v>
      </c>
      <c r="J92">
        <v>146.62851000000001</v>
      </c>
      <c r="K92">
        <v>153.51113900000001</v>
      </c>
      <c r="L92">
        <v>156.930206</v>
      </c>
      <c r="M92">
        <v>160.421234</v>
      </c>
      <c r="N92">
        <v>163.97563199999999</v>
      </c>
      <c r="O92">
        <v>167.596069</v>
      </c>
      <c r="P92">
        <v>171.27801500000001</v>
      </c>
      <c r="Q92">
        <v>175.01597599999999</v>
      </c>
      <c r="R92">
        <v>178.81019599999999</v>
      </c>
      <c r="S92">
        <v>182.661438</v>
      </c>
      <c r="T92">
        <v>186.56987000000001</v>
      </c>
      <c r="U92">
        <v>190.536957</v>
      </c>
      <c r="V92">
        <v>194.563095</v>
      </c>
      <c r="W92">
        <v>198.65008499999999</v>
      </c>
      <c r="X92">
        <v>202.795197</v>
      </c>
      <c r="Y92">
        <v>207.00029000000001</v>
      </c>
      <c r="Z92">
        <v>211.267471</v>
      </c>
      <c r="AA92">
        <v>215.59639000000001</v>
      </c>
      <c r="AB92">
        <v>219.99505600000001</v>
      </c>
      <c r="AC92">
        <v>224.46772799999999</v>
      </c>
      <c r="AD92">
        <v>229.01632699999999</v>
      </c>
      <c r="AE92">
        <v>233.64376799999999</v>
      </c>
      <c r="AF92">
        <v>238.35256999999999</v>
      </c>
      <c r="AG92">
        <v>243.14686599999999</v>
      </c>
      <c r="AH92">
        <v>248.029572</v>
      </c>
      <c r="AI92" s="22">
        <v>3.4000000000000002E-2</v>
      </c>
    </row>
    <row r="93" spans="1:35">
      <c r="A93" t="s">
        <v>217</v>
      </c>
      <c r="B93" t="s">
        <v>1413</v>
      </c>
      <c r="C93" t="s">
        <v>1414</v>
      </c>
      <c r="D93" t="s">
        <v>202</v>
      </c>
      <c r="F93">
        <v>46.483733999999998</v>
      </c>
      <c r="G93">
        <v>52.576613999999999</v>
      </c>
      <c r="H93">
        <v>56.012763999999997</v>
      </c>
      <c r="I93">
        <v>58.483322000000001</v>
      </c>
      <c r="J93">
        <v>60.800694</v>
      </c>
      <c r="K93">
        <v>62.895470000000003</v>
      </c>
      <c r="L93">
        <v>64.119736000000003</v>
      </c>
      <c r="M93">
        <v>65.371596999999994</v>
      </c>
      <c r="N93">
        <v>66.645554000000004</v>
      </c>
      <c r="O93">
        <v>67.943336000000002</v>
      </c>
      <c r="P93">
        <v>69.261993000000004</v>
      </c>
      <c r="Q93">
        <v>70.597969000000006</v>
      </c>
      <c r="R93">
        <v>71.951194999999998</v>
      </c>
      <c r="S93">
        <v>73.321762000000007</v>
      </c>
      <c r="T93">
        <v>74.709625000000003</v>
      </c>
      <c r="U93">
        <v>76.115097000000006</v>
      </c>
      <c r="V93">
        <v>77.538216000000006</v>
      </c>
      <c r="W93">
        <v>78.979500000000002</v>
      </c>
      <c r="X93">
        <v>80.436768000000001</v>
      </c>
      <c r="Y93">
        <v>81.911124999999998</v>
      </c>
      <c r="Z93">
        <v>83.403251999999995</v>
      </c>
      <c r="AA93">
        <v>84.912941000000004</v>
      </c>
      <c r="AB93">
        <v>86.442954999999998</v>
      </c>
      <c r="AC93">
        <v>87.994750999999994</v>
      </c>
      <c r="AD93">
        <v>89.568877999999998</v>
      </c>
      <c r="AE93">
        <v>91.166283000000007</v>
      </c>
      <c r="AF93">
        <v>92.787719999999993</v>
      </c>
      <c r="AG93">
        <v>94.434532000000004</v>
      </c>
      <c r="AH93">
        <v>96.107642999999996</v>
      </c>
      <c r="AI93" s="22">
        <v>2.5999999999999999E-2</v>
      </c>
    </row>
    <row r="94" spans="1:35">
      <c r="A94" t="s">
        <v>218</v>
      </c>
      <c r="B94" t="s">
        <v>1415</v>
      </c>
      <c r="C94" t="s">
        <v>1416</v>
      </c>
      <c r="D94" t="s">
        <v>202</v>
      </c>
      <c r="F94">
        <v>44.320006999999997</v>
      </c>
      <c r="G94">
        <v>56.016773000000001</v>
      </c>
      <c r="H94">
        <v>65.242180000000005</v>
      </c>
      <c r="I94">
        <v>71.493279000000001</v>
      </c>
      <c r="J94">
        <v>76.510611999999995</v>
      </c>
      <c r="K94">
        <v>80.981887999999998</v>
      </c>
      <c r="L94">
        <v>82.990195999999997</v>
      </c>
      <c r="M94">
        <v>85.038689000000005</v>
      </c>
      <c r="N94">
        <v>87.125076000000007</v>
      </c>
      <c r="O94">
        <v>89.250031000000007</v>
      </c>
      <c r="P94">
        <v>91.412482999999995</v>
      </c>
      <c r="Q94">
        <v>93.610962000000001</v>
      </c>
      <c r="R94">
        <v>95.845900999999998</v>
      </c>
      <c r="S94">
        <v>98.117858999999996</v>
      </c>
      <c r="T94">
        <v>100.427132</v>
      </c>
      <c r="U94">
        <v>102.77475</v>
      </c>
      <c r="V94">
        <v>105.161118</v>
      </c>
      <c r="W94">
        <v>107.58744</v>
      </c>
      <c r="X94">
        <v>110.053513</v>
      </c>
      <c r="Y94">
        <v>112.55989099999999</v>
      </c>
      <c r="Z94">
        <v>115.107895</v>
      </c>
      <c r="AA94">
        <v>117.697464</v>
      </c>
      <c r="AB94">
        <v>120.33337400000001</v>
      </c>
      <c r="AC94">
        <v>123.01821099999999</v>
      </c>
      <c r="AD94">
        <v>125.753281</v>
      </c>
      <c r="AE94">
        <v>128.54042100000001</v>
      </c>
      <c r="AF94">
        <v>131.38125600000001</v>
      </c>
      <c r="AG94">
        <v>134.27836600000001</v>
      </c>
      <c r="AH94">
        <v>137.233643</v>
      </c>
      <c r="AI94" s="22">
        <v>4.1000000000000002E-2</v>
      </c>
    </row>
    <row r="95" spans="1:35">
      <c r="A95" t="s">
        <v>219</v>
      </c>
      <c r="B95" t="s">
        <v>1417</v>
      </c>
      <c r="C95" t="s">
        <v>1418</v>
      </c>
      <c r="D95" t="s">
        <v>202</v>
      </c>
      <c r="F95">
        <v>6.9848179999999997</v>
      </c>
      <c r="G95">
        <v>7.9436809999999998</v>
      </c>
      <c r="H95">
        <v>8.5961859999999994</v>
      </c>
      <c r="I95">
        <v>8.9671769999999995</v>
      </c>
      <c r="J95">
        <v>9.3172130000000006</v>
      </c>
      <c r="K95">
        <v>9.6337810000000008</v>
      </c>
      <c r="L95">
        <v>9.8202590000000001</v>
      </c>
      <c r="M95">
        <v>10.010951</v>
      </c>
      <c r="N95">
        <v>10.205007999999999</v>
      </c>
      <c r="O95">
        <v>10.402691000000001</v>
      </c>
      <c r="P95">
        <v>10.603547000000001</v>
      </c>
      <c r="Q95">
        <v>10.807024</v>
      </c>
      <c r="R95">
        <v>11.013108000000001</v>
      </c>
      <c r="S95">
        <v>11.221814</v>
      </c>
      <c r="T95">
        <v>11.433130999999999</v>
      </c>
      <c r="U95">
        <v>11.647105</v>
      </c>
      <c r="V95">
        <v>11.863749</v>
      </c>
      <c r="W95">
        <v>12.083130000000001</v>
      </c>
      <c r="X95">
        <v>12.304914999999999</v>
      </c>
      <c r="Y95">
        <v>12.529273999999999</v>
      </c>
      <c r="Z95">
        <v>12.756309</v>
      </c>
      <c r="AA95">
        <v>12.985987</v>
      </c>
      <c r="AB95">
        <v>13.218731</v>
      </c>
      <c r="AC95">
        <v>13.45476</v>
      </c>
      <c r="AD95">
        <v>13.694159000000001</v>
      </c>
      <c r="AE95">
        <v>13.937068</v>
      </c>
      <c r="AF95">
        <v>14.183602</v>
      </c>
      <c r="AG95">
        <v>14.433968999999999</v>
      </c>
      <c r="AH95">
        <v>14.688302999999999</v>
      </c>
      <c r="AI95" s="22">
        <v>2.7E-2</v>
      </c>
    </row>
    <row r="96" spans="1:35">
      <c r="A96" t="s">
        <v>1256</v>
      </c>
      <c r="B96" t="s">
        <v>1419</v>
      </c>
      <c r="C96" t="s">
        <v>1420</v>
      </c>
      <c r="D96" t="s">
        <v>202</v>
      </c>
      <c r="F96">
        <v>99.841224999999994</v>
      </c>
      <c r="G96">
        <v>121.38716100000001</v>
      </c>
      <c r="H96">
        <v>140.14009100000001</v>
      </c>
      <c r="I96">
        <v>151.262756</v>
      </c>
      <c r="J96">
        <v>161.67996199999999</v>
      </c>
      <c r="K96">
        <v>169.41802999999999</v>
      </c>
      <c r="L96">
        <v>176.163284</v>
      </c>
      <c r="M96">
        <v>182.32843</v>
      </c>
      <c r="N96">
        <v>188.683502</v>
      </c>
      <c r="O96">
        <v>195.21624800000001</v>
      </c>
      <c r="P96">
        <v>201.96676600000001</v>
      </c>
      <c r="Q96">
        <v>208.904144</v>
      </c>
      <c r="R96">
        <v>216.03270000000001</v>
      </c>
      <c r="S96">
        <v>223.35351600000001</v>
      </c>
      <c r="T96">
        <v>230.84750399999999</v>
      </c>
      <c r="U96">
        <v>238.536697</v>
      </c>
      <c r="V96">
        <v>246.42671200000001</v>
      </c>
      <c r="W96">
        <v>254.52114900000001</v>
      </c>
      <c r="X96">
        <v>262.81677200000001</v>
      </c>
      <c r="Y96">
        <v>271.26284800000002</v>
      </c>
      <c r="Z96">
        <v>279.914154</v>
      </c>
      <c r="AA96">
        <v>288.77542099999999</v>
      </c>
      <c r="AB96">
        <v>297.85025000000002</v>
      </c>
      <c r="AC96">
        <v>307.14016700000002</v>
      </c>
      <c r="AD96">
        <v>316.583099</v>
      </c>
      <c r="AE96">
        <v>326.23324600000001</v>
      </c>
      <c r="AF96">
        <v>336.11285400000003</v>
      </c>
      <c r="AG96">
        <v>346.24740600000001</v>
      </c>
      <c r="AH96">
        <v>356.65838600000001</v>
      </c>
      <c r="AI96" s="22">
        <v>4.7E-2</v>
      </c>
    </row>
    <row r="97" spans="1:35">
      <c r="A97" t="s">
        <v>217</v>
      </c>
      <c r="B97" t="s">
        <v>1421</v>
      </c>
      <c r="C97" t="s">
        <v>1422</v>
      </c>
      <c r="D97" t="s">
        <v>202</v>
      </c>
      <c r="F97">
        <v>69.764510999999999</v>
      </c>
      <c r="G97">
        <v>84.004554999999996</v>
      </c>
      <c r="H97">
        <v>96.466919000000004</v>
      </c>
      <c r="I97">
        <v>103.140091</v>
      </c>
      <c r="J97">
        <v>109.625092</v>
      </c>
      <c r="K97">
        <v>114.665237</v>
      </c>
      <c r="L97">
        <v>119.181656</v>
      </c>
      <c r="M97">
        <v>123.406693</v>
      </c>
      <c r="N97">
        <v>127.766006</v>
      </c>
      <c r="O97">
        <v>132.25155599999999</v>
      </c>
      <c r="P97">
        <v>136.891357</v>
      </c>
      <c r="Q97">
        <v>141.66313199999999</v>
      </c>
      <c r="R97">
        <v>146.57012900000001</v>
      </c>
      <c r="S97">
        <v>151.61326600000001</v>
      </c>
      <c r="T97">
        <v>156.778717</v>
      </c>
      <c r="U97">
        <v>162.08247399999999</v>
      </c>
      <c r="V97">
        <v>167.52858000000001</v>
      </c>
      <c r="W97">
        <v>173.11968999999999</v>
      </c>
      <c r="X97">
        <v>178.852982</v>
      </c>
      <c r="Y97">
        <v>184.691833</v>
      </c>
      <c r="Z97">
        <v>190.676163</v>
      </c>
      <c r="AA97">
        <v>196.80931100000001</v>
      </c>
      <c r="AB97">
        <v>203.09402499999999</v>
      </c>
      <c r="AC97">
        <v>209.53149400000001</v>
      </c>
      <c r="AD97">
        <v>216.077438</v>
      </c>
      <c r="AE97">
        <v>222.77117899999999</v>
      </c>
      <c r="AF97">
        <v>229.627655</v>
      </c>
      <c r="AG97">
        <v>236.664062</v>
      </c>
      <c r="AH97">
        <v>243.894913</v>
      </c>
      <c r="AI97" s="22">
        <v>4.5999999999999999E-2</v>
      </c>
    </row>
    <row r="98" spans="1:35">
      <c r="A98" t="s">
        <v>218</v>
      </c>
      <c r="B98" t="s">
        <v>1423</v>
      </c>
      <c r="C98" t="s">
        <v>1424</v>
      </c>
      <c r="D98" t="s">
        <v>202</v>
      </c>
      <c r="F98">
        <v>22.082386</v>
      </c>
      <c r="G98">
        <v>27.943691000000001</v>
      </c>
      <c r="H98">
        <v>32.981406999999997</v>
      </c>
      <c r="I98">
        <v>36.874682999999997</v>
      </c>
      <c r="J98">
        <v>40.216048999999998</v>
      </c>
      <c r="K98">
        <v>42.408810000000003</v>
      </c>
      <c r="L98">
        <v>44.160705999999998</v>
      </c>
      <c r="M98">
        <v>45.636051000000002</v>
      </c>
      <c r="N98">
        <v>47.151519999999998</v>
      </c>
      <c r="O98">
        <v>48.703654999999998</v>
      </c>
      <c r="P98">
        <v>50.301430000000003</v>
      </c>
      <c r="Q98">
        <v>51.938842999999999</v>
      </c>
      <c r="R98">
        <v>53.616570000000003</v>
      </c>
      <c r="S98">
        <v>55.334595</v>
      </c>
      <c r="T98">
        <v>57.089325000000002</v>
      </c>
      <c r="U98">
        <v>58.884922000000003</v>
      </c>
      <c r="V98">
        <v>60.722434999999997</v>
      </c>
      <c r="W98">
        <v>62.602508999999998</v>
      </c>
      <c r="X98">
        <v>64.525108000000003</v>
      </c>
      <c r="Y98">
        <v>66.480514999999997</v>
      </c>
      <c r="Z98">
        <v>68.478851000000006</v>
      </c>
      <c r="AA98">
        <v>70.520927</v>
      </c>
      <c r="AB98">
        <v>72.607429999999994</v>
      </c>
      <c r="AC98">
        <v>74.738403000000005</v>
      </c>
      <c r="AD98">
        <v>76.901359999999997</v>
      </c>
      <c r="AE98">
        <v>79.106399999999994</v>
      </c>
      <c r="AF98">
        <v>81.359183999999999</v>
      </c>
      <c r="AG98">
        <v>83.666259999999994</v>
      </c>
      <c r="AH98">
        <v>86.032966999999999</v>
      </c>
      <c r="AI98" s="22">
        <v>0.05</v>
      </c>
    </row>
    <row r="99" spans="1:35">
      <c r="A99" t="s">
        <v>219</v>
      </c>
      <c r="B99" t="s">
        <v>1425</v>
      </c>
      <c r="C99" t="s">
        <v>1426</v>
      </c>
      <c r="D99" t="s">
        <v>202</v>
      </c>
      <c r="F99">
        <v>7.9943369999999998</v>
      </c>
      <c r="G99">
        <v>9.4389260000000004</v>
      </c>
      <c r="H99">
        <v>10.691757000000001</v>
      </c>
      <c r="I99">
        <v>11.247966999999999</v>
      </c>
      <c r="J99">
        <v>11.838803</v>
      </c>
      <c r="K99">
        <v>12.343989000000001</v>
      </c>
      <c r="L99">
        <v>12.820919</v>
      </c>
      <c r="M99">
        <v>13.285686999999999</v>
      </c>
      <c r="N99">
        <v>13.765993</v>
      </c>
      <c r="O99">
        <v>14.261029000000001</v>
      </c>
      <c r="P99">
        <v>14.773972000000001</v>
      </c>
      <c r="Q99">
        <v>15.302161999999999</v>
      </c>
      <c r="R99">
        <v>15.846017</v>
      </c>
      <c r="S99">
        <v>16.405667999999999</v>
      </c>
      <c r="T99">
        <v>16.97946</v>
      </c>
      <c r="U99">
        <v>17.569309000000001</v>
      </c>
      <c r="V99">
        <v>18.175705000000001</v>
      </c>
      <c r="W99">
        <v>18.798973</v>
      </c>
      <c r="X99">
        <v>19.438686000000001</v>
      </c>
      <c r="Y99">
        <v>20.090475000000001</v>
      </c>
      <c r="Z99">
        <v>20.759160999999999</v>
      </c>
      <c r="AA99">
        <v>21.445156000000001</v>
      </c>
      <c r="AB99">
        <v>22.148788</v>
      </c>
      <c r="AC99">
        <v>22.870235000000001</v>
      </c>
      <c r="AD99">
        <v>23.604284</v>
      </c>
      <c r="AE99">
        <v>24.355677</v>
      </c>
      <c r="AF99">
        <v>25.126003000000001</v>
      </c>
      <c r="AG99">
        <v>25.917096999999998</v>
      </c>
      <c r="AH99">
        <v>26.730518</v>
      </c>
      <c r="AI99" s="22">
        <v>4.3999999999999997E-2</v>
      </c>
    </row>
    <row r="100" spans="1:35">
      <c r="A100" t="s">
        <v>1259</v>
      </c>
      <c r="B100" t="s">
        <v>1427</v>
      </c>
      <c r="C100" t="s">
        <v>1428</v>
      </c>
      <c r="D100" t="s">
        <v>202</v>
      </c>
      <c r="F100">
        <v>877.59985400000005</v>
      </c>
      <c r="G100">
        <v>1119.4864500000001</v>
      </c>
      <c r="H100">
        <v>1274.9530030000001</v>
      </c>
      <c r="I100">
        <v>1333.865112</v>
      </c>
      <c r="J100">
        <v>1422.423706</v>
      </c>
      <c r="K100">
        <v>1452.9285890000001</v>
      </c>
      <c r="L100">
        <v>1483.7619629999999</v>
      </c>
      <c r="M100">
        <v>1515.0489500000001</v>
      </c>
      <c r="N100">
        <v>1546.865112</v>
      </c>
      <c r="O100">
        <v>1579.2467039999999</v>
      </c>
      <c r="P100">
        <v>1612.2222899999999</v>
      </c>
      <c r="Q100">
        <v>1645.8079829999999</v>
      </c>
      <c r="R100">
        <v>1679.958496</v>
      </c>
      <c r="S100">
        <v>1714.6062010000001</v>
      </c>
      <c r="T100">
        <v>1749.828857</v>
      </c>
      <c r="U100">
        <v>1785.697144</v>
      </c>
      <c r="V100">
        <v>1822.179932</v>
      </c>
      <c r="W100">
        <v>1859.2739260000001</v>
      </c>
      <c r="X100">
        <v>1897.0032960000001</v>
      </c>
      <c r="Y100">
        <v>1935.334351</v>
      </c>
      <c r="Z100">
        <v>1974.259033</v>
      </c>
      <c r="AA100">
        <v>2013.7669679999999</v>
      </c>
      <c r="AB100">
        <v>2053.8469239999999</v>
      </c>
      <c r="AC100">
        <v>2094.4934079999998</v>
      </c>
      <c r="AD100">
        <v>2135.6967770000001</v>
      </c>
      <c r="AE100">
        <v>2177.4594729999999</v>
      </c>
      <c r="AF100">
        <v>2219.830078</v>
      </c>
      <c r="AG100">
        <v>2262.873047</v>
      </c>
      <c r="AH100">
        <v>2306.6342770000001</v>
      </c>
      <c r="AI100" s="22">
        <v>3.5000000000000003E-2</v>
      </c>
    </row>
    <row r="101" spans="1:35">
      <c r="A101" t="s">
        <v>217</v>
      </c>
      <c r="B101" t="s">
        <v>1429</v>
      </c>
      <c r="C101" t="s">
        <v>1430</v>
      </c>
      <c r="D101" t="s">
        <v>202</v>
      </c>
      <c r="F101">
        <v>457.99380500000001</v>
      </c>
      <c r="G101">
        <v>580.28509499999996</v>
      </c>
      <c r="H101">
        <v>654.986267</v>
      </c>
      <c r="I101">
        <v>680.76531999999997</v>
      </c>
      <c r="J101">
        <v>711.43078600000001</v>
      </c>
      <c r="K101">
        <v>727.30053699999996</v>
      </c>
      <c r="L101">
        <v>743.324524</v>
      </c>
      <c r="M101">
        <v>759.58312999999998</v>
      </c>
      <c r="N101">
        <v>776.12072799999999</v>
      </c>
      <c r="O101">
        <v>792.95568800000001</v>
      </c>
      <c r="P101">
        <v>810.10845900000004</v>
      </c>
      <c r="Q101">
        <v>827.59625200000005</v>
      </c>
      <c r="R101">
        <v>845.394409</v>
      </c>
      <c r="S101">
        <v>863.46362299999998</v>
      </c>
      <c r="T101">
        <v>881.85449200000005</v>
      </c>
      <c r="U101">
        <v>900.60906999999997</v>
      </c>
      <c r="V101">
        <v>919.70696999999996</v>
      </c>
      <c r="W101">
        <v>939.14758300000005</v>
      </c>
      <c r="X101">
        <v>958.95074499999998</v>
      </c>
      <c r="Y101">
        <v>979.09222399999999</v>
      </c>
      <c r="Z101">
        <v>999.56774900000005</v>
      </c>
      <c r="AA101">
        <v>1020.372314</v>
      </c>
      <c r="AB101">
        <v>1041.499268</v>
      </c>
      <c r="AC101">
        <v>1062.9472659999999</v>
      </c>
      <c r="AD101">
        <v>1084.717163</v>
      </c>
      <c r="AE101">
        <v>1106.8122559999999</v>
      </c>
      <c r="AF101">
        <v>1129.258789</v>
      </c>
      <c r="AG101">
        <v>1152.091797</v>
      </c>
      <c r="AH101">
        <v>1175.3342290000001</v>
      </c>
      <c r="AI101" s="22">
        <v>3.4000000000000002E-2</v>
      </c>
    </row>
    <row r="102" spans="1:35">
      <c r="A102" t="s">
        <v>218</v>
      </c>
      <c r="B102" t="s">
        <v>1431</v>
      </c>
      <c r="C102" t="s">
        <v>1432</v>
      </c>
      <c r="D102" t="s">
        <v>202</v>
      </c>
      <c r="F102">
        <v>384.73519900000002</v>
      </c>
      <c r="G102">
        <v>494.32092299999999</v>
      </c>
      <c r="H102">
        <v>568.28112799999997</v>
      </c>
      <c r="I102">
        <v>599.45251499999995</v>
      </c>
      <c r="J102">
        <v>655.16479500000003</v>
      </c>
      <c r="K102">
        <v>668.54449499999998</v>
      </c>
      <c r="L102">
        <v>682.08648700000003</v>
      </c>
      <c r="M102">
        <v>695.82885699999997</v>
      </c>
      <c r="N102">
        <v>709.79925500000002</v>
      </c>
      <c r="O102">
        <v>724.01422100000002</v>
      </c>
      <c r="P102">
        <v>738.48004200000003</v>
      </c>
      <c r="Q102">
        <v>753.19427499999995</v>
      </c>
      <c r="R102">
        <v>768.13793899999996</v>
      </c>
      <c r="S102">
        <v>783.28631600000006</v>
      </c>
      <c r="T102">
        <v>798.66192599999999</v>
      </c>
      <c r="U102">
        <v>814.29058799999996</v>
      </c>
      <c r="V102">
        <v>830.162598</v>
      </c>
      <c r="W102">
        <v>846.27569600000004</v>
      </c>
      <c r="X102">
        <v>862.63250700000003</v>
      </c>
      <c r="Y102">
        <v>879.22540300000003</v>
      </c>
      <c r="Z102">
        <v>896.05114700000001</v>
      </c>
      <c r="AA102">
        <v>913.104736</v>
      </c>
      <c r="AB102">
        <v>930.38195800000005</v>
      </c>
      <c r="AC102">
        <v>947.878601</v>
      </c>
      <c r="AD102">
        <v>965.584473</v>
      </c>
      <c r="AE102">
        <v>983.49823000000004</v>
      </c>
      <c r="AF102">
        <v>1001.6401980000001</v>
      </c>
      <c r="AG102">
        <v>1020.036865</v>
      </c>
      <c r="AH102">
        <v>1038.7089840000001</v>
      </c>
      <c r="AI102" s="22">
        <v>3.5999999999999997E-2</v>
      </c>
    </row>
    <row r="103" spans="1:35">
      <c r="A103" t="s">
        <v>219</v>
      </c>
      <c r="B103" t="s">
        <v>1433</v>
      </c>
      <c r="C103" t="s">
        <v>1434</v>
      </c>
      <c r="D103" t="s">
        <v>202</v>
      </c>
      <c r="F103">
        <v>34.870902999999998</v>
      </c>
      <c r="G103">
        <v>44.880547</v>
      </c>
      <c r="H103">
        <v>51.685589</v>
      </c>
      <c r="I103">
        <v>53.647475999999997</v>
      </c>
      <c r="J103">
        <v>55.828116999999999</v>
      </c>
      <c r="K103">
        <v>57.083621999999998</v>
      </c>
      <c r="L103">
        <v>58.351047999999999</v>
      </c>
      <c r="M103">
        <v>59.637023999999997</v>
      </c>
      <c r="N103">
        <v>60.945126000000002</v>
      </c>
      <c r="O103">
        <v>62.276809999999998</v>
      </c>
      <c r="P103">
        <v>63.633769999999998</v>
      </c>
      <c r="Q103">
        <v>65.017516999999998</v>
      </c>
      <c r="R103">
        <v>66.426085999999998</v>
      </c>
      <c r="S103">
        <v>67.856292999999994</v>
      </c>
      <c r="T103">
        <v>69.312302000000003</v>
      </c>
      <c r="U103">
        <v>70.797531000000006</v>
      </c>
      <c r="V103">
        <v>72.310294999999996</v>
      </c>
      <c r="W103">
        <v>73.850562999999994</v>
      </c>
      <c r="X103">
        <v>75.420029</v>
      </c>
      <c r="Y103">
        <v>77.016670000000005</v>
      </c>
      <c r="Z103">
        <v>78.640129000000002</v>
      </c>
      <c r="AA103">
        <v>80.290030999999999</v>
      </c>
      <c r="AB103">
        <v>81.965835999999996</v>
      </c>
      <c r="AC103">
        <v>83.667450000000002</v>
      </c>
      <c r="AD103">
        <v>85.395065000000002</v>
      </c>
      <c r="AE103">
        <v>87.148910999999998</v>
      </c>
      <c r="AF103">
        <v>88.931160000000006</v>
      </c>
      <c r="AG103">
        <v>90.744545000000002</v>
      </c>
      <c r="AH103">
        <v>92.590896999999998</v>
      </c>
      <c r="AI103" s="22">
        <v>3.5000000000000003E-2</v>
      </c>
    </row>
    <row r="104" spans="1:35">
      <c r="A104" t="s">
        <v>1262</v>
      </c>
      <c r="B104" t="s">
        <v>1435</v>
      </c>
      <c r="C104" t="s">
        <v>1436</v>
      </c>
      <c r="D104" t="s">
        <v>202</v>
      </c>
      <c r="F104">
        <v>101.69902</v>
      </c>
      <c r="G104">
        <v>148.23710600000001</v>
      </c>
      <c r="H104">
        <v>171.55920399999999</v>
      </c>
      <c r="I104">
        <v>184.58833300000001</v>
      </c>
      <c r="J104">
        <v>200.47425799999999</v>
      </c>
      <c r="K104">
        <v>210.807739</v>
      </c>
      <c r="L104">
        <v>220.13314800000001</v>
      </c>
      <c r="M104">
        <v>221.292801</v>
      </c>
      <c r="N104">
        <v>222.20796200000001</v>
      </c>
      <c r="O104">
        <v>222.935303</v>
      </c>
      <c r="P104">
        <v>223.57605000000001</v>
      </c>
      <c r="Q104">
        <v>224.21723900000001</v>
      </c>
      <c r="R104">
        <v>224.86488299999999</v>
      </c>
      <c r="S104">
        <v>225.51828</v>
      </c>
      <c r="T104">
        <v>226.176514</v>
      </c>
      <c r="U104">
        <v>226.83900499999999</v>
      </c>
      <c r="V104">
        <v>227.50564600000001</v>
      </c>
      <c r="W104">
        <v>228.174622</v>
      </c>
      <c r="X104">
        <v>228.840012</v>
      </c>
      <c r="Y104">
        <v>229.505966</v>
      </c>
      <c r="Z104">
        <v>230.17013499999999</v>
      </c>
      <c r="AA104">
        <v>230.83374000000001</v>
      </c>
      <c r="AB104">
        <v>231.507385</v>
      </c>
      <c r="AC104">
        <v>232.219131</v>
      </c>
      <c r="AD104">
        <v>232.98898299999999</v>
      </c>
      <c r="AE104">
        <v>233.82221999999999</v>
      </c>
      <c r="AF104">
        <v>234.71961999999999</v>
      </c>
      <c r="AG104">
        <v>235.681839</v>
      </c>
      <c r="AH104">
        <v>236.708923</v>
      </c>
      <c r="AI104" s="22">
        <v>3.1E-2</v>
      </c>
    </row>
    <row r="105" spans="1:35">
      <c r="A105" t="s">
        <v>217</v>
      </c>
      <c r="B105" t="s">
        <v>1437</v>
      </c>
      <c r="C105" t="s">
        <v>1438</v>
      </c>
      <c r="D105" t="s">
        <v>202</v>
      </c>
      <c r="F105">
        <v>50.248626999999999</v>
      </c>
      <c r="G105">
        <v>73.327492000000007</v>
      </c>
      <c r="H105">
        <v>80.386336999999997</v>
      </c>
      <c r="I105">
        <v>83.712601000000006</v>
      </c>
      <c r="J105">
        <v>86.558563000000007</v>
      </c>
      <c r="K105">
        <v>88.524124</v>
      </c>
      <c r="L105">
        <v>90.305572999999995</v>
      </c>
      <c r="M105">
        <v>90.819534000000004</v>
      </c>
      <c r="N105">
        <v>91.274376000000004</v>
      </c>
      <c r="O105">
        <v>91.683593999999999</v>
      </c>
      <c r="P105">
        <v>92.070815999999994</v>
      </c>
      <c r="Q105">
        <v>92.456360000000004</v>
      </c>
      <c r="R105">
        <v>92.842277999999993</v>
      </c>
      <c r="S105">
        <v>93.228309999999993</v>
      </c>
      <c r="T105">
        <v>93.614204000000001</v>
      </c>
      <c r="U105">
        <v>94.000174999999999</v>
      </c>
      <c r="V105">
        <v>94.386238000000006</v>
      </c>
      <c r="W105">
        <v>94.772171</v>
      </c>
      <c r="X105">
        <v>95.154160000000005</v>
      </c>
      <c r="Y105">
        <v>95.535126000000005</v>
      </c>
      <c r="Z105">
        <v>95.914664999999999</v>
      </c>
      <c r="AA105">
        <v>96.293319999999994</v>
      </c>
      <c r="AB105">
        <v>96.674294000000003</v>
      </c>
      <c r="AC105">
        <v>97.063903999999994</v>
      </c>
      <c r="AD105">
        <v>97.467574999999997</v>
      </c>
      <c r="AE105">
        <v>97.886573999999996</v>
      </c>
      <c r="AF105">
        <v>98.320922999999993</v>
      </c>
      <c r="AG105">
        <v>98.770683000000005</v>
      </c>
      <c r="AH105">
        <v>99.235695000000007</v>
      </c>
      <c r="AI105" s="22">
        <v>2.5000000000000001E-2</v>
      </c>
    </row>
    <row r="106" spans="1:35">
      <c r="A106" t="s">
        <v>218</v>
      </c>
      <c r="B106" t="s">
        <v>1439</v>
      </c>
      <c r="C106" t="s">
        <v>1440</v>
      </c>
      <c r="D106" t="s">
        <v>202</v>
      </c>
      <c r="F106">
        <v>45.078837999999998</v>
      </c>
      <c r="G106">
        <v>65.604156000000003</v>
      </c>
      <c r="H106">
        <v>81.211539999999999</v>
      </c>
      <c r="I106">
        <v>90.667961000000005</v>
      </c>
      <c r="J106">
        <v>103.62951700000001</v>
      </c>
      <c r="K106">
        <v>111.925438</v>
      </c>
      <c r="L106">
        <v>119.40303</v>
      </c>
      <c r="M106">
        <v>119.986786</v>
      </c>
      <c r="N106">
        <v>120.389191</v>
      </c>
      <c r="O106">
        <v>120.652519</v>
      </c>
      <c r="P106">
        <v>120.852875</v>
      </c>
      <c r="Q106">
        <v>121.055656</v>
      </c>
      <c r="R106">
        <v>121.264656</v>
      </c>
      <c r="S106">
        <v>121.479401</v>
      </c>
      <c r="T106">
        <v>121.69931</v>
      </c>
      <c r="U106">
        <v>121.9235</v>
      </c>
      <c r="V106">
        <v>122.151825</v>
      </c>
      <c r="W106">
        <v>122.382729</v>
      </c>
      <c r="X106">
        <v>122.61462400000001</v>
      </c>
      <c r="Y106">
        <v>122.848282</v>
      </c>
      <c r="Z106">
        <v>123.08181</v>
      </c>
      <c r="AA106">
        <v>123.315765</v>
      </c>
      <c r="AB106">
        <v>123.557365</v>
      </c>
      <c r="AC106">
        <v>123.82785</v>
      </c>
      <c r="AD106">
        <v>124.141457</v>
      </c>
      <c r="AE106">
        <v>124.50206799999999</v>
      </c>
      <c r="AF106">
        <v>124.910492</v>
      </c>
      <c r="AG106">
        <v>125.36726400000001</v>
      </c>
      <c r="AH106">
        <v>125.872688</v>
      </c>
      <c r="AI106" s="22">
        <v>3.6999999999999998E-2</v>
      </c>
    </row>
    <row r="107" spans="1:35">
      <c r="A107" t="s">
        <v>219</v>
      </c>
      <c r="B107" t="s">
        <v>1441</v>
      </c>
      <c r="C107" t="s">
        <v>1442</v>
      </c>
      <c r="D107" t="s">
        <v>202</v>
      </c>
      <c r="F107">
        <v>6.3715529999999996</v>
      </c>
      <c r="G107">
        <v>9.3054469999999991</v>
      </c>
      <c r="H107">
        <v>9.9613259999999997</v>
      </c>
      <c r="I107">
        <v>10.207762000000001</v>
      </c>
      <c r="J107">
        <v>10.286180999999999</v>
      </c>
      <c r="K107">
        <v>10.358179</v>
      </c>
      <c r="L107">
        <v>10.424552</v>
      </c>
      <c r="M107">
        <v>10.486485999999999</v>
      </c>
      <c r="N107">
        <v>10.544403000000001</v>
      </c>
      <c r="O107">
        <v>10.599194000000001</v>
      </c>
      <c r="P107">
        <v>10.652366000000001</v>
      </c>
      <c r="Q107">
        <v>10.705219</v>
      </c>
      <c r="R107">
        <v>10.757960000000001</v>
      </c>
      <c r="S107">
        <v>10.810561</v>
      </c>
      <c r="T107">
        <v>10.863001000000001</v>
      </c>
      <c r="U107">
        <v>10.915336</v>
      </c>
      <c r="V107">
        <v>10.967572000000001</v>
      </c>
      <c r="W107">
        <v>11.019721000000001</v>
      </c>
      <c r="X107">
        <v>11.071241000000001</v>
      </c>
      <c r="Y107">
        <v>11.122562</v>
      </c>
      <c r="Z107">
        <v>11.17367</v>
      </c>
      <c r="AA107">
        <v>11.224634</v>
      </c>
      <c r="AB107">
        <v>11.275739</v>
      </c>
      <c r="AC107">
        <v>11.327367000000001</v>
      </c>
      <c r="AD107">
        <v>11.379951</v>
      </c>
      <c r="AE107">
        <v>11.433577</v>
      </c>
      <c r="AF107">
        <v>11.488227</v>
      </c>
      <c r="AG107">
        <v>11.543894</v>
      </c>
      <c r="AH107">
        <v>11.600548</v>
      </c>
      <c r="AI107" s="22">
        <v>2.1999999999999999E-2</v>
      </c>
    </row>
    <row r="108" spans="1:35">
      <c r="A108" t="s">
        <v>1265</v>
      </c>
      <c r="B108" t="s">
        <v>1443</v>
      </c>
      <c r="C108" t="s">
        <v>1444</v>
      </c>
      <c r="D108" t="s">
        <v>202</v>
      </c>
      <c r="F108">
        <v>83.549149</v>
      </c>
      <c r="G108">
        <v>121.20388</v>
      </c>
      <c r="H108">
        <v>149.299881</v>
      </c>
      <c r="I108">
        <v>168.68980400000001</v>
      </c>
      <c r="J108">
        <v>185.26075700000001</v>
      </c>
      <c r="K108">
        <v>196.63462799999999</v>
      </c>
      <c r="L108">
        <v>207.11045799999999</v>
      </c>
      <c r="M108">
        <v>213.33717300000001</v>
      </c>
      <c r="N108">
        <v>219.69072</v>
      </c>
      <c r="O108">
        <v>226.14747600000001</v>
      </c>
      <c r="P108">
        <v>232.66215500000001</v>
      </c>
      <c r="Q108">
        <v>239.25929300000001</v>
      </c>
      <c r="R108">
        <v>245.94813500000001</v>
      </c>
      <c r="S108">
        <v>252.61059599999999</v>
      </c>
      <c r="T108">
        <v>259.33639499999998</v>
      </c>
      <c r="U108">
        <v>266.22772200000003</v>
      </c>
      <c r="V108">
        <v>273.25830100000002</v>
      </c>
      <c r="W108">
        <v>280.35229500000003</v>
      </c>
      <c r="X108">
        <v>287.51351899999997</v>
      </c>
      <c r="Y108">
        <v>294.79525799999999</v>
      </c>
      <c r="Z108">
        <v>302.209137</v>
      </c>
      <c r="AA108">
        <v>309.75473</v>
      </c>
      <c r="AB108">
        <v>317.43218999999999</v>
      </c>
      <c r="AC108">
        <v>325.23773199999999</v>
      </c>
      <c r="AD108">
        <v>333.16507000000001</v>
      </c>
      <c r="AE108">
        <v>341.21582000000001</v>
      </c>
      <c r="AF108">
        <v>349.41198700000001</v>
      </c>
      <c r="AG108">
        <v>357.75805700000001</v>
      </c>
      <c r="AH108">
        <v>366.25451700000002</v>
      </c>
      <c r="AI108" s="22">
        <v>5.3999999999999999E-2</v>
      </c>
    </row>
    <row r="109" spans="1:35">
      <c r="A109" t="s">
        <v>217</v>
      </c>
      <c r="B109" t="s">
        <v>1445</v>
      </c>
      <c r="C109" t="s">
        <v>1446</v>
      </c>
      <c r="D109" t="s">
        <v>202</v>
      </c>
      <c r="F109">
        <v>36.610782999999998</v>
      </c>
      <c r="G109">
        <v>49.266624</v>
      </c>
      <c r="H109">
        <v>55.787475999999998</v>
      </c>
      <c r="I109">
        <v>59.812798000000001</v>
      </c>
      <c r="J109">
        <v>62.062618000000001</v>
      </c>
      <c r="K109">
        <v>64.106048999999999</v>
      </c>
      <c r="L109">
        <v>66.122321999999997</v>
      </c>
      <c r="M109">
        <v>67.978454999999997</v>
      </c>
      <c r="N109">
        <v>69.866577000000007</v>
      </c>
      <c r="O109">
        <v>71.771736000000004</v>
      </c>
      <c r="P109">
        <v>73.667175</v>
      </c>
      <c r="Q109">
        <v>75.565291999999999</v>
      </c>
      <c r="R109">
        <v>77.469703999999993</v>
      </c>
      <c r="S109">
        <v>79.310828999999998</v>
      </c>
      <c r="T109">
        <v>81.138930999999999</v>
      </c>
      <c r="U109">
        <v>83.011398</v>
      </c>
      <c r="V109">
        <v>84.911300999999995</v>
      </c>
      <c r="W109">
        <v>86.794128000000001</v>
      </c>
      <c r="X109">
        <v>88.660561000000001</v>
      </c>
      <c r="Y109">
        <v>90.540947000000003</v>
      </c>
      <c r="Z109">
        <v>92.441147000000001</v>
      </c>
      <c r="AA109">
        <v>94.360625999999996</v>
      </c>
      <c r="AB109">
        <v>96.298569000000001</v>
      </c>
      <c r="AC109">
        <v>98.252655000000004</v>
      </c>
      <c r="AD109">
        <v>100.218834</v>
      </c>
      <c r="AE109">
        <v>102.197517</v>
      </c>
      <c r="AF109">
        <v>104.200531</v>
      </c>
      <c r="AG109">
        <v>106.229347</v>
      </c>
      <c r="AH109">
        <v>108.28325700000001</v>
      </c>
      <c r="AI109" s="22">
        <v>3.9E-2</v>
      </c>
    </row>
    <row r="110" spans="1:35">
      <c r="A110" t="s">
        <v>218</v>
      </c>
      <c r="B110" t="s">
        <v>1447</v>
      </c>
      <c r="C110" t="s">
        <v>1448</v>
      </c>
      <c r="D110" t="s">
        <v>202</v>
      </c>
      <c r="F110">
        <v>42.035438999999997</v>
      </c>
      <c r="G110">
        <v>65.305633999999998</v>
      </c>
      <c r="H110">
        <v>85.952704999999995</v>
      </c>
      <c r="I110">
        <v>100.826874</v>
      </c>
      <c r="J110">
        <v>114.9105</v>
      </c>
      <c r="K110">
        <v>124.001762</v>
      </c>
      <c r="L110">
        <v>132.22051999999999</v>
      </c>
      <c r="M110">
        <v>136.34762599999999</v>
      </c>
      <c r="N110">
        <v>140.56552099999999</v>
      </c>
      <c r="O110">
        <v>144.867615</v>
      </c>
      <c r="P110">
        <v>149.23921200000001</v>
      </c>
      <c r="Q110">
        <v>153.69073499999999</v>
      </c>
      <c r="R110">
        <v>158.22726399999999</v>
      </c>
      <c r="S110">
        <v>162.81016500000001</v>
      </c>
      <c r="T110">
        <v>167.47184799999999</v>
      </c>
      <c r="U110">
        <v>172.249008</v>
      </c>
      <c r="V110">
        <v>177.13464400000001</v>
      </c>
      <c r="W110">
        <v>182.10375999999999</v>
      </c>
      <c r="X110">
        <v>187.15948499999999</v>
      </c>
      <c r="Y110">
        <v>192.320404</v>
      </c>
      <c r="Z110">
        <v>197.591431</v>
      </c>
      <c r="AA110">
        <v>202.97283899999999</v>
      </c>
      <c r="AB110">
        <v>208.46565200000001</v>
      </c>
      <c r="AC110">
        <v>214.06880200000001</v>
      </c>
      <c r="AD110">
        <v>219.78054800000001</v>
      </c>
      <c r="AE110">
        <v>225.60205099999999</v>
      </c>
      <c r="AF110">
        <v>231.54188500000001</v>
      </c>
      <c r="AG110">
        <v>237.602844</v>
      </c>
      <c r="AH110">
        <v>243.78623999999999</v>
      </c>
      <c r="AI110" s="22">
        <v>6.5000000000000002E-2</v>
      </c>
    </row>
    <row r="111" spans="1:35">
      <c r="A111" t="s">
        <v>219</v>
      </c>
      <c r="B111" t="s">
        <v>1449</v>
      </c>
      <c r="C111" t="s">
        <v>1450</v>
      </c>
      <c r="D111" t="s">
        <v>202</v>
      </c>
      <c r="F111">
        <v>4.9029309999999997</v>
      </c>
      <c r="G111">
        <v>6.6316170000000003</v>
      </c>
      <c r="H111">
        <v>7.559685</v>
      </c>
      <c r="I111">
        <v>8.050122</v>
      </c>
      <c r="J111">
        <v>8.2876220000000007</v>
      </c>
      <c r="K111">
        <v>8.5268130000000006</v>
      </c>
      <c r="L111">
        <v>8.7675959999999993</v>
      </c>
      <c r="M111">
        <v>9.0110759999999992</v>
      </c>
      <c r="N111">
        <v>9.2586300000000001</v>
      </c>
      <c r="O111">
        <v>9.5081220000000002</v>
      </c>
      <c r="P111">
        <v>9.7557609999999997</v>
      </c>
      <c r="Q111">
        <v>10.003282</v>
      </c>
      <c r="R111">
        <v>10.25118</v>
      </c>
      <c r="S111">
        <v>10.489587</v>
      </c>
      <c r="T111">
        <v>10.725602</v>
      </c>
      <c r="U111">
        <v>10.967332000000001</v>
      </c>
      <c r="V111">
        <v>11.212358</v>
      </c>
      <c r="W111">
        <v>11.454371999999999</v>
      </c>
      <c r="X111">
        <v>11.693458</v>
      </c>
      <c r="Y111">
        <v>11.933901000000001</v>
      </c>
      <c r="Z111">
        <v>12.176525</v>
      </c>
      <c r="AA111">
        <v>12.421250000000001</v>
      </c>
      <c r="AB111">
        <v>12.667951</v>
      </c>
      <c r="AC111">
        <v>12.916296000000001</v>
      </c>
      <c r="AD111">
        <v>13.165709</v>
      </c>
      <c r="AE111">
        <v>13.416244000000001</v>
      </c>
      <c r="AF111">
        <v>13.669560000000001</v>
      </c>
      <c r="AG111">
        <v>13.925858</v>
      </c>
      <c r="AH111">
        <v>14.185025</v>
      </c>
      <c r="AI111" s="22">
        <v>3.9E-2</v>
      </c>
    </row>
    <row r="112" spans="1:35">
      <c r="A112" t="s">
        <v>1268</v>
      </c>
      <c r="B112" t="s">
        <v>1451</v>
      </c>
      <c r="C112" t="s">
        <v>1452</v>
      </c>
      <c r="D112" t="s">
        <v>202</v>
      </c>
      <c r="F112">
        <v>47.442936000000003</v>
      </c>
      <c r="G112">
        <v>63.984814</v>
      </c>
      <c r="H112">
        <v>76.679648999999998</v>
      </c>
      <c r="I112">
        <v>84.804374999999993</v>
      </c>
      <c r="J112">
        <v>96.071860999999998</v>
      </c>
      <c r="K112">
        <v>103.20470400000001</v>
      </c>
      <c r="L112">
        <v>109.64166299999999</v>
      </c>
      <c r="M112">
        <v>113.054253</v>
      </c>
      <c r="N112">
        <v>116.271835</v>
      </c>
      <c r="O112">
        <v>118.54128300000001</v>
      </c>
      <c r="P112">
        <v>119.45050000000001</v>
      </c>
      <c r="Q112">
        <v>120.097984</v>
      </c>
      <c r="R112">
        <v>120.730469</v>
      </c>
      <c r="S112">
        <v>121.325287</v>
      </c>
      <c r="T112">
        <v>121.94425200000001</v>
      </c>
      <c r="U112">
        <v>122.356194</v>
      </c>
      <c r="V112">
        <v>122.580017</v>
      </c>
      <c r="W112">
        <v>122.83268700000001</v>
      </c>
      <c r="X112">
        <v>123.255264</v>
      </c>
      <c r="Y112">
        <v>123.997055</v>
      </c>
      <c r="Z112">
        <v>125.002296</v>
      </c>
      <c r="AA112">
        <v>126.128738</v>
      </c>
      <c r="AB112">
        <v>127.33571600000001</v>
      </c>
      <c r="AC112">
        <v>128.549927</v>
      </c>
      <c r="AD112">
        <v>129.68714900000001</v>
      </c>
      <c r="AE112">
        <v>130.74594099999999</v>
      </c>
      <c r="AF112">
        <v>131.83163500000001</v>
      </c>
      <c r="AG112">
        <v>133.03767400000001</v>
      </c>
      <c r="AH112">
        <v>134.431183</v>
      </c>
      <c r="AI112" s="22">
        <v>3.7999999999999999E-2</v>
      </c>
    </row>
    <row r="113" spans="1:35">
      <c r="A113" t="s">
        <v>217</v>
      </c>
      <c r="B113" t="s">
        <v>1453</v>
      </c>
      <c r="C113" t="s">
        <v>1454</v>
      </c>
      <c r="D113" t="s">
        <v>202</v>
      </c>
      <c r="F113">
        <v>18.514890999999999</v>
      </c>
      <c r="G113">
        <v>23.544308000000001</v>
      </c>
      <c r="H113">
        <v>27.278258999999998</v>
      </c>
      <c r="I113">
        <v>29.958317000000001</v>
      </c>
      <c r="J113">
        <v>33.320217</v>
      </c>
      <c r="K113">
        <v>35.412486999999999</v>
      </c>
      <c r="L113">
        <v>37.304820999999997</v>
      </c>
      <c r="M113">
        <v>38.347121999999999</v>
      </c>
      <c r="N113">
        <v>39.329655000000002</v>
      </c>
      <c r="O113">
        <v>40.027821000000003</v>
      </c>
      <c r="P113">
        <v>40.319026999999998</v>
      </c>
      <c r="Q113">
        <v>40.531295999999998</v>
      </c>
      <c r="R113">
        <v>40.737929999999999</v>
      </c>
      <c r="S113">
        <v>40.931778000000001</v>
      </c>
      <c r="T113">
        <v>41.131241000000003</v>
      </c>
      <c r="U113">
        <v>41.267432999999997</v>
      </c>
      <c r="V113">
        <v>41.346015999999999</v>
      </c>
      <c r="W113">
        <v>41.431797000000003</v>
      </c>
      <c r="X113">
        <v>41.566597000000002</v>
      </c>
      <c r="Y113">
        <v>41.795025000000003</v>
      </c>
      <c r="Z113">
        <v>42.100310999999998</v>
      </c>
      <c r="AA113">
        <v>42.440052000000001</v>
      </c>
      <c r="AB113">
        <v>42.802154999999999</v>
      </c>
      <c r="AC113">
        <v>43.164817999999997</v>
      </c>
      <c r="AD113">
        <v>43.502853000000002</v>
      </c>
      <c r="AE113">
        <v>43.815761999999999</v>
      </c>
      <c r="AF113">
        <v>44.134929999999997</v>
      </c>
      <c r="AG113">
        <v>44.488182000000002</v>
      </c>
      <c r="AH113">
        <v>44.895415999999997</v>
      </c>
      <c r="AI113" s="22">
        <v>3.2000000000000001E-2</v>
      </c>
    </row>
    <row r="114" spans="1:35">
      <c r="A114" t="s">
        <v>218</v>
      </c>
      <c r="B114" t="s">
        <v>1455</v>
      </c>
      <c r="C114" t="s">
        <v>1456</v>
      </c>
      <c r="D114" t="s">
        <v>202</v>
      </c>
      <c r="F114">
        <v>28.078714000000002</v>
      </c>
      <c r="G114">
        <v>39.546764000000003</v>
      </c>
      <c r="H114">
        <v>48.440437000000003</v>
      </c>
      <c r="I114">
        <v>53.814338999999997</v>
      </c>
      <c r="J114">
        <v>61.674225</v>
      </c>
      <c r="K114">
        <v>66.691176999999996</v>
      </c>
      <c r="L114">
        <v>71.213875000000002</v>
      </c>
      <c r="M114">
        <v>73.566772</v>
      </c>
      <c r="N114">
        <v>75.785445999999993</v>
      </c>
      <c r="O114">
        <v>77.344414</v>
      </c>
      <c r="P114">
        <v>77.955794999999995</v>
      </c>
      <c r="Q114">
        <v>78.385551000000007</v>
      </c>
      <c r="R114">
        <v>78.806213</v>
      </c>
      <c r="S114">
        <v>79.202354</v>
      </c>
      <c r="T114">
        <v>79.617142000000001</v>
      </c>
      <c r="U114">
        <v>79.889267000000004</v>
      </c>
      <c r="V114">
        <v>80.031859999999995</v>
      </c>
      <c r="W114">
        <v>80.196190000000001</v>
      </c>
      <c r="X114">
        <v>80.480971999999994</v>
      </c>
      <c r="Y114">
        <v>80.990279999999998</v>
      </c>
      <c r="Z114">
        <v>81.685349000000002</v>
      </c>
      <c r="AA114">
        <v>82.466942000000003</v>
      </c>
      <c r="AB114">
        <v>83.306633000000005</v>
      </c>
      <c r="AC114">
        <v>84.153221000000002</v>
      </c>
      <c r="AD114">
        <v>84.947968000000003</v>
      </c>
      <c r="AE114">
        <v>85.690010000000001</v>
      </c>
      <c r="AF114">
        <v>86.452820000000003</v>
      </c>
      <c r="AG114">
        <v>87.301688999999996</v>
      </c>
      <c r="AH114">
        <v>88.283600000000007</v>
      </c>
      <c r="AI114" s="22">
        <v>4.2000000000000003E-2</v>
      </c>
    </row>
    <row r="115" spans="1:35">
      <c r="A115" t="s">
        <v>219</v>
      </c>
      <c r="B115" t="s">
        <v>1457</v>
      </c>
      <c r="C115" t="s">
        <v>1458</v>
      </c>
      <c r="D115" t="s">
        <v>202</v>
      </c>
      <c r="F115">
        <v>0.84932799999999997</v>
      </c>
      <c r="G115">
        <v>0.89373599999999997</v>
      </c>
      <c r="H115">
        <v>0.960955</v>
      </c>
      <c r="I115">
        <v>1.031712</v>
      </c>
      <c r="J115">
        <v>1.077413</v>
      </c>
      <c r="K115">
        <v>1.10103</v>
      </c>
      <c r="L115">
        <v>1.1229610000000001</v>
      </c>
      <c r="M115">
        <v>1.14036</v>
      </c>
      <c r="N115">
        <v>1.1567350000000001</v>
      </c>
      <c r="O115">
        <v>1.169046</v>
      </c>
      <c r="P115">
        <v>1.1756770000000001</v>
      </c>
      <c r="Q115">
        <v>1.1811229999999999</v>
      </c>
      <c r="R115">
        <v>1.186334</v>
      </c>
      <c r="S115">
        <v>1.1911659999999999</v>
      </c>
      <c r="T115">
        <v>1.1958610000000001</v>
      </c>
      <c r="U115">
        <v>1.1994929999999999</v>
      </c>
      <c r="V115">
        <v>1.2021440000000001</v>
      </c>
      <c r="W115">
        <v>1.2047049999999999</v>
      </c>
      <c r="X115">
        <v>1.2077059999999999</v>
      </c>
      <c r="Y115">
        <v>1.2117629999999999</v>
      </c>
      <c r="Z115">
        <v>1.2166319999999999</v>
      </c>
      <c r="AA115">
        <v>1.221738</v>
      </c>
      <c r="AB115">
        <v>1.226926</v>
      </c>
      <c r="AC115">
        <v>1.231905</v>
      </c>
      <c r="AD115">
        <v>1.2363299999999999</v>
      </c>
      <c r="AE115">
        <v>1.2401800000000001</v>
      </c>
      <c r="AF115">
        <v>1.243879</v>
      </c>
      <c r="AG115">
        <v>1.247797</v>
      </c>
      <c r="AH115">
        <v>1.2521850000000001</v>
      </c>
      <c r="AI115" s="22">
        <v>1.4E-2</v>
      </c>
    </row>
    <row r="116" spans="1:35">
      <c r="A116" t="s">
        <v>1271</v>
      </c>
      <c r="B116" t="s">
        <v>1459</v>
      </c>
      <c r="C116" t="s">
        <v>1460</v>
      </c>
      <c r="D116" t="s">
        <v>202</v>
      </c>
      <c r="F116">
        <v>142.31442300000001</v>
      </c>
      <c r="G116">
        <v>151.89007599999999</v>
      </c>
      <c r="H116">
        <v>163.864655</v>
      </c>
      <c r="I116">
        <v>171.73625200000001</v>
      </c>
      <c r="J116">
        <v>178.46945199999999</v>
      </c>
      <c r="K116">
        <v>183.10032699999999</v>
      </c>
      <c r="L116">
        <v>186.982193</v>
      </c>
      <c r="M116">
        <v>189.93190000000001</v>
      </c>
      <c r="N116">
        <v>192.93220500000001</v>
      </c>
      <c r="O116">
        <v>196.037003</v>
      </c>
      <c r="P116">
        <v>199.21478300000001</v>
      </c>
      <c r="Q116">
        <v>202.44252</v>
      </c>
      <c r="R116">
        <v>205.73057600000001</v>
      </c>
      <c r="S116">
        <v>209.08891299999999</v>
      </c>
      <c r="T116">
        <v>212.51480100000001</v>
      </c>
      <c r="U116">
        <v>216.002655</v>
      </c>
      <c r="V116">
        <v>219.55929599999999</v>
      </c>
      <c r="W116">
        <v>223.19146699999999</v>
      </c>
      <c r="X116">
        <v>226.899384</v>
      </c>
      <c r="Y116">
        <v>230.68907200000001</v>
      </c>
      <c r="Z116">
        <v>234.55947900000001</v>
      </c>
      <c r="AA116">
        <v>238.509064</v>
      </c>
      <c r="AB116">
        <v>242.53810100000001</v>
      </c>
      <c r="AC116">
        <v>246.64561499999999</v>
      </c>
      <c r="AD116">
        <v>250.83862300000001</v>
      </c>
      <c r="AE116">
        <v>255.11831699999999</v>
      </c>
      <c r="AF116">
        <v>259.48089599999997</v>
      </c>
      <c r="AG116">
        <v>263.92275999999998</v>
      </c>
      <c r="AH116">
        <v>268.437927</v>
      </c>
      <c r="AI116" s="22">
        <v>2.3E-2</v>
      </c>
    </row>
    <row r="117" spans="1:35">
      <c r="A117" t="s">
        <v>217</v>
      </c>
      <c r="B117" t="s">
        <v>1461</v>
      </c>
      <c r="C117" t="s">
        <v>1462</v>
      </c>
      <c r="D117" t="s">
        <v>202</v>
      </c>
      <c r="F117">
        <v>110.081108</v>
      </c>
      <c r="G117">
        <v>115.58123000000001</v>
      </c>
      <c r="H117">
        <v>122.967361</v>
      </c>
      <c r="I117">
        <v>127.819969</v>
      </c>
      <c r="J117">
        <v>132.20107999999999</v>
      </c>
      <c r="K117">
        <v>135.314087</v>
      </c>
      <c r="L117">
        <v>137.98341400000001</v>
      </c>
      <c r="M117">
        <v>140.101517</v>
      </c>
      <c r="N117">
        <v>142.25581399999999</v>
      </c>
      <c r="O117">
        <v>144.48762500000001</v>
      </c>
      <c r="P117">
        <v>146.77302599999999</v>
      </c>
      <c r="Q117">
        <v>149.094009</v>
      </c>
      <c r="R117">
        <v>151.45791600000001</v>
      </c>
      <c r="S117">
        <v>153.87184099999999</v>
      </c>
      <c r="T117">
        <v>156.33377100000001</v>
      </c>
      <c r="U117">
        <v>158.83955399999999</v>
      </c>
      <c r="V117">
        <v>161.39404300000001</v>
      </c>
      <c r="W117">
        <v>164.00202899999999</v>
      </c>
      <c r="X117">
        <v>166.662949</v>
      </c>
      <c r="Y117">
        <v>169.381439</v>
      </c>
      <c r="Z117">
        <v>172.15664699999999</v>
      </c>
      <c r="AA117">
        <v>174.987381</v>
      </c>
      <c r="AB117">
        <v>177.87385599999999</v>
      </c>
      <c r="AC117">
        <v>180.81530799999999</v>
      </c>
      <c r="AD117">
        <v>183.81668099999999</v>
      </c>
      <c r="AE117">
        <v>186.878784</v>
      </c>
      <c r="AF117">
        <v>189.99884</v>
      </c>
      <c r="AG117">
        <v>193.17420999999999</v>
      </c>
      <c r="AH117">
        <v>196.40057400000001</v>
      </c>
      <c r="AI117" s="22">
        <v>2.1000000000000001E-2</v>
      </c>
    </row>
    <row r="118" spans="1:35">
      <c r="A118" t="s">
        <v>218</v>
      </c>
      <c r="B118" t="s">
        <v>1463</v>
      </c>
      <c r="C118" t="s">
        <v>1464</v>
      </c>
      <c r="D118" t="s">
        <v>202</v>
      </c>
      <c r="F118">
        <v>17.723891999999999</v>
      </c>
      <c r="G118">
        <v>21.558128</v>
      </c>
      <c r="H118">
        <v>25.640647999999999</v>
      </c>
      <c r="I118">
        <v>28.409416</v>
      </c>
      <c r="J118">
        <v>30.442050999999999</v>
      </c>
      <c r="K118">
        <v>31.694476999999999</v>
      </c>
      <c r="L118">
        <v>32.657162</v>
      </c>
      <c r="M118">
        <v>33.257838999999997</v>
      </c>
      <c r="N118">
        <v>33.868983999999998</v>
      </c>
      <c r="O118">
        <v>34.497799000000001</v>
      </c>
      <c r="P118">
        <v>35.139740000000003</v>
      </c>
      <c r="Q118">
        <v>35.792296999999998</v>
      </c>
      <c r="R118">
        <v>36.457706000000002</v>
      </c>
      <c r="S118">
        <v>37.138069000000002</v>
      </c>
      <c r="T118">
        <v>37.832951000000001</v>
      </c>
      <c r="U118">
        <v>38.541350999999999</v>
      </c>
      <c r="V118">
        <v>39.264755000000001</v>
      </c>
      <c r="W118">
        <v>40.004631000000003</v>
      </c>
      <c r="X118">
        <v>40.762042999999998</v>
      </c>
      <c r="Y118">
        <v>41.537818999999999</v>
      </c>
      <c r="Z118">
        <v>42.331817999999998</v>
      </c>
      <c r="AA118">
        <v>43.143847999999998</v>
      </c>
      <c r="AB118">
        <v>43.973972000000003</v>
      </c>
      <c r="AC118">
        <v>44.822124000000002</v>
      </c>
      <c r="AD118">
        <v>45.689816</v>
      </c>
      <c r="AE118">
        <v>46.577365999999998</v>
      </c>
      <c r="AF118">
        <v>47.484093000000001</v>
      </c>
      <c r="AG118">
        <v>48.409294000000003</v>
      </c>
      <c r="AH118">
        <v>49.351832999999999</v>
      </c>
      <c r="AI118" s="22">
        <v>3.6999999999999998E-2</v>
      </c>
    </row>
    <row r="119" spans="1:35">
      <c r="A119" t="s">
        <v>219</v>
      </c>
      <c r="B119" t="s">
        <v>1465</v>
      </c>
      <c r="C119" t="s">
        <v>1466</v>
      </c>
      <c r="D119" t="s">
        <v>202</v>
      </c>
      <c r="F119">
        <v>14.50943</v>
      </c>
      <c r="G119">
        <v>14.750728000000001</v>
      </c>
      <c r="H119">
        <v>15.256656</v>
      </c>
      <c r="I119">
        <v>15.506875000000001</v>
      </c>
      <c r="J119">
        <v>15.82633</v>
      </c>
      <c r="K119">
        <v>16.091740000000001</v>
      </c>
      <c r="L119">
        <v>16.341602000000002</v>
      </c>
      <c r="M119">
        <v>16.572548000000001</v>
      </c>
      <c r="N119">
        <v>16.807404999999999</v>
      </c>
      <c r="O119">
        <v>17.051577000000002</v>
      </c>
      <c r="P119">
        <v>17.302004</v>
      </c>
      <c r="Q119">
        <v>17.556206</v>
      </c>
      <c r="R119">
        <v>17.814955000000001</v>
      </c>
      <c r="S119">
        <v>18.079001999999999</v>
      </c>
      <c r="T119">
        <v>18.348101</v>
      </c>
      <c r="U119">
        <v>18.621765</v>
      </c>
      <c r="V119">
        <v>18.900500999999998</v>
      </c>
      <c r="W119">
        <v>19.184811</v>
      </c>
      <c r="X119">
        <v>19.474388000000001</v>
      </c>
      <c r="Y119">
        <v>19.769831</v>
      </c>
      <c r="Z119">
        <v>20.071031999999999</v>
      </c>
      <c r="AA119">
        <v>20.377831</v>
      </c>
      <c r="AB119">
        <v>20.690248</v>
      </c>
      <c r="AC119">
        <v>21.008171000000001</v>
      </c>
      <c r="AD119">
        <v>21.332118999999999</v>
      </c>
      <c r="AE119">
        <v>21.662158999999999</v>
      </c>
      <c r="AF119">
        <v>21.997971</v>
      </c>
      <c r="AG119">
        <v>22.339255999999999</v>
      </c>
      <c r="AH119">
        <v>22.685524000000001</v>
      </c>
      <c r="AI119" s="22">
        <v>1.6E-2</v>
      </c>
    </row>
    <row r="120" spans="1:35">
      <c r="A120" t="s">
        <v>1274</v>
      </c>
      <c r="B120" t="s">
        <v>1467</v>
      </c>
      <c r="C120" t="s">
        <v>1468</v>
      </c>
      <c r="D120" t="s">
        <v>202</v>
      </c>
      <c r="F120">
        <v>48.721522999999998</v>
      </c>
      <c r="G120">
        <v>61.768990000000002</v>
      </c>
      <c r="H120">
        <v>73.845116000000004</v>
      </c>
      <c r="I120">
        <v>82.664268000000007</v>
      </c>
      <c r="J120">
        <v>90.551765000000003</v>
      </c>
      <c r="K120">
        <v>94.869156000000004</v>
      </c>
      <c r="L120">
        <v>98.194419999999994</v>
      </c>
      <c r="M120">
        <v>100.99239300000001</v>
      </c>
      <c r="N120">
        <v>103.867386</v>
      </c>
      <c r="O120">
        <v>106.882401</v>
      </c>
      <c r="P120">
        <v>109.995766</v>
      </c>
      <c r="Q120">
        <v>113.19216900000001</v>
      </c>
      <c r="R120">
        <v>116.47422</v>
      </c>
      <c r="S120">
        <v>119.84822800000001</v>
      </c>
      <c r="T120">
        <v>123.249786</v>
      </c>
      <c r="U120">
        <v>126.73764799999999</v>
      </c>
      <c r="V120">
        <v>130.315765</v>
      </c>
      <c r="W120">
        <v>133.98472599999999</v>
      </c>
      <c r="X120">
        <v>137.747986</v>
      </c>
      <c r="Y120">
        <v>141.534378</v>
      </c>
      <c r="Z120">
        <v>145.41456600000001</v>
      </c>
      <c r="AA120">
        <v>149.39035000000001</v>
      </c>
      <c r="AB120">
        <v>153.46047999999999</v>
      </c>
      <c r="AC120">
        <v>157.62562600000001</v>
      </c>
      <c r="AD120">
        <v>161.804001</v>
      </c>
      <c r="AE120">
        <v>166.075638</v>
      </c>
      <c r="AF120">
        <v>170.446091</v>
      </c>
      <c r="AG120">
        <v>174.919006</v>
      </c>
      <c r="AH120">
        <v>179.497559</v>
      </c>
      <c r="AI120" s="22">
        <v>4.8000000000000001E-2</v>
      </c>
    </row>
    <row r="121" spans="1:35">
      <c r="A121" t="s">
        <v>217</v>
      </c>
      <c r="B121" t="s">
        <v>1469</v>
      </c>
      <c r="C121" t="s">
        <v>1470</v>
      </c>
      <c r="D121" t="s">
        <v>202</v>
      </c>
      <c r="F121">
        <v>40.367882000000002</v>
      </c>
      <c r="G121">
        <v>51.182053000000003</v>
      </c>
      <c r="H121">
        <v>61.307991000000001</v>
      </c>
      <c r="I121">
        <v>68.604468999999995</v>
      </c>
      <c r="J121">
        <v>75.149856999999997</v>
      </c>
      <c r="K121">
        <v>78.746758</v>
      </c>
      <c r="L121">
        <v>81.512482000000006</v>
      </c>
      <c r="M121">
        <v>83.836219999999997</v>
      </c>
      <c r="N121">
        <v>86.223915000000005</v>
      </c>
      <c r="O121">
        <v>88.727737000000005</v>
      </c>
      <c r="P121">
        <v>91.313179000000005</v>
      </c>
      <c r="Q121">
        <v>93.967590000000001</v>
      </c>
      <c r="R121">
        <v>96.693107999999995</v>
      </c>
      <c r="S121">
        <v>99.494986999999995</v>
      </c>
      <c r="T121">
        <v>102.32</v>
      </c>
      <c r="U121">
        <v>105.216705</v>
      </c>
      <c r="V121">
        <v>108.188377</v>
      </c>
      <c r="W121">
        <v>111.235527</v>
      </c>
      <c r="X121">
        <v>114.361046</v>
      </c>
      <c r="Y121">
        <v>117.506035</v>
      </c>
      <c r="Z121">
        <v>120.728973</v>
      </c>
      <c r="AA121">
        <v>124.031364</v>
      </c>
      <c r="AB121">
        <v>127.412148</v>
      </c>
      <c r="AC121">
        <v>130.871872</v>
      </c>
      <c r="AD121">
        <v>134.342804</v>
      </c>
      <c r="AE121">
        <v>137.89123499999999</v>
      </c>
      <c r="AF121">
        <v>141.52177399999999</v>
      </c>
      <c r="AG121">
        <v>145.23748800000001</v>
      </c>
      <c r="AH121">
        <v>149.04101600000001</v>
      </c>
      <c r="AI121" s="22">
        <v>4.8000000000000001E-2</v>
      </c>
    </row>
    <row r="122" spans="1:35">
      <c r="A122" t="s">
        <v>218</v>
      </c>
      <c r="B122" t="s">
        <v>1471</v>
      </c>
      <c r="C122" t="s">
        <v>1472</v>
      </c>
      <c r="D122" t="s">
        <v>202</v>
      </c>
      <c r="F122">
        <v>4.8107499999999996</v>
      </c>
      <c r="G122">
        <v>6.1307200000000002</v>
      </c>
      <c r="H122">
        <v>7.171532</v>
      </c>
      <c r="I122">
        <v>7.9921449999999998</v>
      </c>
      <c r="J122">
        <v>8.7539029999999993</v>
      </c>
      <c r="K122">
        <v>9.1908320000000003</v>
      </c>
      <c r="L122">
        <v>9.5208630000000003</v>
      </c>
      <c r="M122">
        <v>9.7937060000000002</v>
      </c>
      <c r="N122">
        <v>10.074055</v>
      </c>
      <c r="O122">
        <v>10.367825</v>
      </c>
      <c r="P122">
        <v>10.671106999999999</v>
      </c>
      <c r="Q122">
        <v>10.982485</v>
      </c>
      <c r="R122">
        <v>11.302196</v>
      </c>
      <c r="S122">
        <v>11.630836</v>
      </c>
      <c r="T122">
        <v>11.962536999999999</v>
      </c>
      <c r="U122">
        <v>12.302671</v>
      </c>
      <c r="V122">
        <v>12.651629</v>
      </c>
      <c r="W122">
        <v>13.009482</v>
      </c>
      <c r="X122">
        <v>13.376611</v>
      </c>
      <c r="Y122">
        <v>13.746362</v>
      </c>
      <c r="Z122">
        <v>14.125339</v>
      </c>
      <c r="AA122">
        <v>14.513700999999999</v>
      </c>
      <c r="AB122">
        <v>14.911319000000001</v>
      </c>
      <c r="AC122">
        <v>15.318254</v>
      </c>
      <c r="AD122">
        <v>15.726773</v>
      </c>
      <c r="AE122">
        <v>16.144462999999998</v>
      </c>
      <c r="AF122">
        <v>16.571867000000001</v>
      </c>
      <c r="AG122">
        <v>17.009353999999998</v>
      </c>
      <c r="AH122">
        <v>17.457253999999999</v>
      </c>
      <c r="AI122" s="22">
        <v>4.7E-2</v>
      </c>
    </row>
    <row r="123" spans="1:35">
      <c r="A123" t="s">
        <v>219</v>
      </c>
      <c r="B123" t="s">
        <v>1473</v>
      </c>
      <c r="C123" t="s">
        <v>1474</v>
      </c>
      <c r="D123" t="s">
        <v>202</v>
      </c>
      <c r="F123">
        <v>3.542891</v>
      </c>
      <c r="G123">
        <v>4.4562160000000004</v>
      </c>
      <c r="H123">
        <v>5.3655970000000002</v>
      </c>
      <c r="I123">
        <v>6.0676459999999999</v>
      </c>
      <c r="J123">
        <v>6.6479980000000003</v>
      </c>
      <c r="K123">
        <v>6.9315740000000003</v>
      </c>
      <c r="L123">
        <v>7.161073</v>
      </c>
      <c r="M123">
        <v>7.3624660000000004</v>
      </c>
      <c r="N123">
        <v>7.5694160000000004</v>
      </c>
      <c r="O123">
        <v>7.7868430000000002</v>
      </c>
      <c r="P123">
        <v>8.0114780000000003</v>
      </c>
      <c r="Q123">
        <v>8.2420969999999993</v>
      </c>
      <c r="R123">
        <v>8.4789100000000008</v>
      </c>
      <c r="S123">
        <v>8.7224079999999997</v>
      </c>
      <c r="T123">
        <v>8.9672540000000005</v>
      </c>
      <c r="U123">
        <v>9.2182739999999992</v>
      </c>
      <c r="V123">
        <v>9.4757580000000008</v>
      </c>
      <c r="W123">
        <v>9.7397179999999999</v>
      </c>
      <c r="X123">
        <v>10.010329</v>
      </c>
      <c r="Y123">
        <v>10.281976999999999</v>
      </c>
      <c r="Z123">
        <v>10.560243</v>
      </c>
      <c r="AA123">
        <v>10.845281999999999</v>
      </c>
      <c r="AB123">
        <v>11.137014000000001</v>
      </c>
      <c r="AC123">
        <v>11.435499999999999</v>
      </c>
      <c r="AD123">
        <v>11.734435</v>
      </c>
      <c r="AE123">
        <v>12.039953000000001</v>
      </c>
      <c r="AF123">
        <v>12.352451</v>
      </c>
      <c r="AG123">
        <v>12.67216</v>
      </c>
      <c r="AH123">
        <v>12.999294000000001</v>
      </c>
      <c r="AI123" s="22">
        <v>4.8000000000000001E-2</v>
      </c>
    </row>
    <row r="124" spans="1:35">
      <c r="A124" t="s">
        <v>214</v>
      </c>
      <c r="B124" t="s">
        <v>1475</v>
      </c>
      <c r="C124" t="s">
        <v>1476</v>
      </c>
      <c r="D124" t="s">
        <v>202</v>
      </c>
      <c r="F124">
        <v>782.72277799999995</v>
      </c>
      <c r="G124">
        <v>779.99255400000004</v>
      </c>
      <c r="H124">
        <v>777.24194299999999</v>
      </c>
      <c r="I124">
        <v>836.20019500000001</v>
      </c>
      <c r="J124">
        <v>900.88647500000002</v>
      </c>
      <c r="K124">
        <v>959.77856399999996</v>
      </c>
      <c r="L124">
        <v>1015.328857</v>
      </c>
      <c r="M124">
        <v>1071.4494629999999</v>
      </c>
      <c r="N124">
        <v>1127.8001710000001</v>
      </c>
      <c r="O124">
        <v>1184.857544</v>
      </c>
      <c r="P124">
        <v>1242.602173</v>
      </c>
      <c r="Q124">
        <v>1300.8637699999999</v>
      </c>
      <c r="R124">
        <v>1359.7788089999999</v>
      </c>
      <c r="S124">
        <v>1419.6533199999999</v>
      </c>
      <c r="T124">
        <v>1480.3670649999999</v>
      </c>
      <c r="U124">
        <v>1541.5150149999999</v>
      </c>
      <c r="V124">
        <v>1603.139404</v>
      </c>
      <c r="W124">
        <v>1665.5854489999999</v>
      </c>
      <c r="X124">
        <v>1729.3858640000001</v>
      </c>
      <c r="Y124">
        <v>1795.155029</v>
      </c>
      <c r="Z124">
        <v>1862.857422</v>
      </c>
      <c r="AA124">
        <v>1931.973999</v>
      </c>
      <c r="AB124">
        <v>2001.8626710000001</v>
      </c>
      <c r="AC124">
        <v>2071.8183589999999</v>
      </c>
      <c r="AD124">
        <v>2141.7058109999998</v>
      </c>
      <c r="AE124">
        <v>2211.8625489999999</v>
      </c>
      <c r="AF124">
        <v>2282.0432129999999</v>
      </c>
      <c r="AG124">
        <v>2351.5871579999998</v>
      </c>
      <c r="AH124">
        <v>2419.7944339999999</v>
      </c>
      <c r="AI124" s="22">
        <v>4.1000000000000002E-2</v>
      </c>
    </row>
    <row r="125" spans="1:35">
      <c r="A125" t="s">
        <v>217</v>
      </c>
      <c r="B125" t="s">
        <v>1477</v>
      </c>
      <c r="C125" t="s">
        <v>1478</v>
      </c>
      <c r="D125" t="s">
        <v>202</v>
      </c>
      <c r="F125">
        <v>607.629639</v>
      </c>
      <c r="G125">
        <v>579.78564500000005</v>
      </c>
      <c r="H125">
        <v>554.85424799999998</v>
      </c>
      <c r="I125">
        <v>591.023865</v>
      </c>
      <c r="J125">
        <v>632.18890399999998</v>
      </c>
      <c r="K125">
        <v>672.03393600000004</v>
      </c>
      <c r="L125">
        <v>711.24945100000002</v>
      </c>
      <c r="M125">
        <v>750.78301999999996</v>
      </c>
      <c r="N125">
        <v>790.37164299999995</v>
      </c>
      <c r="O125">
        <v>830.36956799999996</v>
      </c>
      <c r="P125">
        <v>870.75842299999999</v>
      </c>
      <c r="Q125">
        <v>911.40508999999997</v>
      </c>
      <c r="R125">
        <v>952.40625</v>
      </c>
      <c r="S125">
        <v>993.98687700000005</v>
      </c>
      <c r="T125">
        <v>1036.053101</v>
      </c>
      <c r="U125">
        <v>1078.296143</v>
      </c>
      <c r="V125">
        <v>1120.742432</v>
      </c>
      <c r="W125">
        <v>1163.6453859999999</v>
      </c>
      <c r="X125">
        <v>1207.394775</v>
      </c>
      <c r="Y125">
        <v>1252.449341</v>
      </c>
      <c r="Z125">
        <v>1298.7775879999999</v>
      </c>
      <c r="AA125">
        <v>1345.984375</v>
      </c>
      <c r="AB125">
        <v>1393.5820309999999</v>
      </c>
      <c r="AC125">
        <v>1441.0375979999999</v>
      </c>
      <c r="AD125">
        <v>1488.2482910000001</v>
      </c>
      <c r="AE125">
        <v>1535.4626459999999</v>
      </c>
      <c r="AF125">
        <v>1582.492432</v>
      </c>
      <c r="AG125">
        <v>1628.837769</v>
      </c>
      <c r="AH125">
        <v>1673.9719239999999</v>
      </c>
      <c r="AI125" s="22">
        <v>3.6999999999999998E-2</v>
      </c>
    </row>
    <row r="126" spans="1:35">
      <c r="A126" t="s">
        <v>218</v>
      </c>
      <c r="B126" t="s">
        <v>1479</v>
      </c>
      <c r="C126" t="s">
        <v>1480</v>
      </c>
      <c r="D126" t="s">
        <v>202</v>
      </c>
      <c r="F126">
        <v>87.702171000000007</v>
      </c>
      <c r="G126">
        <v>118.64717899999999</v>
      </c>
      <c r="H126">
        <v>145.718872</v>
      </c>
      <c r="I126">
        <v>163.990128</v>
      </c>
      <c r="J126">
        <v>182.23019400000001</v>
      </c>
      <c r="K126">
        <v>195.94972200000001</v>
      </c>
      <c r="L126">
        <v>206.901611</v>
      </c>
      <c r="M126">
        <v>218.06899999999999</v>
      </c>
      <c r="N126">
        <v>229.41262800000001</v>
      </c>
      <c r="O126">
        <v>241.004807</v>
      </c>
      <c r="P126">
        <v>252.84724399999999</v>
      </c>
      <c r="Q126">
        <v>264.92242399999998</v>
      </c>
      <c r="R126">
        <v>277.25662199999999</v>
      </c>
      <c r="S126">
        <v>289.89932299999998</v>
      </c>
      <c r="T126">
        <v>302.83795199999997</v>
      </c>
      <c r="U126">
        <v>316.01998900000001</v>
      </c>
      <c r="V126">
        <v>329.458618</v>
      </c>
      <c r="W126">
        <v>343.209473</v>
      </c>
      <c r="X126">
        <v>357.36090100000001</v>
      </c>
      <c r="Y126">
        <v>372.00381499999997</v>
      </c>
      <c r="Z126">
        <v>387.13888500000002</v>
      </c>
      <c r="AA126">
        <v>402.69903599999998</v>
      </c>
      <c r="AB126">
        <v>418.59939600000001</v>
      </c>
      <c r="AC126">
        <v>434.743561</v>
      </c>
      <c r="AD126">
        <v>451.11456299999998</v>
      </c>
      <c r="AE126">
        <v>467.76574699999998</v>
      </c>
      <c r="AF126">
        <v>484.66757200000001</v>
      </c>
      <c r="AG126">
        <v>501.73037699999998</v>
      </c>
      <c r="AH126">
        <v>518.85571300000004</v>
      </c>
      <c r="AI126" s="22">
        <v>6.6000000000000003E-2</v>
      </c>
    </row>
    <row r="127" spans="1:35">
      <c r="A127" t="s">
        <v>219</v>
      </c>
      <c r="B127" t="s">
        <v>1481</v>
      </c>
      <c r="C127" t="s">
        <v>1482</v>
      </c>
      <c r="D127" t="s">
        <v>202</v>
      </c>
      <c r="F127">
        <v>87.390906999999999</v>
      </c>
      <c r="G127">
        <v>81.559792000000002</v>
      </c>
      <c r="H127">
        <v>76.668800000000005</v>
      </c>
      <c r="I127">
        <v>81.186179999999993</v>
      </c>
      <c r="J127">
        <v>86.467392000000004</v>
      </c>
      <c r="K127">
        <v>91.794830000000005</v>
      </c>
      <c r="L127">
        <v>97.177802999999997</v>
      </c>
      <c r="M127">
        <v>102.597488</v>
      </c>
      <c r="N127">
        <v>108.01593800000001</v>
      </c>
      <c r="O127">
        <v>113.483192</v>
      </c>
      <c r="P127">
        <v>118.996407</v>
      </c>
      <c r="Q127">
        <v>124.536186</v>
      </c>
      <c r="R127">
        <v>130.11586</v>
      </c>
      <c r="S127">
        <v>135.76705899999999</v>
      </c>
      <c r="T127">
        <v>141.47612000000001</v>
      </c>
      <c r="U127">
        <v>147.198837</v>
      </c>
      <c r="V127">
        <v>152.938492</v>
      </c>
      <c r="W127">
        <v>158.73074299999999</v>
      </c>
      <c r="X127">
        <v>164.63017300000001</v>
      </c>
      <c r="Y127">
        <v>170.70181299999999</v>
      </c>
      <c r="Z127">
        <v>176.94079600000001</v>
      </c>
      <c r="AA127">
        <v>183.29051200000001</v>
      </c>
      <c r="AB127">
        <v>189.68124399999999</v>
      </c>
      <c r="AC127">
        <v>196.03698700000001</v>
      </c>
      <c r="AD127">
        <v>202.342896</v>
      </c>
      <c r="AE127">
        <v>208.634064</v>
      </c>
      <c r="AF127">
        <v>214.88330099999999</v>
      </c>
      <c r="AG127">
        <v>221.019318</v>
      </c>
      <c r="AH127">
        <v>226.96713299999999</v>
      </c>
      <c r="AI127" s="22">
        <v>3.5000000000000003E-2</v>
      </c>
    </row>
    <row r="128" spans="1:35">
      <c r="A128" t="s">
        <v>1279</v>
      </c>
      <c r="B128" t="s">
        <v>1483</v>
      </c>
      <c r="C128" t="s">
        <v>1484</v>
      </c>
      <c r="D128" t="s">
        <v>202</v>
      </c>
      <c r="F128">
        <v>105.801849</v>
      </c>
      <c r="G128">
        <v>131.08637999999999</v>
      </c>
      <c r="H128">
        <v>148.97323600000001</v>
      </c>
      <c r="I128">
        <v>162.49697900000001</v>
      </c>
      <c r="J128">
        <v>182.242538</v>
      </c>
      <c r="K128">
        <v>199.04045099999999</v>
      </c>
      <c r="L128">
        <v>215.68579099999999</v>
      </c>
      <c r="M128">
        <v>233.66879299999999</v>
      </c>
      <c r="N128">
        <v>252.08363299999999</v>
      </c>
      <c r="O128">
        <v>270.79431199999999</v>
      </c>
      <c r="P128">
        <v>289.70480300000003</v>
      </c>
      <c r="Q128">
        <v>308.69137599999999</v>
      </c>
      <c r="R128">
        <v>327.61547899999999</v>
      </c>
      <c r="S128">
        <v>346.53881799999999</v>
      </c>
      <c r="T128">
        <v>365.61932400000001</v>
      </c>
      <c r="U128">
        <v>385.17947400000003</v>
      </c>
      <c r="V128">
        <v>405.21984900000001</v>
      </c>
      <c r="W128">
        <v>425.707581</v>
      </c>
      <c r="X128">
        <v>446.58886699999999</v>
      </c>
      <c r="Y128">
        <v>467.84079000000003</v>
      </c>
      <c r="Z128">
        <v>489.42877199999998</v>
      </c>
      <c r="AA128">
        <v>511.33187900000001</v>
      </c>
      <c r="AB128">
        <v>533.48980700000004</v>
      </c>
      <c r="AC128">
        <v>555.85424799999998</v>
      </c>
      <c r="AD128">
        <v>578.37213099999997</v>
      </c>
      <c r="AE128">
        <v>600.98870799999997</v>
      </c>
      <c r="AF128">
        <v>623.63964799999997</v>
      </c>
      <c r="AG128">
        <v>646.26062000000002</v>
      </c>
      <c r="AH128">
        <v>668.79229699999996</v>
      </c>
      <c r="AI128" s="22">
        <v>6.8000000000000005E-2</v>
      </c>
    </row>
    <row r="129" spans="1:35">
      <c r="A129" t="s">
        <v>217</v>
      </c>
      <c r="B129" t="s">
        <v>1485</v>
      </c>
      <c r="C129" t="s">
        <v>1486</v>
      </c>
      <c r="D129" t="s">
        <v>202</v>
      </c>
      <c r="F129">
        <v>75.193489</v>
      </c>
      <c r="G129">
        <v>88.749320999999995</v>
      </c>
      <c r="H129">
        <v>96.573020999999997</v>
      </c>
      <c r="I129">
        <v>102.475159</v>
      </c>
      <c r="J129">
        <v>114.042053</v>
      </c>
      <c r="K129">
        <v>124.892517</v>
      </c>
      <c r="L129">
        <v>135.918442</v>
      </c>
      <c r="M129">
        <v>147.58873</v>
      </c>
      <c r="N129">
        <v>159.55355800000001</v>
      </c>
      <c r="O129">
        <v>171.721115</v>
      </c>
      <c r="P129">
        <v>184.025848</v>
      </c>
      <c r="Q129">
        <v>196.38386499999999</v>
      </c>
      <c r="R129">
        <v>208.70137</v>
      </c>
      <c r="S129">
        <v>221.01852400000001</v>
      </c>
      <c r="T129">
        <v>233.43985000000001</v>
      </c>
      <c r="U129">
        <v>246.18055699999999</v>
      </c>
      <c r="V129">
        <v>259.24078400000002</v>
      </c>
      <c r="W129">
        <v>272.59823599999999</v>
      </c>
      <c r="X129">
        <v>286.21472199999999</v>
      </c>
      <c r="Y129">
        <v>300.07556199999999</v>
      </c>
      <c r="Z129">
        <v>314.157196</v>
      </c>
      <c r="AA129">
        <v>328.44482399999998</v>
      </c>
      <c r="AB129">
        <v>342.89700299999998</v>
      </c>
      <c r="AC129">
        <v>357.48037699999998</v>
      </c>
      <c r="AD129">
        <v>372.15881300000001</v>
      </c>
      <c r="AE129">
        <v>386.89511099999999</v>
      </c>
      <c r="AF129">
        <v>401.64532500000001</v>
      </c>
      <c r="AG129">
        <v>416.36498999999998</v>
      </c>
      <c r="AH129">
        <v>431.01361100000003</v>
      </c>
      <c r="AI129" s="22">
        <v>6.4000000000000001E-2</v>
      </c>
    </row>
    <row r="130" spans="1:35">
      <c r="A130" t="s">
        <v>218</v>
      </c>
      <c r="B130" t="s">
        <v>1487</v>
      </c>
      <c r="C130" t="s">
        <v>1488</v>
      </c>
      <c r="D130" t="s">
        <v>202</v>
      </c>
      <c r="F130">
        <v>20.681094999999999</v>
      </c>
      <c r="G130">
        <v>31.151104</v>
      </c>
      <c r="H130">
        <v>40.734214999999999</v>
      </c>
      <c r="I130">
        <v>48.025737999999997</v>
      </c>
      <c r="J130">
        <v>54.971947</v>
      </c>
      <c r="K130">
        <v>59.613852999999999</v>
      </c>
      <c r="L130">
        <v>63.869911000000002</v>
      </c>
      <c r="M130">
        <v>68.771148999999994</v>
      </c>
      <c r="N130">
        <v>73.772148000000001</v>
      </c>
      <c r="O130">
        <v>78.840309000000005</v>
      </c>
      <c r="P130">
        <v>83.953598</v>
      </c>
      <c r="Q130">
        <v>89.082618999999994</v>
      </c>
      <c r="R130">
        <v>94.194580000000002</v>
      </c>
      <c r="S130">
        <v>99.306160000000006</v>
      </c>
      <c r="T130">
        <v>104.45790100000001</v>
      </c>
      <c r="U130">
        <v>109.730125</v>
      </c>
      <c r="V130">
        <v>115.12342099999999</v>
      </c>
      <c r="W130">
        <v>120.629929</v>
      </c>
      <c r="X130">
        <v>126.239189</v>
      </c>
      <c r="Y130">
        <v>131.944626</v>
      </c>
      <c r="Z130">
        <v>137.73826600000001</v>
      </c>
      <c r="AA130">
        <v>143.61595199999999</v>
      </c>
      <c r="AB130">
        <v>149.56410199999999</v>
      </c>
      <c r="AC130">
        <v>155.57214400000001</v>
      </c>
      <c r="AD130">
        <v>161.627579</v>
      </c>
      <c r="AE130">
        <v>167.71759</v>
      </c>
      <c r="AF130">
        <v>173.827698</v>
      </c>
      <c r="AG130">
        <v>179.94335899999999</v>
      </c>
      <c r="AH130">
        <v>186.051331</v>
      </c>
      <c r="AI130" s="22">
        <v>8.2000000000000003E-2</v>
      </c>
    </row>
    <row r="131" spans="1:35">
      <c r="A131" t="s">
        <v>219</v>
      </c>
      <c r="B131" t="s">
        <v>1489</v>
      </c>
      <c r="C131" t="s">
        <v>1490</v>
      </c>
      <c r="D131" t="s">
        <v>202</v>
      </c>
      <c r="F131">
        <v>9.9272690000000008</v>
      </c>
      <c r="G131">
        <v>11.185945</v>
      </c>
      <c r="H131">
        <v>11.666002000000001</v>
      </c>
      <c r="I131">
        <v>11.996092000000001</v>
      </c>
      <c r="J131">
        <v>13.228529999999999</v>
      </c>
      <c r="K131">
        <v>14.534067</v>
      </c>
      <c r="L131">
        <v>15.897460000000001</v>
      </c>
      <c r="M131">
        <v>17.308926</v>
      </c>
      <c r="N131">
        <v>18.757919000000001</v>
      </c>
      <c r="O131">
        <v>20.232868</v>
      </c>
      <c r="P131">
        <v>21.725401000000002</v>
      </c>
      <c r="Q131">
        <v>23.224907000000002</v>
      </c>
      <c r="R131">
        <v>24.719524</v>
      </c>
      <c r="S131">
        <v>26.214109000000001</v>
      </c>
      <c r="T131">
        <v>27.721582000000001</v>
      </c>
      <c r="U131">
        <v>29.26877</v>
      </c>
      <c r="V131">
        <v>30.855650000000001</v>
      </c>
      <c r="W131">
        <v>32.479407999999999</v>
      </c>
      <c r="X131">
        <v>34.134968000000001</v>
      </c>
      <c r="Y131">
        <v>35.820602000000001</v>
      </c>
      <c r="Z131">
        <v>37.533295000000003</v>
      </c>
      <c r="AA131">
        <v>39.271095000000003</v>
      </c>
      <c r="AB131">
        <v>41.028694000000002</v>
      </c>
      <c r="AC131">
        <v>42.801788000000002</v>
      </c>
      <c r="AD131">
        <v>44.585773000000003</v>
      </c>
      <c r="AE131">
        <v>46.375937999999998</v>
      </c>
      <c r="AF131">
        <v>48.166649</v>
      </c>
      <c r="AG131">
        <v>49.952205999999997</v>
      </c>
      <c r="AH131">
        <v>51.727398000000001</v>
      </c>
      <c r="AI131" s="22">
        <v>6.0999999999999999E-2</v>
      </c>
    </row>
    <row r="132" spans="1:35">
      <c r="A132" t="s">
        <v>1282</v>
      </c>
      <c r="B132" t="s">
        <v>1491</v>
      </c>
      <c r="C132" t="s">
        <v>1492</v>
      </c>
      <c r="D132" t="s">
        <v>202</v>
      </c>
      <c r="F132">
        <v>375.91976899999997</v>
      </c>
      <c r="G132">
        <v>481.70532200000002</v>
      </c>
      <c r="H132">
        <v>566.80071999999996</v>
      </c>
      <c r="I132">
        <v>619.48498500000005</v>
      </c>
      <c r="J132">
        <v>692.50787400000002</v>
      </c>
      <c r="K132">
        <v>742.44305399999996</v>
      </c>
      <c r="L132">
        <v>789.48498500000005</v>
      </c>
      <c r="M132">
        <v>826.39794900000004</v>
      </c>
      <c r="N132">
        <v>863.72631799999999</v>
      </c>
      <c r="O132">
        <v>901.85369900000001</v>
      </c>
      <c r="P132">
        <v>941.02893100000006</v>
      </c>
      <c r="Q132">
        <v>981.25726299999997</v>
      </c>
      <c r="R132">
        <v>1022.627808</v>
      </c>
      <c r="S132">
        <v>1065.224731</v>
      </c>
      <c r="T132">
        <v>1108.5661620000001</v>
      </c>
      <c r="U132">
        <v>1153.0804439999999</v>
      </c>
      <c r="V132">
        <v>1198.8654790000001</v>
      </c>
      <c r="W132">
        <v>1245.9023440000001</v>
      </c>
      <c r="X132">
        <v>1294.303101</v>
      </c>
      <c r="Y132">
        <v>1343.3957519999999</v>
      </c>
      <c r="Z132">
        <v>1393.615845</v>
      </c>
      <c r="AA132">
        <v>1445.0317379999999</v>
      </c>
      <c r="AB132">
        <v>1497.6895750000001</v>
      </c>
      <c r="AC132">
        <v>1551.5473629999999</v>
      </c>
      <c r="AD132">
        <v>1605.368774</v>
      </c>
      <c r="AE132">
        <v>1660.1064449999999</v>
      </c>
      <c r="AF132">
        <v>1716.0744629999999</v>
      </c>
      <c r="AG132">
        <v>1773.384644</v>
      </c>
      <c r="AH132">
        <v>1832.1719969999999</v>
      </c>
      <c r="AI132" s="22">
        <v>5.8000000000000003E-2</v>
      </c>
    </row>
    <row r="133" spans="1:35">
      <c r="A133" t="s">
        <v>217</v>
      </c>
      <c r="B133" t="s">
        <v>1493</v>
      </c>
      <c r="C133" t="s">
        <v>1494</v>
      </c>
      <c r="D133" t="s">
        <v>202</v>
      </c>
      <c r="F133">
        <v>202.08255</v>
      </c>
      <c r="G133">
        <v>239.99041700000001</v>
      </c>
      <c r="H133">
        <v>264.53637700000002</v>
      </c>
      <c r="I133">
        <v>278.37924199999998</v>
      </c>
      <c r="J133">
        <v>305.40206899999998</v>
      </c>
      <c r="K133">
        <v>325.109375</v>
      </c>
      <c r="L133">
        <v>344.39532500000001</v>
      </c>
      <c r="M133">
        <v>361.64950599999997</v>
      </c>
      <c r="N133">
        <v>379.05777</v>
      </c>
      <c r="O133">
        <v>396.874908</v>
      </c>
      <c r="P133">
        <v>415.19317599999999</v>
      </c>
      <c r="Q133">
        <v>434.01336700000002</v>
      </c>
      <c r="R133">
        <v>453.38519300000002</v>
      </c>
      <c r="S133">
        <v>473.35357699999997</v>
      </c>
      <c r="T133">
        <v>493.69140599999997</v>
      </c>
      <c r="U133">
        <v>514.59161400000005</v>
      </c>
      <c r="V133">
        <v>536.10888699999998</v>
      </c>
      <c r="W133">
        <v>558.22985800000004</v>
      </c>
      <c r="X133">
        <v>581.01440400000001</v>
      </c>
      <c r="Y133">
        <v>604.13098100000002</v>
      </c>
      <c r="Z133">
        <v>627.776794</v>
      </c>
      <c r="AA133">
        <v>651.98644999999999</v>
      </c>
      <c r="AB133">
        <v>676.78234899999995</v>
      </c>
      <c r="AC133">
        <v>702.13751200000002</v>
      </c>
      <c r="AD133">
        <v>727.42218000000003</v>
      </c>
      <c r="AE133">
        <v>753.10339399999998</v>
      </c>
      <c r="AF133">
        <v>779.35504200000003</v>
      </c>
      <c r="AG133">
        <v>806.23724400000003</v>
      </c>
      <c r="AH133">
        <v>833.82495100000006</v>
      </c>
      <c r="AI133" s="22">
        <v>5.1999999999999998E-2</v>
      </c>
    </row>
    <row r="134" spans="1:35">
      <c r="A134" t="s">
        <v>218</v>
      </c>
      <c r="B134" t="s">
        <v>1495</v>
      </c>
      <c r="C134" t="s">
        <v>1496</v>
      </c>
      <c r="D134" t="s">
        <v>202</v>
      </c>
      <c r="F134">
        <v>155.46173099999999</v>
      </c>
      <c r="G134">
        <v>220.74285900000001</v>
      </c>
      <c r="H134">
        <v>279.43624899999998</v>
      </c>
      <c r="I134">
        <v>317.849243</v>
      </c>
      <c r="J134">
        <v>362.02066000000002</v>
      </c>
      <c r="K134">
        <v>390.80450400000001</v>
      </c>
      <c r="L134">
        <v>417.08648699999998</v>
      </c>
      <c r="M134">
        <v>435.25451700000002</v>
      </c>
      <c r="N134">
        <v>453.67334</v>
      </c>
      <c r="O134">
        <v>472.444458</v>
      </c>
      <c r="P134">
        <v>491.71816999999999</v>
      </c>
      <c r="Q134">
        <v>511.49902300000002</v>
      </c>
      <c r="R134">
        <v>531.82147199999997</v>
      </c>
      <c r="S134">
        <v>552.72070299999996</v>
      </c>
      <c r="T134">
        <v>573.96124299999997</v>
      </c>
      <c r="U134">
        <v>595.76293899999996</v>
      </c>
      <c r="V134">
        <v>618.16339100000005</v>
      </c>
      <c r="W134">
        <v>641.15844700000002</v>
      </c>
      <c r="X134">
        <v>664.79449499999998</v>
      </c>
      <c r="Y134">
        <v>688.76110800000004</v>
      </c>
      <c r="Z134">
        <v>713.28021200000001</v>
      </c>
      <c r="AA134">
        <v>738.38207999999997</v>
      </c>
      <c r="AB134">
        <v>764.08868399999994</v>
      </c>
      <c r="AC134">
        <v>790.38763400000005</v>
      </c>
      <c r="AD134">
        <v>816.730591</v>
      </c>
      <c r="AE134">
        <v>843.56140100000005</v>
      </c>
      <c r="AF134">
        <v>871.00286900000003</v>
      </c>
      <c r="AG134">
        <v>899.10162400000002</v>
      </c>
      <c r="AH134">
        <v>927.90972899999997</v>
      </c>
      <c r="AI134" s="22">
        <v>6.6000000000000003E-2</v>
      </c>
    </row>
    <row r="135" spans="1:35">
      <c r="A135" t="s">
        <v>219</v>
      </c>
      <c r="B135" t="s">
        <v>1497</v>
      </c>
      <c r="C135" t="s">
        <v>1498</v>
      </c>
      <c r="D135" t="s">
        <v>202</v>
      </c>
      <c r="F135">
        <v>18.375473</v>
      </c>
      <c r="G135">
        <v>20.972035999999999</v>
      </c>
      <c r="H135">
        <v>22.828130999999999</v>
      </c>
      <c r="I135">
        <v>23.256474000000001</v>
      </c>
      <c r="J135">
        <v>25.085111999999999</v>
      </c>
      <c r="K135">
        <v>26.529171000000002</v>
      </c>
      <c r="L135">
        <v>28.003108999999998</v>
      </c>
      <c r="M135">
        <v>29.493925000000001</v>
      </c>
      <c r="N135">
        <v>30.995201000000002</v>
      </c>
      <c r="O135">
        <v>32.534325000000003</v>
      </c>
      <c r="P135">
        <v>34.117558000000002</v>
      </c>
      <c r="Q135">
        <v>35.744843000000003</v>
      </c>
      <c r="R135">
        <v>37.421059</v>
      </c>
      <c r="S135">
        <v>39.150475</v>
      </c>
      <c r="T135">
        <v>40.913345</v>
      </c>
      <c r="U135">
        <v>42.7258</v>
      </c>
      <c r="V135">
        <v>44.593226999999999</v>
      </c>
      <c r="W135">
        <v>46.514130000000002</v>
      </c>
      <c r="X135">
        <v>48.494213000000002</v>
      </c>
      <c r="Y135">
        <v>50.503624000000002</v>
      </c>
      <c r="Z135">
        <v>52.558903000000001</v>
      </c>
      <c r="AA135">
        <v>54.663254000000002</v>
      </c>
      <c r="AB135">
        <v>56.818660999999999</v>
      </c>
      <c r="AC135">
        <v>59.022284999999997</v>
      </c>
      <c r="AD135">
        <v>61.216000000000001</v>
      </c>
      <c r="AE135">
        <v>63.441715000000002</v>
      </c>
      <c r="AF135">
        <v>65.716399999999993</v>
      </c>
      <c r="AG135">
        <v>68.045783999999998</v>
      </c>
      <c r="AH135">
        <v>70.437195000000003</v>
      </c>
      <c r="AI135" s="22">
        <v>4.9000000000000002E-2</v>
      </c>
    </row>
    <row r="136" spans="1:35">
      <c r="A136" t="s">
        <v>1285</v>
      </c>
      <c r="B136" t="s">
        <v>1499</v>
      </c>
      <c r="C136" t="s">
        <v>1500</v>
      </c>
      <c r="D136" t="s">
        <v>202</v>
      </c>
      <c r="F136">
        <v>162.27954099999999</v>
      </c>
      <c r="G136">
        <v>220.34437600000001</v>
      </c>
      <c r="H136">
        <v>283.60168499999997</v>
      </c>
      <c r="I136">
        <v>335.28662100000003</v>
      </c>
      <c r="J136">
        <v>373.78436299999998</v>
      </c>
      <c r="K136">
        <v>399.65692100000001</v>
      </c>
      <c r="L136">
        <v>424.588165</v>
      </c>
      <c r="M136">
        <v>444.73553500000003</v>
      </c>
      <c r="N136">
        <v>465.55981400000002</v>
      </c>
      <c r="O136">
        <v>486.492706</v>
      </c>
      <c r="P136">
        <v>508.21795700000001</v>
      </c>
      <c r="Q136">
        <v>530.80432099999996</v>
      </c>
      <c r="R136">
        <v>554.29113800000005</v>
      </c>
      <c r="S136">
        <v>578.72289999999998</v>
      </c>
      <c r="T136">
        <v>603.86834699999997</v>
      </c>
      <c r="U136">
        <v>629.992615</v>
      </c>
      <c r="V136">
        <v>657.12609899999995</v>
      </c>
      <c r="W136">
        <v>685.28576699999996</v>
      </c>
      <c r="X136">
        <v>714.50665300000003</v>
      </c>
      <c r="Y136">
        <v>744.58624299999997</v>
      </c>
      <c r="Z136">
        <v>775.77813700000002</v>
      </c>
      <c r="AA136">
        <v>808.120544</v>
      </c>
      <c r="AB136">
        <v>841.64727800000003</v>
      </c>
      <c r="AC136">
        <v>876.40563999999995</v>
      </c>
      <c r="AD136">
        <v>912.07891800000004</v>
      </c>
      <c r="AE136">
        <v>949.02533000000005</v>
      </c>
      <c r="AF136">
        <v>987.29339600000003</v>
      </c>
      <c r="AG136">
        <v>1026.921143</v>
      </c>
      <c r="AH136">
        <v>1067.9521480000001</v>
      </c>
      <c r="AI136" s="22">
        <v>7.0000000000000007E-2</v>
      </c>
    </row>
    <row r="137" spans="1:35">
      <c r="A137" t="s">
        <v>217</v>
      </c>
      <c r="B137" t="s">
        <v>1501</v>
      </c>
      <c r="C137" t="s">
        <v>1502</v>
      </c>
      <c r="D137" t="s">
        <v>202</v>
      </c>
      <c r="F137">
        <v>47.925185999999997</v>
      </c>
      <c r="G137">
        <v>65.206665000000001</v>
      </c>
      <c r="H137">
        <v>84.260093999999995</v>
      </c>
      <c r="I137">
        <v>98.283669000000003</v>
      </c>
      <c r="J137">
        <v>106.965828</v>
      </c>
      <c r="K137">
        <v>113.162628</v>
      </c>
      <c r="L137">
        <v>119.248817</v>
      </c>
      <c r="M137">
        <v>124.49781</v>
      </c>
      <c r="N137">
        <v>129.91471899999999</v>
      </c>
      <c r="O137">
        <v>135.37001000000001</v>
      </c>
      <c r="P137">
        <v>140.99529999999999</v>
      </c>
      <c r="Q137">
        <v>146.82103000000001</v>
      </c>
      <c r="R137">
        <v>152.85952800000001</v>
      </c>
      <c r="S137">
        <v>159.126328</v>
      </c>
      <c r="T137">
        <v>165.56712300000001</v>
      </c>
      <c r="U137">
        <v>172.23751799999999</v>
      </c>
      <c r="V137">
        <v>179.143967</v>
      </c>
      <c r="W137">
        <v>186.28448499999999</v>
      </c>
      <c r="X137">
        <v>193.666122</v>
      </c>
      <c r="Y137">
        <v>201.24624600000001</v>
      </c>
      <c r="Z137">
        <v>209.07875100000001</v>
      </c>
      <c r="AA137">
        <v>217.173676</v>
      </c>
      <c r="AB137">
        <v>225.537994</v>
      </c>
      <c r="AC137">
        <v>234.18237300000001</v>
      </c>
      <c r="AD137">
        <v>243.03521699999999</v>
      </c>
      <c r="AE137">
        <v>252.17364499999999</v>
      </c>
      <c r="AF137">
        <v>261.61105300000003</v>
      </c>
      <c r="AG137">
        <v>271.35537699999998</v>
      </c>
      <c r="AH137">
        <v>281.41656499999999</v>
      </c>
      <c r="AI137" s="22">
        <v>6.5000000000000002E-2</v>
      </c>
    </row>
    <row r="138" spans="1:35">
      <c r="A138" t="s">
        <v>218</v>
      </c>
      <c r="B138" t="s">
        <v>1503</v>
      </c>
      <c r="C138" t="s">
        <v>1504</v>
      </c>
      <c r="D138" t="s">
        <v>202</v>
      </c>
      <c r="F138">
        <v>111.985527</v>
      </c>
      <c r="G138">
        <v>151.942352</v>
      </c>
      <c r="H138">
        <v>195.23732000000001</v>
      </c>
      <c r="I138">
        <v>232.306488</v>
      </c>
      <c r="J138">
        <v>261.88717700000001</v>
      </c>
      <c r="K138">
        <v>281.36276199999998</v>
      </c>
      <c r="L138">
        <v>300.00149499999998</v>
      </c>
      <c r="M138">
        <v>314.694458</v>
      </c>
      <c r="N138">
        <v>329.890533</v>
      </c>
      <c r="O138">
        <v>345.15454099999999</v>
      </c>
      <c r="P138">
        <v>361.03707900000001</v>
      </c>
      <c r="Q138">
        <v>377.57427999999999</v>
      </c>
      <c r="R138">
        <v>394.79260299999999</v>
      </c>
      <c r="S138">
        <v>412.71994000000001</v>
      </c>
      <c r="T138">
        <v>431.18127399999997</v>
      </c>
      <c r="U138">
        <v>450.384613</v>
      </c>
      <c r="V138">
        <v>470.35406499999999</v>
      </c>
      <c r="W138">
        <v>491.10906999999997</v>
      </c>
      <c r="X138">
        <v>512.677368</v>
      </c>
      <c r="Y138">
        <v>534.90020800000002</v>
      </c>
      <c r="Z138">
        <v>557.97601299999997</v>
      </c>
      <c r="AA138">
        <v>581.93243399999994</v>
      </c>
      <c r="AB138">
        <v>606.79632600000002</v>
      </c>
      <c r="AC138">
        <v>632.60412599999995</v>
      </c>
      <c r="AD138">
        <v>659.11236599999995</v>
      </c>
      <c r="AE138">
        <v>686.60070800000005</v>
      </c>
      <c r="AF138">
        <v>715.10357699999997</v>
      </c>
      <c r="AG138">
        <v>744.650757</v>
      </c>
      <c r="AH138">
        <v>775.27581799999996</v>
      </c>
      <c r="AI138" s="22">
        <v>7.1999999999999995E-2</v>
      </c>
    </row>
    <row r="139" spans="1:35">
      <c r="A139" t="s">
        <v>219</v>
      </c>
      <c r="B139" t="s">
        <v>1505</v>
      </c>
      <c r="C139" t="s">
        <v>1506</v>
      </c>
      <c r="D139" t="s">
        <v>202</v>
      </c>
      <c r="F139">
        <v>2.3688289999999999</v>
      </c>
      <c r="G139">
        <v>3.1953429999999998</v>
      </c>
      <c r="H139">
        <v>4.1042870000000002</v>
      </c>
      <c r="I139">
        <v>4.6964689999999996</v>
      </c>
      <c r="J139">
        <v>4.9313560000000001</v>
      </c>
      <c r="K139">
        <v>5.1315350000000004</v>
      </c>
      <c r="L139">
        <v>5.3378620000000003</v>
      </c>
      <c r="M139">
        <v>5.5432589999999999</v>
      </c>
      <c r="N139">
        <v>5.7545710000000003</v>
      </c>
      <c r="O139">
        <v>5.968172</v>
      </c>
      <c r="P139">
        <v>6.1855859999999998</v>
      </c>
      <c r="Q139">
        <v>6.4089879999999999</v>
      </c>
      <c r="R139">
        <v>6.6390180000000001</v>
      </c>
      <c r="S139">
        <v>6.8765869999999998</v>
      </c>
      <c r="T139">
        <v>7.1200349999999997</v>
      </c>
      <c r="U139">
        <v>7.3704929999999997</v>
      </c>
      <c r="V139">
        <v>7.6280970000000003</v>
      </c>
      <c r="W139">
        <v>7.8922679999999996</v>
      </c>
      <c r="X139">
        <v>8.1631269999999994</v>
      </c>
      <c r="Y139">
        <v>8.4397870000000008</v>
      </c>
      <c r="Z139">
        <v>8.7234130000000007</v>
      </c>
      <c r="AA139">
        <v>9.0144040000000007</v>
      </c>
      <c r="AB139">
        <v>9.3128930000000008</v>
      </c>
      <c r="AC139">
        <v>9.6191580000000005</v>
      </c>
      <c r="AD139">
        <v>9.93126</v>
      </c>
      <c r="AE139">
        <v>10.250947</v>
      </c>
      <c r="AF139">
        <v>10.578808</v>
      </c>
      <c r="AG139">
        <v>10.914996</v>
      </c>
      <c r="AH139">
        <v>11.259789</v>
      </c>
      <c r="AI139" s="22">
        <v>5.7000000000000002E-2</v>
      </c>
    </row>
    <row r="140" spans="1:35">
      <c r="A140" t="s">
        <v>213</v>
      </c>
      <c r="B140" t="s">
        <v>1507</v>
      </c>
      <c r="C140" t="s">
        <v>1508</v>
      </c>
      <c r="D140" t="s">
        <v>202</v>
      </c>
      <c r="F140">
        <v>108.068314</v>
      </c>
      <c r="G140">
        <v>134.33866900000001</v>
      </c>
      <c r="H140">
        <v>160.460846</v>
      </c>
      <c r="I140">
        <v>175.372849</v>
      </c>
      <c r="J140">
        <v>190.59790000000001</v>
      </c>
      <c r="K140">
        <v>200.96203600000001</v>
      </c>
      <c r="L140">
        <v>209.95349100000001</v>
      </c>
      <c r="M140">
        <v>219.482651</v>
      </c>
      <c r="N140">
        <v>229.459</v>
      </c>
      <c r="O140">
        <v>239.86399800000001</v>
      </c>
      <c r="P140">
        <v>250.63970900000001</v>
      </c>
      <c r="Q140">
        <v>261.76123000000001</v>
      </c>
      <c r="R140">
        <v>273.22671500000001</v>
      </c>
      <c r="S140">
        <v>285.03585800000002</v>
      </c>
      <c r="T140">
        <v>297.30960099999999</v>
      </c>
      <c r="U140">
        <v>309.96319599999998</v>
      </c>
      <c r="V140">
        <v>322.98092700000001</v>
      </c>
      <c r="W140">
        <v>336.36114500000002</v>
      </c>
      <c r="X140">
        <v>350.11276199999998</v>
      </c>
      <c r="Y140">
        <v>364.35461400000003</v>
      </c>
      <c r="Z140">
        <v>378.99136399999998</v>
      </c>
      <c r="AA140">
        <v>394.01416</v>
      </c>
      <c r="AB140">
        <v>409.428406</v>
      </c>
      <c r="AC140">
        <v>425.250519</v>
      </c>
      <c r="AD140">
        <v>441.58010899999999</v>
      </c>
      <c r="AE140">
        <v>458.33084100000002</v>
      </c>
      <c r="AF140">
        <v>475.49792500000001</v>
      </c>
      <c r="AG140">
        <v>493.08587599999998</v>
      </c>
      <c r="AH140">
        <v>511.11007699999999</v>
      </c>
      <c r="AI140" s="22">
        <v>5.7000000000000002E-2</v>
      </c>
    </row>
    <row r="141" spans="1:35">
      <c r="A141" t="s">
        <v>217</v>
      </c>
      <c r="B141" t="s">
        <v>1509</v>
      </c>
      <c r="C141" t="s">
        <v>1510</v>
      </c>
      <c r="D141" t="s">
        <v>202</v>
      </c>
      <c r="F141">
        <v>45.485579999999999</v>
      </c>
      <c r="G141">
        <v>55.676124999999999</v>
      </c>
      <c r="H141">
        <v>66.977654000000001</v>
      </c>
      <c r="I141">
        <v>72.654563999999993</v>
      </c>
      <c r="J141">
        <v>78.271675000000002</v>
      </c>
      <c r="K141">
        <v>82.364295999999996</v>
      </c>
      <c r="L141">
        <v>86.127701000000002</v>
      </c>
      <c r="M141">
        <v>90.092490999999995</v>
      </c>
      <c r="N141">
        <v>94.245590000000007</v>
      </c>
      <c r="O141">
        <v>98.584045000000003</v>
      </c>
      <c r="P141">
        <v>103.082115</v>
      </c>
      <c r="Q141">
        <v>107.73053</v>
      </c>
      <c r="R141">
        <v>112.529045</v>
      </c>
      <c r="S141">
        <v>117.478104</v>
      </c>
      <c r="T141">
        <v>122.62938699999999</v>
      </c>
      <c r="U141">
        <v>127.946747</v>
      </c>
      <c r="V141">
        <v>133.42456100000001</v>
      </c>
      <c r="W141">
        <v>139.062714</v>
      </c>
      <c r="X141">
        <v>144.863831</v>
      </c>
      <c r="Y141">
        <v>150.87931800000001</v>
      </c>
      <c r="Z141">
        <v>157.06916799999999</v>
      </c>
      <c r="AA141">
        <v>163.43048099999999</v>
      </c>
      <c r="AB141">
        <v>169.96601899999999</v>
      </c>
      <c r="AC141">
        <v>176.68287699999999</v>
      </c>
      <c r="AD141">
        <v>183.623535</v>
      </c>
      <c r="AE141">
        <v>190.75221300000001</v>
      </c>
      <c r="AF141">
        <v>198.06779499999999</v>
      </c>
      <c r="AG141">
        <v>205.57281499999999</v>
      </c>
      <c r="AH141">
        <v>213.27409399999999</v>
      </c>
      <c r="AI141" s="22">
        <v>5.7000000000000002E-2</v>
      </c>
    </row>
    <row r="142" spans="1:35">
      <c r="A142" t="s">
        <v>218</v>
      </c>
      <c r="B142" t="s">
        <v>1511</v>
      </c>
      <c r="C142" t="s">
        <v>1512</v>
      </c>
      <c r="D142" t="s">
        <v>202</v>
      </c>
      <c r="F142">
        <v>57.727024</v>
      </c>
      <c r="G142">
        <v>72.771004000000005</v>
      </c>
      <c r="H142">
        <v>86.377089999999995</v>
      </c>
      <c r="I142">
        <v>95.095618999999999</v>
      </c>
      <c r="J142">
        <v>104.223206</v>
      </c>
      <c r="K142">
        <v>110.09704600000001</v>
      </c>
      <c r="L142">
        <v>114.92420199999999</v>
      </c>
      <c r="M142">
        <v>120.06993900000001</v>
      </c>
      <c r="N142">
        <v>125.454285</v>
      </c>
      <c r="O142">
        <v>131.06126399999999</v>
      </c>
      <c r="P142">
        <v>136.86163300000001</v>
      </c>
      <c r="Q142">
        <v>142.84060700000001</v>
      </c>
      <c r="R142">
        <v>148.99646000000001</v>
      </c>
      <c r="S142">
        <v>155.32835399999999</v>
      </c>
      <c r="T142">
        <v>161.89987199999999</v>
      </c>
      <c r="U142">
        <v>168.666382</v>
      </c>
      <c r="V142">
        <v>175.618225</v>
      </c>
      <c r="W142">
        <v>182.753784</v>
      </c>
      <c r="X142">
        <v>190.07925399999999</v>
      </c>
      <c r="Y142">
        <v>197.656296</v>
      </c>
      <c r="Z142">
        <v>205.43386799999999</v>
      </c>
      <c r="AA142">
        <v>213.40623500000001</v>
      </c>
      <c r="AB142">
        <v>221.57566800000001</v>
      </c>
      <c r="AC142">
        <v>229.95066800000001</v>
      </c>
      <c r="AD142">
        <v>238.58374000000001</v>
      </c>
      <c r="AE142">
        <v>247.42799400000001</v>
      </c>
      <c r="AF142">
        <v>256.47988900000001</v>
      </c>
      <c r="AG142">
        <v>265.74093599999998</v>
      </c>
      <c r="AH142">
        <v>275.21890300000001</v>
      </c>
      <c r="AI142" s="22">
        <v>5.7000000000000002E-2</v>
      </c>
    </row>
    <row r="143" spans="1:35">
      <c r="A143" t="s">
        <v>219</v>
      </c>
      <c r="B143" t="s">
        <v>1513</v>
      </c>
      <c r="C143" t="s">
        <v>1514</v>
      </c>
      <c r="D143" t="s">
        <v>202</v>
      </c>
      <c r="F143">
        <v>4.855702</v>
      </c>
      <c r="G143">
        <v>5.891534</v>
      </c>
      <c r="H143">
        <v>7.1060939999999997</v>
      </c>
      <c r="I143">
        <v>7.6226510000000003</v>
      </c>
      <c r="J143">
        <v>8.1030320000000007</v>
      </c>
      <c r="K143">
        <v>8.5006830000000004</v>
      </c>
      <c r="L143">
        <v>8.9015810000000002</v>
      </c>
      <c r="M143">
        <v>9.3202309999999997</v>
      </c>
      <c r="N143">
        <v>9.7591210000000004</v>
      </c>
      <c r="O143">
        <v>10.218685000000001</v>
      </c>
      <c r="P143">
        <v>10.695945999999999</v>
      </c>
      <c r="Q143">
        <v>11.190096</v>
      </c>
      <c r="R143">
        <v>11.701198</v>
      </c>
      <c r="S143">
        <v>12.229378000000001</v>
      </c>
      <c r="T143">
        <v>12.780315999999999</v>
      </c>
      <c r="U143">
        <v>13.350054</v>
      </c>
      <c r="V143">
        <v>13.938138</v>
      </c>
      <c r="W143">
        <v>14.544650000000001</v>
      </c>
      <c r="X143">
        <v>15.169689</v>
      </c>
      <c r="Y143">
        <v>15.819004</v>
      </c>
      <c r="Z143">
        <v>16.488309999999998</v>
      </c>
      <c r="AA143">
        <v>17.177424999999999</v>
      </c>
      <c r="AB143">
        <v>17.886718999999999</v>
      </c>
      <c r="AC143">
        <v>18.616985</v>
      </c>
      <c r="AD143">
        <v>19.372869000000001</v>
      </c>
      <c r="AE143">
        <v>20.150623</v>
      </c>
      <c r="AF143">
        <v>20.950258000000002</v>
      </c>
      <c r="AG143">
        <v>21.772144000000001</v>
      </c>
      <c r="AH143">
        <v>22.617076999999998</v>
      </c>
      <c r="AI143" s="22">
        <v>5.6000000000000001E-2</v>
      </c>
    </row>
    <row r="144" spans="1:35">
      <c r="A144" t="s">
        <v>1290</v>
      </c>
      <c r="B144" t="s">
        <v>1515</v>
      </c>
      <c r="C144" t="s">
        <v>1516</v>
      </c>
      <c r="D144" t="s">
        <v>202</v>
      </c>
      <c r="F144">
        <v>87.274039999999999</v>
      </c>
      <c r="G144">
        <v>97.675728000000007</v>
      </c>
      <c r="H144">
        <v>104.957893</v>
      </c>
      <c r="I144">
        <v>111.186455</v>
      </c>
      <c r="J144">
        <v>117.21154</v>
      </c>
      <c r="K144">
        <v>121.512398</v>
      </c>
      <c r="L144">
        <v>125.17572</v>
      </c>
      <c r="M144">
        <v>128.093277</v>
      </c>
      <c r="N144">
        <v>130.81806900000001</v>
      </c>
      <c r="O144">
        <v>133.28259299999999</v>
      </c>
      <c r="P144">
        <v>135.629974</v>
      </c>
      <c r="Q144">
        <v>137.85252399999999</v>
      </c>
      <c r="R144">
        <v>139.94085699999999</v>
      </c>
      <c r="S144">
        <v>141.886719</v>
      </c>
      <c r="T144">
        <v>143.68980400000001</v>
      </c>
      <c r="U144">
        <v>145.369553</v>
      </c>
      <c r="V144">
        <v>146.93897999999999</v>
      </c>
      <c r="W144">
        <v>148.411224</v>
      </c>
      <c r="X144">
        <v>149.79480000000001</v>
      </c>
      <c r="Y144">
        <v>151.101685</v>
      </c>
      <c r="Z144">
        <v>152.338089</v>
      </c>
      <c r="AA144">
        <v>153.50933800000001</v>
      </c>
      <c r="AB144">
        <v>154.61885100000001</v>
      </c>
      <c r="AC144">
        <v>155.67060900000001</v>
      </c>
      <c r="AD144">
        <v>156.67411799999999</v>
      </c>
      <c r="AE144">
        <v>157.629074</v>
      </c>
      <c r="AF144">
        <v>158.53407300000001</v>
      </c>
      <c r="AG144">
        <v>159.38314800000001</v>
      </c>
      <c r="AH144">
        <v>160.178146</v>
      </c>
      <c r="AI144" s="22">
        <v>2.1999999999999999E-2</v>
      </c>
    </row>
    <row r="145" spans="1:35">
      <c r="A145" t="s">
        <v>217</v>
      </c>
      <c r="B145" t="s">
        <v>1517</v>
      </c>
      <c r="C145" t="s">
        <v>1518</v>
      </c>
      <c r="D145" t="s">
        <v>202</v>
      </c>
      <c r="F145">
        <v>55.069285999999998</v>
      </c>
      <c r="G145">
        <v>58.950187999999997</v>
      </c>
      <c r="H145">
        <v>60.784492</v>
      </c>
      <c r="I145">
        <v>63.028281999999997</v>
      </c>
      <c r="J145">
        <v>65.069220999999999</v>
      </c>
      <c r="K145">
        <v>66.783760000000001</v>
      </c>
      <c r="L145">
        <v>68.396538000000007</v>
      </c>
      <c r="M145">
        <v>69.879149999999996</v>
      </c>
      <c r="N145">
        <v>71.271529999999998</v>
      </c>
      <c r="O145">
        <v>72.542534000000003</v>
      </c>
      <c r="P145">
        <v>73.758780999999999</v>
      </c>
      <c r="Q145">
        <v>74.916718000000003</v>
      </c>
      <c r="R145">
        <v>76.011939999999996</v>
      </c>
      <c r="S145">
        <v>77.040688000000003</v>
      </c>
      <c r="T145">
        <v>78.002571000000003</v>
      </c>
      <c r="U145">
        <v>78.906502000000003</v>
      </c>
      <c r="V145">
        <v>79.758544999999998</v>
      </c>
      <c r="W145">
        <v>80.564812000000003</v>
      </c>
      <c r="X145">
        <v>81.327788999999996</v>
      </c>
      <c r="Y145">
        <v>82.053589000000002</v>
      </c>
      <c r="Z145">
        <v>82.744964999999993</v>
      </c>
      <c r="AA145">
        <v>83.404449</v>
      </c>
      <c r="AB145">
        <v>84.033835999999994</v>
      </c>
      <c r="AC145">
        <v>84.634856999999997</v>
      </c>
      <c r="AD145">
        <v>85.210953000000003</v>
      </c>
      <c r="AE145">
        <v>85.762046999999995</v>
      </c>
      <c r="AF145">
        <v>86.288871999999998</v>
      </c>
      <c r="AG145">
        <v>86.790169000000006</v>
      </c>
      <c r="AH145">
        <v>87.267905999999996</v>
      </c>
      <c r="AI145" s="22">
        <v>1.7000000000000001E-2</v>
      </c>
    </row>
    <row r="146" spans="1:35">
      <c r="A146" t="s">
        <v>218</v>
      </c>
      <c r="B146" t="s">
        <v>1519</v>
      </c>
      <c r="C146" t="s">
        <v>1520</v>
      </c>
      <c r="D146" t="s">
        <v>202</v>
      </c>
      <c r="F146">
        <v>24.418623</v>
      </c>
      <c r="G146">
        <v>30.534485</v>
      </c>
      <c r="H146">
        <v>35.821396</v>
      </c>
      <c r="I146">
        <v>39.563567999999997</v>
      </c>
      <c r="J146">
        <v>43.337069999999997</v>
      </c>
      <c r="K146">
        <v>45.72522</v>
      </c>
      <c r="L146">
        <v>47.578659000000002</v>
      </c>
      <c r="M146">
        <v>48.819865999999998</v>
      </c>
      <c r="N146">
        <v>49.969912999999998</v>
      </c>
      <c r="O146">
        <v>50.996322999999997</v>
      </c>
      <c r="P146">
        <v>51.967243000000003</v>
      </c>
      <c r="Q146">
        <v>52.878990000000002</v>
      </c>
      <c r="R146">
        <v>53.727093000000004</v>
      </c>
      <c r="S146">
        <v>54.507576</v>
      </c>
      <c r="T146">
        <v>55.220581000000003</v>
      </c>
      <c r="U146">
        <v>55.875506999999999</v>
      </c>
      <c r="V146">
        <v>56.478569</v>
      </c>
      <c r="W146">
        <v>57.035995</v>
      </c>
      <c r="X146">
        <v>57.553618999999998</v>
      </c>
      <c r="Y146">
        <v>58.036453000000002</v>
      </c>
      <c r="Z146">
        <v>58.487693999999998</v>
      </c>
      <c r="AA146">
        <v>58.909728999999999</v>
      </c>
      <c r="AB146">
        <v>59.304004999999997</v>
      </c>
      <c r="AC146">
        <v>59.672576999999997</v>
      </c>
      <c r="AD146">
        <v>60.021061000000003</v>
      </c>
      <c r="AE146">
        <v>60.349293000000003</v>
      </c>
      <c r="AF146">
        <v>60.654957000000003</v>
      </c>
      <c r="AG146">
        <v>60.933376000000003</v>
      </c>
      <c r="AH146">
        <v>61.184170000000002</v>
      </c>
      <c r="AI146" s="22">
        <v>3.3000000000000002E-2</v>
      </c>
    </row>
    <row r="147" spans="1:35">
      <c r="A147" t="s">
        <v>219</v>
      </c>
      <c r="B147" t="s">
        <v>1521</v>
      </c>
      <c r="C147" t="s">
        <v>1522</v>
      </c>
      <c r="D147" t="s">
        <v>202</v>
      </c>
      <c r="F147">
        <v>7.7861359999999999</v>
      </c>
      <c r="G147">
        <v>8.1910520000000009</v>
      </c>
      <c r="H147">
        <v>8.3520000000000003</v>
      </c>
      <c r="I147">
        <v>8.5946079999999991</v>
      </c>
      <c r="J147">
        <v>8.8052489999999999</v>
      </c>
      <c r="K147">
        <v>9.0034290000000006</v>
      </c>
      <c r="L147">
        <v>9.2005160000000004</v>
      </c>
      <c r="M147">
        <v>9.3942560000000004</v>
      </c>
      <c r="N147">
        <v>9.5766290000000005</v>
      </c>
      <c r="O147">
        <v>9.7437380000000005</v>
      </c>
      <c r="P147">
        <v>9.9039549999999998</v>
      </c>
      <c r="Q147">
        <v>10.056832999999999</v>
      </c>
      <c r="R147">
        <v>10.201817999999999</v>
      </c>
      <c r="S147">
        <v>10.338438999999999</v>
      </c>
      <c r="T147">
        <v>10.46664</v>
      </c>
      <c r="U147">
        <v>10.587524</v>
      </c>
      <c r="V147">
        <v>10.701859000000001</v>
      </c>
      <c r="W147">
        <v>10.810409999999999</v>
      </c>
      <c r="X147">
        <v>10.913398000000001</v>
      </c>
      <c r="Y147">
        <v>11.011628</v>
      </c>
      <c r="Z147">
        <v>11.105437</v>
      </c>
      <c r="AA147">
        <v>11.195148</v>
      </c>
      <c r="AB147">
        <v>11.280993</v>
      </c>
      <c r="AC147">
        <v>11.363185</v>
      </c>
      <c r="AD147">
        <v>11.442098</v>
      </c>
      <c r="AE147">
        <v>11.517728</v>
      </c>
      <c r="AF147">
        <v>11.590244</v>
      </c>
      <c r="AG147">
        <v>11.659587999999999</v>
      </c>
      <c r="AH147">
        <v>11.726065</v>
      </c>
      <c r="AI147" s="22">
        <v>1.4999999999999999E-2</v>
      </c>
    </row>
    <row r="148" spans="1:35">
      <c r="A148" t="s">
        <v>1293</v>
      </c>
      <c r="B148" t="s">
        <v>1523</v>
      </c>
      <c r="C148" t="s">
        <v>1524</v>
      </c>
      <c r="D148" t="s">
        <v>202</v>
      </c>
      <c r="F148">
        <v>79.301177999999993</v>
      </c>
      <c r="G148">
        <v>101.63005099999999</v>
      </c>
      <c r="H148">
        <v>121.146072</v>
      </c>
      <c r="I148">
        <v>133.75103799999999</v>
      </c>
      <c r="J148">
        <v>144.38346899999999</v>
      </c>
      <c r="K148">
        <v>151.58453399999999</v>
      </c>
      <c r="L148">
        <v>157.44383199999999</v>
      </c>
      <c r="M148">
        <v>162.801773</v>
      </c>
      <c r="N148">
        <v>168.194412</v>
      </c>
      <c r="O148">
        <v>173.57832300000001</v>
      </c>
      <c r="P148">
        <v>179.07577499999999</v>
      </c>
      <c r="Q148">
        <v>184.704071</v>
      </c>
      <c r="R148">
        <v>190.47181699999999</v>
      </c>
      <c r="S148">
        <v>196.386841</v>
      </c>
      <c r="T148">
        <v>202.43138099999999</v>
      </c>
      <c r="U148">
        <v>208.633804</v>
      </c>
      <c r="V148">
        <v>214.996399</v>
      </c>
      <c r="W148">
        <v>221.51997399999999</v>
      </c>
      <c r="X148">
        <v>228.20277400000001</v>
      </c>
      <c r="Y148">
        <v>235.039368</v>
      </c>
      <c r="Z148">
        <v>242.04367099999999</v>
      </c>
      <c r="AA148">
        <v>249.21748400000001</v>
      </c>
      <c r="AB148">
        <v>256.56286599999999</v>
      </c>
      <c r="AC148">
        <v>264.08050500000002</v>
      </c>
      <c r="AD148">
        <v>271.71682700000002</v>
      </c>
      <c r="AE148">
        <v>279.52886999999998</v>
      </c>
      <c r="AF148">
        <v>287.52255200000002</v>
      </c>
      <c r="AG148">
        <v>295.70309400000002</v>
      </c>
      <c r="AH148">
        <v>304.07415800000001</v>
      </c>
      <c r="AI148" s="22">
        <v>4.9000000000000002E-2</v>
      </c>
    </row>
    <row r="149" spans="1:35">
      <c r="A149" t="s">
        <v>217</v>
      </c>
      <c r="B149" t="s">
        <v>1525</v>
      </c>
      <c r="C149" t="s">
        <v>1526</v>
      </c>
      <c r="D149" t="s">
        <v>202</v>
      </c>
      <c r="F149">
        <v>47.678085000000003</v>
      </c>
      <c r="G149">
        <v>60.579250000000002</v>
      </c>
      <c r="H149">
        <v>71.433159000000003</v>
      </c>
      <c r="I149">
        <v>77.759079</v>
      </c>
      <c r="J149">
        <v>83.222747999999996</v>
      </c>
      <c r="K149">
        <v>87.090667999999994</v>
      </c>
      <c r="L149">
        <v>90.329620000000006</v>
      </c>
      <c r="M149">
        <v>93.328048999999993</v>
      </c>
      <c r="N149">
        <v>96.334464999999994</v>
      </c>
      <c r="O149">
        <v>99.321999000000005</v>
      </c>
      <c r="P149">
        <v>102.368782</v>
      </c>
      <c r="Q149">
        <v>105.485298</v>
      </c>
      <c r="R149">
        <v>108.67620100000001</v>
      </c>
      <c r="S149">
        <v>111.94573200000001</v>
      </c>
      <c r="T149">
        <v>115.283394</v>
      </c>
      <c r="U149">
        <v>118.70564299999999</v>
      </c>
      <c r="V149">
        <v>122.213562</v>
      </c>
      <c r="W149">
        <v>125.807327</v>
      </c>
      <c r="X149">
        <v>129.48561100000001</v>
      </c>
      <c r="Y149">
        <v>133.24620100000001</v>
      </c>
      <c r="Z149">
        <v>137.09582499999999</v>
      </c>
      <c r="AA149">
        <v>141.03517199999999</v>
      </c>
      <c r="AB149">
        <v>145.06509399999999</v>
      </c>
      <c r="AC149">
        <v>149.185654</v>
      </c>
      <c r="AD149">
        <v>153.36450199999999</v>
      </c>
      <c r="AE149">
        <v>157.63568100000001</v>
      </c>
      <c r="AF149">
        <v>162.00212099999999</v>
      </c>
      <c r="AG149">
        <v>166.46650700000001</v>
      </c>
      <c r="AH149">
        <v>171.03038000000001</v>
      </c>
      <c r="AI149" s="22">
        <v>4.7E-2</v>
      </c>
    </row>
    <row r="150" spans="1:35">
      <c r="A150" t="s">
        <v>218</v>
      </c>
      <c r="B150" t="s">
        <v>1527</v>
      </c>
      <c r="C150" t="s">
        <v>1528</v>
      </c>
      <c r="D150" t="s">
        <v>202</v>
      </c>
      <c r="F150">
        <v>27.672314</v>
      </c>
      <c r="G150">
        <v>36.190651000000003</v>
      </c>
      <c r="H150">
        <v>44.102626999999998</v>
      </c>
      <c r="I150">
        <v>50.092044999999999</v>
      </c>
      <c r="J150">
        <v>54.982585999999998</v>
      </c>
      <c r="K150">
        <v>58.082782999999999</v>
      </c>
      <c r="L150">
        <v>60.489162</v>
      </c>
      <c r="M150">
        <v>62.643284000000001</v>
      </c>
      <c r="N150">
        <v>64.825858999999994</v>
      </c>
      <c r="O150">
        <v>67.022644</v>
      </c>
      <c r="P150">
        <v>69.270484999999994</v>
      </c>
      <c r="Q150">
        <v>71.575378000000001</v>
      </c>
      <c r="R150">
        <v>73.940926000000005</v>
      </c>
      <c r="S150">
        <v>76.370498999999995</v>
      </c>
      <c r="T150">
        <v>78.857642999999996</v>
      </c>
      <c r="U150">
        <v>81.413055</v>
      </c>
      <c r="V150">
        <v>84.037871999999993</v>
      </c>
      <c r="W150">
        <v>86.732758000000004</v>
      </c>
      <c r="X150">
        <v>89.497505000000004</v>
      </c>
      <c r="Y150">
        <v>92.328818999999996</v>
      </c>
      <c r="Z150">
        <v>95.233681000000004</v>
      </c>
      <c r="AA150">
        <v>98.213158000000007</v>
      </c>
      <c r="AB150">
        <v>101.268517</v>
      </c>
      <c r="AC150">
        <v>104.400452</v>
      </c>
      <c r="AD150">
        <v>107.59034</v>
      </c>
      <c r="AE150">
        <v>110.858566</v>
      </c>
      <c r="AF150">
        <v>114.207832</v>
      </c>
      <c r="AG150">
        <v>117.64065600000001</v>
      </c>
      <c r="AH150">
        <v>121.159058</v>
      </c>
      <c r="AI150" s="22">
        <v>5.3999999999999999E-2</v>
      </c>
    </row>
    <row r="151" spans="1:35">
      <c r="A151" t="s">
        <v>219</v>
      </c>
      <c r="B151" t="s">
        <v>1529</v>
      </c>
      <c r="C151" t="s">
        <v>1530</v>
      </c>
      <c r="D151" t="s">
        <v>202</v>
      </c>
      <c r="F151">
        <v>3.9507759999999998</v>
      </c>
      <c r="G151">
        <v>4.8601390000000002</v>
      </c>
      <c r="H151">
        <v>5.6102879999999997</v>
      </c>
      <c r="I151">
        <v>5.8999009999999998</v>
      </c>
      <c r="J151">
        <v>6.1781309999999996</v>
      </c>
      <c r="K151">
        <v>6.4110950000000004</v>
      </c>
      <c r="L151">
        <v>6.6250410000000004</v>
      </c>
      <c r="M151">
        <v>6.8304140000000002</v>
      </c>
      <c r="N151">
        <v>7.0340759999999998</v>
      </c>
      <c r="O151">
        <v>7.2336809999999998</v>
      </c>
      <c r="P151">
        <v>7.4365009999999998</v>
      </c>
      <c r="Q151">
        <v>7.6434049999999996</v>
      </c>
      <c r="R151">
        <v>7.8546870000000002</v>
      </c>
      <c r="S151">
        <v>8.0706039999999994</v>
      </c>
      <c r="T151">
        <v>8.2903300000000009</v>
      </c>
      <c r="U151">
        <v>8.5151039999999991</v>
      </c>
      <c r="V151">
        <v>8.7449670000000008</v>
      </c>
      <c r="W151">
        <v>8.9798720000000003</v>
      </c>
      <c r="X151">
        <v>9.2196569999999998</v>
      </c>
      <c r="Y151">
        <v>9.4643420000000003</v>
      </c>
      <c r="Z151">
        <v>9.7141710000000003</v>
      </c>
      <c r="AA151">
        <v>9.9691340000000004</v>
      </c>
      <c r="AB151">
        <v>10.229227</v>
      </c>
      <c r="AC151">
        <v>10.494389999999999</v>
      </c>
      <c r="AD151">
        <v>10.761946999999999</v>
      </c>
      <c r="AE151">
        <v>11.034632999999999</v>
      </c>
      <c r="AF151">
        <v>11.31259</v>
      </c>
      <c r="AG151">
        <v>11.595942000000001</v>
      </c>
      <c r="AH151">
        <v>11.884709000000001</v>
      </c>
      <c r="AI151" s="22">
        <v>0.04</v>
      </c>
    </row>
    <row r="152" spans="1:35">
      <c r="A152" t="s">
        <v>1531</v>
      </c>
      <c r="B152" t="s">
        <v>1532</v>
      </c>
      <c r="C152" t="s">
        <v>1533</v>
      </c>
      <c r="D152" t="s">
        <v>202</v>
      </c>
      <c r="F152">
        <v>4373.3583980000003</v>
      </c>
      <c r="G152">
        <v>5169.9628910000001</v>
      </c>
      <c r="H152">
        <v>5693.6376950000003</v>
      </c>
      <c r="I152">
        <v>6042.6123049999997</v>
      </c>
      <c r="J152">
        <v>6454.3725590000004</v>
      </c>
      <c r="K152">
        <v>6728.6020509999998</v>
      </c>
      <c r="L152">
        <v>6983.6962890000004</v>
      </c>
      <c r="M152">
        <v>7204.6298829999996</v>
      </c>
      <c r="N152">
        <v>7425.1635740000002</v>
      </c>
      <c r="O152">
        <v>7650.1298829999996</v>
      </c>
      <c r="P152">
        <v>7885.779297</v>
      </c>
      <c r="Q152">
        <v>8125.9140619999998</v>
      </c>
      <c r="R152">
        <v>8364.5048829999996</v>
      </c>
      <c r="S152">
        <v>8606.9697269999997</v>
      </c>
      <c r="T152">
        <v>8856.5869139999995</v>
      </c>
      <c r="U152">
        <v>9114.5898440000001</v>
      </c>
      <c r="V152">
        <v>9381.3271480000003</v>
      </c>
      <c r="W152">
        <v>9654.9765619999998</v>
      </c>
      <c r="X152">
        <v>9938.1474610000005</v>
      </c>
      <c r="Y152">
        <v>10226.232421999999</v>
      </c>
      <c r="Z152">
        <v>10522.052734000001</v>
      </c>
      <c r="AA152">
        <v>10824.742188</v>
      </c>
      <c r="AB152">
        <v>11133.546875</v>
      </c>
      <c r="AC152">
        <v>11446.167969</v>
      </c>
      <c r="AD152">
        <v>11763.413086</v>
      </c>
      <c r="AE152">
        <v>12087.557617</v>
      </c>
      <c r="AF152">
        <v>12418.570312</v>
      </c>
      <c r="AG152">
        <v>12755.792969</v>
      </c>
      <c r="AH152">
        <v>13099.551758</v>
      </c>
      <c r="AI152" s="22">
        <v>0.04</v>
      </c>
    </row>
    <row r="153" spans="1:35">
      <c r="A153" t="s">
        <v>1534</v>
      </c>
      <c r="B153" t="s">
        <v>1535</v>
      </c>
      <c r="C153" t="s">
        <v>1536</v>
      </c>
      <c r="D153" t="s">
        <v>202</v>
      </c>
      <c r="F153">
        <v>2683.0664059999999</v>
      </c>
      <c r="G153">
        <v>3004.8544919999999</v>
      </c>
      <c r="H153">
        <v>3179.6435550000001</v>
      </c>
      <c r="I153">
        <v>3317.3186040000001</v>
      </c>
      <c r="J153">
        <v>3488.1293949999999</v>
      </c>
      <c r="K153">
        <v>3619.9882809999999</v>
      </c>
      <c r="L153">
        <v>3746.866211</v>
      </c>
      <c r="M153">
        <v>3866.138672</v>
      </c>
      <c r="N153">
        <v>3984.7014159999999</v>
      </c>
      <c r="O153">
        <v>4106.1660160000001</v>
      </c>
      <c r="P153">
        <v>4234.1674800000001</v>
      </c>
      <c r="Q153">
        <v>4364.3461909999996</v>
      </c>
      <c r="R153">
        <v>4492.8154299999997</v>
      </c>
      <c r="S153">
        <v>4623.0224609999996</v>
      </c>
      <c r="T153">
        <v>4757.1152339999999</v>
      </c>
      <c r="U153">
        <v>4895.7231449999999</v>
      </c>
      <c r="V153">
        <v>5039.0322269999997</v>
      </c>
      <c r="W153">
        <v>5185.8525390000004</v>
      </c>
      <c r="X153">
        <v>5337.7739259999998</v>
      </c>
      <c r="Y153">
        <v>5492.0742190000001</v>
      </c>
      <c r="Z153">
        <v>5650.373047</v>
      </c>
      <c r="AA153">
        <v>5812.0830079999996</v>
      </c>
      <c r="AB153">
        <v>5976.6274409999996</v>
      </c>
      <c r="AC153">
        <v>6142.4643550000001</v>
      </c>
      <c r="AD153">
        <v>6310.3242190000001</v>
      </c>
      <c r="AE153">
        <v>6481.419922</v>
      </c>
      <c r="AF153">
        <v>6655.6152339999999</v>
      </c>
      <c r="AG153">
        <v>6832.3398440000001</v>
      </c>
      <c r="AH153">
        <v>7011.6440430000002</v>
      </c>
      <c r="AI153" s="22">
        <v>3.5000000000000003E-2</v>
      </c>
    </row>
    <row r="154" spans="1:35">
      <c r="A154" t="s">
        <v>1537</v>
      </c>
      <c r="B154" t="s">
        <v>1538</v>
      </c>
      <c r="C154" t="s">
        <v>1539</v>
      </c>
      <c r="D154" t="s">
        <v>202</v>
      </c>
      <c r="F154">
        <v>1365.956543</v>
      </c>
      <c r="G154">
        <v>1815.0357670000001</v>
      </c>
      <c r="H154">
        <v>2152.5219729999999</v>
      </c>
      <c r="I154">
        <v>2352.9526369999999</v>
      </c>
      <c r="J154">
        <v>2578.5668949999999</v>
      </c>
      <c r="K154">
        <v>2707.555664</v>
      </c>
      <c r="L154">
        <v>2822.4821780000002</v>
      </c>
      <c r="M154">
        <v>2911.1027829999998</v>
      </c>
      <c r="N154">
        <v>3000.19751</v>
      </c>
      <c r="O154">
        <v>3090.4453119999998</v>
      </c>
      <c r="P154">
        <v>3183.960693</v>
      </c>
      <c r="Q154">
        <v>3279.5664059999999</v>
      </c>
      <c r="R154">
        <v>3375.6767580000001</v>
      </c>
      <c r="S154">
        <v>3473.7790530000002</v>
      </c>
      <c r="T154">
        <v>3574.6906739999999</v>
      </c>
      <c r="U154">
        <v>3678.9440920000002</v>
      </c>
      <c r="V154">
        <v>3786.679443</v>
      </c>
      <c r="W154">
        <v>3897.4423830000001</v>
      </c>
      <c r="X154">
        <v>4012.033203</v>
      </c>
      <c r="Y154">
        <v>4128.9389650000003</v>
      </c>
      <c r="Z154">
        <v>4249.1440430000002</v>
      </c>
      <c r="AA154">
        <v>4372.451172</v>
      </c>
      <c r="AB154">
        <v>4498.7680659999996</v>
      </c>
      <c r="AC154">
        <v>4627.5498049999997</v>
      </c>
      <c r="AD154">
        <v>4758.7285160000001</v>
      </c>
      <c r="AE154">
        <v>4893.2329099999997</v>
      </c>
      <c r="AF154">
        <v>5031.2045900000003</v>
      </c>
      <c r="AG154">
        <v>5172.6411129999997</v>
      </c>
      <c r="AH154">
        <v>5317.8256840000004</v>
      </c>
      <c r="AI154" s="22">
        <v>0.05</v>
      </c>
    </row>
    <row r="155" spans="1:35">
      <c r="A155" t="s">
        <v>112</v>
      </c>
      <c r="B155" t="s">
        <v>1540</v>
      </c>
      <c r="C155" t="s">
        <v>1541</v>
      </c>
      <c r="D155" t="s">
        <v>202</v>
      </c>
      <c r="F155">
        <v>324.33532700000001</v>
      </c>
      <c r="G155">
        <v>350.07336400000003</v>
      </c>
      <c r="H155">
        <v>361.47143599999998</v>
      </c>
      <c r="I155">
        <v>372.34155299999998</v>
      </c>
      <c r="J155">
        <v>387.67550699999998</v>
      </c>
      <c r="K155">
        <v>401.05737299999998</v>
      </c>
      <c r="L155">
        <v>414.347961</v>
      </c>
      <c r="M155">
        <v>427.38775600000002</v>
      </c>
      <c r="N155">
        <v>440.263824</v>
      </c>
      <c r="O155">
        <v>453.51907299999999</v>
      </c>
      <c r="P155">
        <v>467.65096999999997</v>
      </c>
      <c r="Q155">
        <v>482.00097699999998</v>
      </c>
      <c r="R155">
        <v>496.01190200000002</v>
      </c>
      <c r="S155">
        <v>510.16720600000002</v>
      </c>
      <c r="T155">
        <v>524.78045699999996</v>
      </c>
      <c r="U155">
        <v>539.92236300000002</v>
      </c>
      <c r="V155">
        <v>555.61492899999996</v>
      </c>
      <c r="W155">
        <v>571.68298300000004</v>
      </c>
      <c r="X155">
        <v>588.33850099999995</v>
      </c>
      <c r="Y155">
        <v>605.21984899999995</v>
      </c>
      <c r="Z155">
        <v>622.53668200000004</v>
      </c>
      <c r="AA155">
        <v>640.20806900000002</v>
      </c>
      <c r="AB155">
        <v>658.15197799999999</v>
      </c>
      <c r="AC155">
        <v>676.15301499999998</v>
      </c>
      <c r="AD155">
        <v>694.35919200000001</v>
      </c>
      <c r="AE155">
        <v>712.903503</v>
      </c>
      <c r="AF155">
        <v>731.75134300000002</v>
      </c>
      <c r="AG155">
        <v>750.81225600000005</v>
      </c>
      <c r="AH155">
        <v>770.08294699999999</v>
      </c>
      <c r="AI155" s="22">
        <v>3.1E-2</v>
      </c>
    </row>
    <row r="156" spans="1:35">
      <c r="A156" t="s">
        <v>637</v>
      </c>
    </row>
    <row r="157" spans="1:35">
      <c r="A157" t="s">
        <v>211</v>
      </c>
      <c r="B157" t="s">
        <v>1542</v>
      </c>
      <c r="C157" t="s">
        <v>1069</v>
      </c>
      <c r="D157" t="s">
        <v>200</v>
      </c>
      <c r="F157">
        <v>537.62969999999996</v>
      </c>
      <c r="G157">
        <v>549.83306900000002</v>
      </c>
      <c r="H157">
        <v>164.74629200000001</v>
      </c>
      <c r="I157">
        <v>138.35922199999999</v>
      </c>
      <c r="J157">
        <v>271.84619099999998</v>
      </c>
      <c r="K157">
        <v>323.99099699999999</v>
      </c>
      <c r="L157">
        <v>335.84295700000001</v>
      </c>
      <c r="M157">
        <v>325.02175899999997</v>
      </c>
      <c r="N157">
        <v>315.303406</v>
      </c>
      <c r="O157">
        <v>332.71267699999999</v>
      </c>
      <c r="P157">
        <v>378.56921399999999</v>
      </c>
      <c r="Q157">
        <v>386.39703400000002</v>
      </c>
      <c r="R157">
        <v>359.79183999999998</v>
      </c>
      <c r="S157">
        <v>359.046448</v>
      </c>
      <c r="T157">
        <v>377.765533</v>
      </c>
      <c r="U157">
        <v>400.12957799999998</v>
      </c>
      <c r="V157">
        <v>423.76574699999998</v>
      </c>
      <c r="W157">
        <v>435.87933299999997</v>
      </c>
      <c r="X157">
        <v>457.30462599999998</v>
      </c>
      <c r="Y157">
        <v>456.16915899999998</v>
      </c>
      <c r="Z157">
        <v>466.06835899999999</v>
      </c>
      <c r="AA157">
        <v>474.79116800000003</v>
      </c>
      <c r="AB157">
        <v>482.93649299999998</v>
      </c>
      <c r="AC157">
        <v>483.40219100000002</v>
      </c>
      <c r="AD157">
        <v>497.70538299999998</v>
      </c>
      <c r="AE157">
        <v>514.93347200000005</v>
      </c>
      <c r="AF157">
        <v>530.803406</v>
      </c>
      <c r="AG157">
        <v>545.38818400000002</v>
      </c>
      <c r="AH157">
        <v>563.96643100000006</v>
      </c>
      <c r="AI157" s="22">
        <v>2E-3</v>
      </c>
    </row>
    <row r="158" spans="1:35">
      <c r="A158" t="s">
        <v>217</v>
      </c>
      <c r="B158" t="s">
        <v>1543</v>
      </c>
      <c r="C158" t="s">
        <v>1069</v>
      </c>
      <c r="D158" t="s">
        <v>200</v>
      </c>
      <c r="F158">
        <v>333.763733</v>
      </c>
      <c r="G158">
        <v>345.44042999999999</v>
      </c>
      <c r="H158">
        <v>98.225448999999998</v>
      </c>
      <c r="I158">
        <v>96.679152999999999</v>
      </c>
      <c r="J158">
        <v>170.31218000000001</v>
      </c>
      <c r="K158">
        <v>174.229919</v>
      </c>
      <c r="L158">
        <v>179.999146</v>
      </c>
      <c r="M158">
        <v>174.64077800000001</v>
      </c>
      <c r="N158">
        <v>169.98704499999999</v>
      </c>
      <c r="O158">
        <v>180.47323600000001</v>
      </c>
      <c r="P158">
        <v>206.73242200000001</v>
      </c>
      <c r="Q158">
        <v>211.496094</v>
      </c>
      <c r="R158">
        <v>197.224121</v>
      </c>
      <c r="S158">
        <v>197.424072</v>
      </c>
      <c r="T158">
        <v>208.24267599999999</v>
      </c>
      <c r="U158">
        <v>220.877441</v>
      </c>
      <c r="V158">
        <v>234.07299800000001</v>
      </c>
      <c r="W158">
        <v>240.77148399999999</v>
      </c>
      <c r="X158">
        <v>252.56445299999999</v>
      </c>
      <c r="Y158">
        <v>251.70751999999999</v>
      </c>
      <c r="Z158">
        <v>257.015625</v>
      </c>
      <c r="AA158">
        <v>261.632812</v>
      </c>
      <c r="AB158">
        <v>266.01904300000001</v>
      </c>
      <c r="AC158">
        <v>266.19396999999998</v>
      </c>
      <c r="AD158">
        <v>274.21963499999998</v>
      </c>
      <c r="AE158">
        <v>283.857483</v>
      </c>
      <c r="AF158">
        <v>292.71289100000001</v>
      </c>
      <c r="AG158">
        <v>300.81787100000003</v>
      </c>
      <c r="AH158">
        <v>311.17236300000002</v>
      </c>
      <c r="AI158" s="22">
        <v>-2E-3</v>
      </c>
    </row>
    <row r="159" spans="1:35">
      <c r="A159" t="s">
        <v>218</v>
      </c>
      <c r="B159" t="s">
        <v>1544</v>
      </c>
      <c r="C159" t="s">
        <v>1069</v>
      </c>
      <c r="D159" t="s">
        <v>200</v>
      </c>
      <c r="F159">
        <v>0</v>
      </c>
      <c r="G159">
        <v>39.340881000000003</v>
      </c>
      <c r="H159">
        <v>37.988616999999998</v>
      </c>
      <c r="I159">
        <v>7.9354370000000003</v>
      </c>
      <c r="J159">
        <v>22.899474999999999</v>
      </c>
      <c r="K159">
        <v>65.770118999999994</v>
      </c>
      <c r="L159">
        <v>67.841369999999998</v>
      </c>
      <c r="M159">
        <v>64.843872000000005</v>
      </c>
      <c r="N159">
        <v>61.797545999999997</v>
      </c>
      <c r="O159">
        <v>61.889342999999997</v>
      </c>
      <c r="P159">
        <v>65.417113999999998</v>
      </c>
      <c r="Q159">
        <v>64.408493000000007</v>
      </c>
      <c r="R159">
        <v>59.074790999999998</v>
      </c>
      <c r="S159">
        <v>57.096992</v>
      </c>
      <c r="T159">
        <v>57.945704999999997</v>
      </c>
      <c r="U159">
        <v>59.668900000000001</v>
      </c>
      <c r="V159">
        <v>61.945683000000002</v>
      </c>
      <c r="W159">
        <v>63.071460999999999</v>
      </c>
      <c r="X159">
        <v>65.706481999999994</v>
      </c>
      <c r="Y159">
        <v>65.747039999999998</v>
      </c>
      <c r="Z159">
        <v>67.314468000000005</v>
      </c>
      <c r="AA159">
        <v>68.832672000000002</v>
      </c>
      <c r="AB159">
        <v>70.226035999999993</v>
      </c>
      <c r="AC159">
        <v>70.609099999999998</v>
      </c>
      <c r="AD159">
        <v>72.683494999999994</v>
      </c>
      <c r="AE159">
        <v>75.066970999999995</v>
      </c>
      <c r="AF159">
        <v>77.259933000000004</v>
      </c>
      <c r="AG159">
        <v>79.321548000000007</v>
      </c>
      <c r="AH159">
        <v>81.872428999999997</v>
      </c>
      <c r="AI159" t="s">
        <v>111</v>
      </c>
    </row>
    <row r="160" spans="1:35">
      <c r="A160" t="s">
        <v>219</v>
      </c>
      <c r="B160" t="s">
        <v>1545</v>
      </c>
      <c r="C160" t="s">
        <v>1069</v>
      </c>
      <c r="D160" t="s">
        <v>200</v>
      </c>
      <c r="F160">
        <v>203.86596700000001</v>
      </c>
      <c r="G160">
        <v>165.05175800000001</v>
      </c>
      <c r="H160">
        <v>28.532226999999999</v>
      </c>
      <c r="I160">
        <v>33.744629000000003</v>
      </c>
      <c r="J160">
        <v>78.634521000000007</v>
      </c>
      <c r="K160">
        <v>83.990966999999998</v>
      </c>
      <c r="L160">
        <v>88.002441000000005</v>
      </c>
      <c r="M160">
        <v>85.537109000000001</v>
      </c>
      <c r="N160">
        <v>83.518799000000001</v>
      </c>
      <c r="O160">
        <v>90.350098000000003</v>
      </c>
      <c r="P160">
        <v>106.419678</v>
      </c>
      <c r="Q160">
        <v>110.49243199999999</v>
      </c>
      <c r="R160">
        <v>103.49292</v>
      </c>
      <c r="S160">
        <v>104.525391</v>
      </c>
      <c r="T160">
        <v>111.57714799999999</v>
      </c>
      <c r="U160">
        <v>119.583252</v>
      </c>
      <c r="V160">
        <v>127.74706999999999</v>
      </c>
      <c r="W160">
        <v>132.03637699999999</v>
      </c>
      <c r="X160">
        <v>139.033691</v>
      </c>
      <c r="Y160">
        <v>138.71459999999999</v>
      </c>
      <c r="Z160">
        <v>141.738281</v>
      </c>
      <c r="AA160">
        <v>144.325684</v>
      </c>
      <c r="AB160">
        <v>146.691406</v>
      </c>
      <c r="AC160">
        <v>146.599121</v>
      </c>
      <c r="AD160">
        <v>150.802246</v>
      </c>
      <c r="AE160">
        <v>156.00903299999999</v>
      </c>
      <c r="AF160">
        <v>160.830566</v>
      </c>
      <c r="AG160">
        <v>165.24877900000001</v>
      </c>
      <c r="AH160">
        <v>170.92163099999999</v>
      </c>
      <c r="AI160" s="22">
        <v>-6.0000000000000001E-3</v>
      </c>
    </row>
    <row r="161" spans="1:35">
      <c r="A161" t="s">
        <v>212</v>
      </c>
      <c r="B161" t="s">
        <v>1546</v>
      </c>
      <c r="C161" t="s">
        <v>1069</v>
      </c>
      <c r="D161" t="s">
        <v>200</v>
      </c>
      <c r="F161">
        <v>0</v>
      </c>
      <c r="G161">
        <v>15.678391</v>
      </c>
      <c r="H161">
        <v>51.316887000000001</v>
      </c>
      <c r="I161">
        <v>50.117165</v>
      </c>
      <c r="J161">
        <v>52.954346000000001</v>
      </c>
      <c r="K161">
        <v>57.051322999999996</v>
      </c>
      <c r="L161">
        <v>44.861697999999997</v>
      </c>
      <c r="M161">
        <v>46.635117000000001</v>
      </c>
      <c r="N161">
        <v>49.951324</v>
      </c>
      <c r="O161">
        <v>50.769165000000001</v>
      </c>
      <c r="P161">
        <v>51.472060999999997</v>
      </c>
      <c r="Q161">
        <v>52.399932999999997</v>
      </c>
      <c r="R161">
        <v>53.103180000000002</v>
      </c>
      <c r="S161">
        <v>53.605300999999997</v>
      </c>
      <c r="T161">
        <v>56.171036000000001</v>
      </c>
      <c r="U161">
        <v>56.427169999999997</v>
      </c>
      <c r="V161">
        <v>57.608795000000001</v>
      </c>
      <c r="W161">
        <v>58.449553999999999</v>
      </c>
      <c r="X161">
        <v>58.490127999999999</v>
      </c>
      <c r="Y161">
        <v>58.666182999999997</v>
      </c>
      <c r="Z161">
        <v>58.960326999999999</v>
      </c>
      <c r="AA161">
        <v>59.343628000000002</v>
      </c>
      <c r="AB161">
        <v>59.845576999999999</v>
      </c>
      <c r="AC161">
        <v>60.470764000000003</v>
      </c>
      <c r="AD161">
        <v>61.182304000000002</v>
      </c>
      <c r="AE161">
        <v>61.965812999999997</v>
      </c>
      <c r="AF161">
        <v>62.802154999999999</v>
      </c>
      <c r="AG161">
        <v>63.733001999999999</v>
      </c>
      <c r="AH161">
        <v>64.763489000000007</v>
      </c>
      <c r="AI161" t="s">
        <v>111</v>
      </c>
    </row>
    <row r="162" spans="1:35">
      <c r="A162" t="s">
        <v>217</v>
      </c>
      <c r="B162" t="s">
        <v>1547</v>
      </c>
      <c r="C162" t="s">
        <v>1069</v>
      </c>
      <c r="D162" t="s">
        <v>200</v>
      </c>
      <c r="F162">
        <v>0</v>
      </c>
      <c r="G162">
        <v>0</v>
      </c>
      <c r="H162">
        <v>17.463474000000001</v>
      </c>
      <c r="I162">
        <v>21.329653</v>
      </c>
      <c r="J162">
        <v>24.371399</v>
      </c>
      <c r="K162">
        <v>23.494506999999999</v>
      </c>
      <c r="L162">
        <v>18.943511999999998</v>
      </c>
      <c r="M162">
        <v>19.374298</v>
      </c>
      <c r="N162">
        <v>19.766327</v>
      </c>
      <c r="O162">
        <v>20.132964999999999</v>
      </c>
      <c r="P162">
        <v>20.452881000000001</v>
      </c>
      <c r="Q162">
        <v>20.728363000000002</v>
      </c>
      <c r="R162">
        <v>20.983429000000001</v>
      </c>
      <c r="S162">
        <v>21.226134999999999</v>
      </c>
      <c r="T162">
        <v>23.542083999999999</v>
      </c>
      <c r="U162">
        <v>23.546509</v>
      </c>
      <c r="V162">
        <v>23.508330999999998</v>
      </c>
      <c r="W162">
        <v>23.525696</v>
      </c>
      <c r="X162">
        <v>23.583984000000001</v>
      </c>
      <c r="Y162">
        <v>23.695709000000001</v>
      </c>
      <c r="Z162">
        <v>23.852905</v>
      </c>
      <c r="AA162">
        <v>24.047637999999999</v>
      </c>
      <c r="AB162">
        <v>24.291533999999999</v>
      </c>
      <c r="AC162">
        <v>24.574981999999999</v>
      </c>
      <c r="AD162">
        <v>24.892365000000002</v>
      </c>
      <c r="AE162">
        <v>25.243469000000001</v>
      </c>
      <c r="AF162">
        <v>25.627898999999999</v>
      </c>
      <c r="AG162">
        <v>26.047516000000002</v>
      </c>
      <c r="AH162">
        <v>26.498474000000002</v>
      </c>
      <c r="AI162" t="s">
        <v>111</v>
      </c>
    </row>
    <row r="163" spans="1:35">
      <c r="A163" t="s">
        <v>218</v>
      </c>
      <c r="B163" t="s">
        <v>1548</v>
      </c>
      <c r="C163" t="s">
        <v>1069</v>
      </c>
      <c r="D163" t="s">
        <v>200</v>
      </c>
      <c r="F163">
        <v>0</v>
      </c>
      <c r="G163">
        <v>0</v>
      </c>
      <c r="H163">
        <v>2.6847050000000001</v>
      </c>
      <c r="I163">
        <v>8.6334879999999998</v>
      </c>
      <c r="J163">
        <v>7.5640429999999999</v>
      </c>
      <c r="K163">
        <v>7.6775729999999998</v>
      </c>
      <c r="L163">
        <v>4.8536409999999997</v>
      </c>
      <c r="M163">
        <v>5.8987879999999997</v>
      </c>
      <c r="N163">
        <v>8.4926449999999996</v>
      </c>
      <c r="O163">
        <v>8.6243289999999995</v>
      </c>
      <c r="P163">
        <v>8.7234649999999991</v>
      </c>
      <c r="Q163">
        <v>8.8013309999999993</v>
      </c>
      <c r="R163">
        <v>8.8686830000000008</v>
      </c>
      <c r="S163">
        <v>8.9318390000000001</v>
      </c>
      <c r="T163">
        <v>8.9949490000000001</v>
      </c>
      <c r="U163">
        <v>9.0618739999999995</v>
      </c>
      <c r="V163">
        <v>10.095367</v>
      </c>
      <c r="W163">
        <v>10.726288</v>
      </c>
      <c r="X163">
        <v>10.520554000000001</v>
      </c>
      <c r="Y163">
        <v>10.378677</v>
      </c>
      <c r="Z163">
        <v>10.290741000000001</v>
      </c>
      <c r="AA163">
        <v>10.238586</v>
      </c>
      <c r="AB163">
        <v>10.221401</v>
      </c>
      <c r="AC163">
        <v>10.25827</v>
      </c>
      <c r="AD163">
        <v>10.321465</v>
      </c>
      <c r="AE163">
        <v>10.393303</v>
      </c>
      <c r="AF163">
        <v>10.454742</v>
      </c>
      <c r="AG163">
        <v>10.542479999999999</v>
      </c>
      <c r="AH163">
        <v>10.666687</v>
      </c>
      <c r="AI163" t="s">
        <v>111</v>
      </c>
    </row>
    <row r="164" spans="1:35">
      <c r="A164" t="s">
        <v>219</v>
      </c>
      <c r="B164" t="s">
        <v>1549</v>
      </c>
      <c r="C164" t="s">
        <v>1069</v>
      </c>
      <c r="D164" t="s">
        <v>200</v>
      </c>
      <c r="F164">
        <v>0</v>
      </c>
      <c r="G164">
        <v>15.678391</v>
      </c>
      <c r="H164">
        <v>31.168710999999998</v>
      </c>
      <c r="I164">
        <v>20.154024</v>
      </c>
      <c r="J164">
        <v>21.018902000000001</v>
      </c>
      <c r="K164">
        <v>25.879242000000001</v>
      </c>
      <c r="L164">
        <v>21.064544999999999</v>
      </c>
      <c r="M164">
        <v>21.362030000000001</v>
      </c>
      <c r="N164">
        <v>21.692352</v>
      </c>
      <c r="O164">
        <v>22.011870999999999</v>
      </c>
      <c r="P164">
        <v>22.295715000000001</v>
      </c>
      <c r="Q164">
        <v>22.870239000000002</v>
      </c>
      <c r="R164">
        <v>23.251068</v>
      </c>
      <c r="S164">
        <v>23.447327000000001</v>
      </c>
      <c r="T164">
        <v>23.634003</v>
      </c>
      <c r="U164">
        <v>23.818787</v>
      </c>
      <c r="V164">
        <v>24.005096000000002</v>
      </c>
      <c r="W164">
        <v>24.197571</v>
      </c>
      <c r="X164">
        <v>24.385590000000001</v>
      </c>
      <c r="Y164">
        <v>24.591797</v>
      </c>
      <c r="Z164">
        <v>24.816680999999999</v>
      </c>
      <c r="AA164">
        <v>25.057403999999998</v>
      </c>
      <c r="AB164">
        <v>25.332642</v>
      </c>
      <c r="AC164">
        <v>25.637512000000001</v>
      </c>
      <c r="AD164">
        <v>25.968475000000002</v>
      </c>
      <c r="AE164">
        <v>26.329041</v>
      </c>
      <c r="AF164">
        <v>26.719512999999999</v>
      </c>
      <c r="AG164">
        <v>27.143004999999999</v>
      </c>
      <c r="AH164">
        <v>27.598327999999999</v>
      </c>
      <c r="AI164" t="s">
        <v>111</v>
      </c>
    </row>
    <row r="165" spans="1:35">
      <c r="A165" t="s">
        <v>1256</v>
      </c>
      <c r="B165" t="s">
        <v>1550</v>
      </c>
      <c r="C165" t="s">
        <v>1069</v>
      </c>
      <c r="D165" t="s">
        <v>200</v>
      </c>
      <c r="F165">
        <v>0</v>
      </c>
      <c r="G165">
        <v>22.792006000000001</v>
      </c>
      <c r="H165">
        <v>74.402717999999993</v>
      </c>
      <c r="I165">
        <v>44.716248</v>
      </c>
      <c r="J165">
        <v>57.993133999999998</v>
      </c>
      <c r="K165">
        <v>54.273457000000001</v>
      </c>
      <c r="L165">
        <v>51.795287999999999</v>
      </c>
      <c r="M165">
        <v>51.212234000000002</v>
      </c>
      <c r="N165">
        <v>52.077075999999998</v>
      </c>
      <c r="O165">
        <v>54.758178999999998</v>
      </c>
      <c r="P165">
        <v>57.779369000000003</v>
      </c>
      <c r="Q165">
        <v>61.833809000000002</v>
      </c>
      <c r="R165">
        <v>66.168610000000001</v>
      </c>
      <c r="S165">
        <v>69.022034000000005</v>
      </c>
      <c r="T165">
        <v>71.720344999999995</v>
      </c>
      <c r="U165">
        <v>74.601128000000003</v>
      </c>
      <c r="V165">
        <v>77.492294000000001</v>
      </c>
      <c r="W165">
        <v>80.764747999999997</v>
      </c>
      <c r="X165">
        <v>83.840393000000006</v>
      </c>
      <c r="Y165">
        <v>85.916290000000004</v>
      </c>
      <c r="Z165">
        <v>88.354316999999995</v>
      </c>
      <c r="AA165">
        <v>90.725646999999995</v>
      </c>
      <c r="AB165">
        <v>93.012282999999996</v>
      </c>
      <c r="AC165">
        <v>95.275702999999993</v>
      </c>
      <c r="AD165">
        <v>96.930526999999998</v>
      </c>
      <c r="AE165">
        <v>99.070449999999994</v>
      </c>
      <c r="AF165">
        <v>101.387764</v>
      </c>
      <c r="AG165">
        <v>103.807503</v>
      </c>
      <c r="AH165">
        <v>106.413315</v>
      </c>
      <c r="AI165" t="s">
        <v>111</v>
      </c>
    </row>
    <row r="166" spans="1:35">
      <c r="A166" t="s">
        <v>217</v>
      </c>
      <c r="B166" t="s">
        <v>1551</v>
      </c>
      <c r="C166" t="s">
        <v>1069</v>
      </c>
      <c r="D166" t="s">
        <v>200</v>
      </c>
      <c r="F166">
        <v>0</v>
      </c>
      <c r="G166">
        <v>3.6042939999999999</v>
      </c>
      <c r="H166">
        <v>47.323338</v>
      </c>
      <c r="I166">
        <v>25.081547</v>
      </c>
      <c r="J166">
        <v>36.088225999999999</v>
      </c>
      <c r="K166">
        <v>35.250145000000003</v>
      </c>
      <c r="L166">
        <v>33.467136000000004</v>
      </c>
      <c r="M166">
        <v>32.919186000000003</v>
      </c>
      <c r="N166">
        <v>34.377158999999999</v>
      </c>
      <c r="O166">
        <v>35.893459</v>
      </c>
      <c r="P166">
        <v>37.667839000000001</v>
      </c>
      <c r="Q166">
        <v>39.338538999999997</v>
      </c>
      <c r="R166">
        <v>41.088473999999998</v>
      </c>
      <c r="S166">
        <v>42.883583000000002</v>
      </c>
      <c r="T166">
        <v>44.583351</v>
      </c>
      <c r="U166">
        <v>46.405234999999998</v>
      </c>
      <c r="V166">
        <v>48.237968000000002</v>
      </c>
      <c r="W166">
        <v>50.054909000000002</v>
      </c>
      <c r="X166">
        <v>51.816090000000003</v>
      </c>
      <c r="Y166">
        <v>53.149906000000001</v>
      </c>
      <c r="Z166">
        <v>54.709114</v>
      </c>
      <c r="AA166">
        <v>56.237555999999998</v>
      </c>
      <c r="AB166">
        <v>57.744278000000001</v>
      </c>
      <c r="AC166">
        <v>59.240203999999999</v>
      </c>
      <c r="AD166">
        <v>60.373123</v>
      </c>
      <c r="AE166">
        <v>61.808743</v>
      </c>
      <c r="AF166">
        <v>63.379292</v>
      </c>
      <c r="AG166">
        <v>65.004767999999999</v>
      </c>
      <c r="AH166">
        <v>66.742683</v>
      </c>
      <c r="AI166" t="s">
        <v>111</v>
      </c>
    </row>
    <row r="167" spans="1:35">
      <c r="A167" t="s">
        <v>218</v>
      </c>
      <c r="B167" t="s">
        <v>1552</v>
      </c>
      <c r="C167" t="s">
        <v>1069</v>
      </c>
      <c r="D167" t="s">
        <v>200</v>
      </c>
      <c r="F167">
        <v>0</v>
      </c>
      <c r="G167">
        <v>0</v>
      </c>
      <c r="H167">
        <v>1.1706829999999999</v>
      </c>
      <c r="I167">
        <v>6.5943160000000001</v>
      </c>
      <c r="J167">
        <v>5.9159930000000003</v>
      </c>
      <c r="K167">
        <v>4.2207160000000004</v>
      </c>
      <c r="L167">
        <v>3.7680630000000002</v>
      </c>
      <c r="M167">
        <v>3.664326</v>
      </c>
      <c r="N167">
        <v>2.497312</v>
      </c>
      <c r="O167">
        <v>3.0966079999999998</v>
      </c>
      <c r="P167">
        <v>3.723773</v>
      </c>
      <c r="Q167">
        <v>5.5370480000000004</v>
      </c>
      <c r="R167">
        <v>7.546837</v>
      </c>
      <c r="S167">
        <v>8.0298370000000006</v>
      </c>
      <c r="T167">
        <v>8.4824219999999997</v>
      </c>
      <c r="U167">
        <v>8.9627379999999999</v>
      </c>
      <c r="V167">
        <v>9.4329149999999995</v>
      </c>
      <c r="W167">
        <v>9.8785399999999992</v>
      </c>
      <c r="X167">
        <v>10.28767</v>
      </c>
      <c r="Y167">
        <v>10.555084000000001</v>
      </c>
      <c r="Z167">
        <v>10.858917</v>
      </c>
      <c r="AA167">
        <v>11.105093</v>
      </c>
      <c r="AB167">
        <v>11.269012999999999</v>
      </c>
      <c r="AC167">
        <v>11.400671000000001</v>
      </c>
      <c r="AD167">
        <v>11.372805</v>
      </c>
      <c r="AE167">
        <v>11.416981</v>
      </c>
      <c r="AF167">
        <v>11.454242000000001</v>
      </c>
      <c r="AG167">
        <v>11.487852</v>
      </c>
      <c r="AH167">
        <v>11.547215</v>
      </c>
      <c r="AI167" t="s">
        <v>111</v>
      </c>
    </row>
    <row r="168" spans="1:35">
      <c r="A168" t="s">
        <v>219</v>
      </c>
      <c r="B168" t="s">
        <v>1553</v>
      </c>
      <c r="C168" t="s">
        <v>1069</v>
      </c>
      <c r="D168" t="s">
        <v>200</v>
      </c>
      <c r="F168">
        <v>0</v>
      </c>
      <c r="G168">
        <v>19.187712000000001</v>
      </c>
      <c r="H168">
        <v>25.908698999999999</v>
      </c>
      <c r="I168">
        <v>13.040388</v>
      </c>
      <c r="J168">
        <v>15.988916</v>
      </c>
      <c r="K168">
        <v>14.802597</v>
      </c>
      <c r="L168">
        <v>14.560089</v>
      </c>
      <c r="M168">
        <v>14.628723000000001</v>
      </c>
      <c r="N168">
        <v>15.202605999999999</v>
      </c>
      <c r="O168">
        <v>15.768112</v>
      </c>
      <c r="P168">
        <v>16.387756</v>
      </c>
      <c r="Q168">
        <v>16.958221000000002</v>
      </c>
      <c r="R168">
        <v>17.533294999999999</v>
      </c>
      <c r="S168">
        <v>18.108612000000001</v>
      </c>
      <c r="T168">
        <v>18.654572000000002</v>
      </c>
      <c r="U168">
        <v>19.233153999999999</v>
      </c>
      <c r="V168">
        <v>19.821411000000001</v>
      </c>
      <c r="W168">
        <v>20.831299000000001</v>
      </c>
      <c r="X168">
        <v>21.736633000000001</v>
      </c>
      <c r="Y168">
        <v>22.211303999999998</v>
      </c>
      <c r="Z168">
        <v>22.786284999999999</v>
      </c>
      <c r="AA168">
        <v>23.382995999999999</v>
      </c>
      <c r="AB168">
        <v>23.998992999999999</v>
      </c>
      <c r="AC168">
        <v>24.634827000000001</v>
      </c>
      <c r="AD168">
        <v>25.184601000000001</v>
      </c>
      <c r="AE168">
        <v>25.844726999999999</v>
      </c>
      <c r="AF168">
        <v>26.55423</v>
      </c>
      <c r="AG168">
        <v>27.314879999999999</v>
      </c>
      <c r="AH168">
        <v>28.123412999999999</v>
      </c>
      <c r="AI168" t="s">
        <v>111</v>
      </c>
    </row>
    <row r="169" spans="1:35">
      <c r="A169" t="s">
        <v>1259</v>
      </c>
      <c r="B169" t="s">
        <v>1554</v>
      </c>
      <c r="C169" t="s">
        <v>1069</v>
      </c>
      <c r="D169" t="s">
        <v>200</v>
      </c>
      <c r="F169">
        <v>0</v>
      </c>
      <c r="G169">
        <v>209.46492000000001</v>
      </c>
      <c r="H169">
        <v>460.13586400000003</v>
      </c>
      <c r="I169">
        <v>229.08583100000001</v>
      </c>
      <c r="J169">
        <v>317.47808800000001</v>
      </c>
      <c r="K169">
        <v>187.26048299999999</v>
      </c>
      <c r="L169">
        <v>214.348862</v>
      </c>
      <c r="M169">
        <v>249.834259</v>
      </c>
      <c r="N169">
        <v>296.81411700000001</v>
      </c>
      <c r="O169">
        <v>319.17443800000001</v>
      </c>
      <c r="P169">
        <v>339.22967499999999</v>
      </c>
      <c r="Q169">
        <v>397.25842299999999</v>
      </c>
      <c r="R169">
        <v>406.20275900000001</v>
      </c>
      <c r="S169">
        <v>413.12435900000003</v>
      </c>
      <c r="T169">
        <v>419.67819200000002</v>
      </c>
      <c r="U169">
        <v>426.31133999999997</v>
      </c>
      <c r="V169">
        <v>432.356964</v>
      </c>
      <c r="W169">
        <v>437.99243200000001</v>
      </c>
      <c r="X169">
        <v>444.01953099999997</v>
      </c>
      <c r="Y169">
        <v>449.06921399999999</v>
      </c>
      <c r="Z169">
        <v>453.67553700000002</v>
      </c>
      <c r="AA169">
        <v>457.88363600000002</v>
      </c>
      <c r="AB169">
        <v>461.77047700000003</v>
      </c>
      <c r="AC169">
        <v>465.51147500000002</v>
      </c>
      <c r="AD169">
        <v>469.37573200000003</v>
      </c>
      <c r="AE169">
        <v>473.366669</v>
      </c>
      <c r="AF169">
        <v>477.805969</v>
      </c>
      <c r="AG169">
        <v>483.20083599999998</v>
      </c>
      <c r="AH169">
        <v>489.35626200000002</v>
      </c>
      <c r="AI169" t="s">
        <v>111</v>
      </c>
    </row>
    <row r="170" spans="1:35">
      <c r="A170" t="s">
        <v>217</v>
      </c>
      <c r="B170" t="s">
        <v>1555</v>
      </c>
      <c r="C170" t="s">
        <v>1069</v>
      </c>
      <c r="D170" t="s">
        <v>200</v>
      </c>
      <c r="F170">
        <v>0</v>
      </c>
      <c r="G170">
        <v>0</v>
      </c>
      <c r="H170">
        <v>221.829926</v>
      </c>
      <c r="I170">
        <v>120.38294999999999</v>
      </c>
      <c r="J170">
        <v>159.10351600000001</v>
      </c>
      <c r="K170">
        <v>105.838966</v>
      </c>
      <c r="L170">
        <v>123.445007</v>
      </c>
      <c r="M170">
        <v>142.73538199999999</v>
      </c>
      <c r="N170">
        <v>161.134232</v>
      </c>
      <c r="O170">
        <v>178.18235799999999</v>
      </c>
      <c r="P170">
        <v>193.75765999999999</v>
      </c>
      <c r="Q170">
        <v>247.382935</v>
      </c>
      <c r="R170">
        <v>252.203857</v>
      </c>
      <c r="S170">
        <v>255.38964799999999</v>
      </c>
      <c r="T170">
        <v>258.36474600000003</v>
      </c>
      <c r="U170">
        <v>261.22705100000002</v>
      </c>
      <c r="V170">
        <v>263.53198200000003</v>
      </c>
      <c r="W170">
        <v>265.51074199999999</v>
      </c>
      <c r="X170">
        <v>267.742188</v>
      </c>
      <c r="Y170">
        <v>269.3125</v>
      </c>
      <c r="Z170">
        <v>270.68798800000002</v>
      </c>
      <c r="AA170">
        <v>271.945312</v>
      </c>
      <c r="AB170">
        <v>273.14111300000002</v>
      </c>
      <c r="AC170">
        <v>274.41601600000001</v>
      </c>
      <c r="AD170">
        <v>275.93505900000002</v>
      </c>
      <c r="AE170">
        <v>277.73779300000001</v>
      </c>
      <c r="AF170">
        <v>280.03198200000003</v>
      </c>
      <c r="AG170">
        <v>283.20404100000002</v>
      </c>
      <c r="AH170">
        <v>286.96154799999999</v>
      </c>
      <c r="AI170" t="s">
        <v>111</v>
      </c>
    </row>
    <row r="171" spans="1:35">
      <c r="A171" t="s">
        <v>218</v>
      </c>
      <c r="B171" t="s">
        <v>1556</v>
      </c>
      <c r="C171" t="s">
        <v>1069</v>
      </c>
      <c r="D171" t="s">
        <v>200</v>
      </c>
      <c r="F171">
        <v>0</v>
      </c>
      <c r="G171">
        <v>0</v>
      </c>
      <c r="H171">
        <v>47.794128000000001</v>
      </c>
      <c r="I171">
        <v>34.290160999999998</v>
      </c>
      <c r="J171">
        <v>78.167045999999999</v>
      </c>
      <c r="K171">
        <v>21.906136</v>
      </c>
      <c r="L171">
        <v>29.046921000000001</v>
      </c>
      <c r="M171">
        <v>42.34742</v>
      </c>
      <c r="N171">
        <v>67.976646000000002</v>
      </c>
      <c r="O171">
        <v>70.347549000000001</v>
      </c>
      <c r="P171">
        <v>71.901809999999998</v>
      </c>
      <c r="Q171">
        <v>73.409531000000001</v>
      </c>
      <c r="R171">
        <v>74.759415000000004</v>
      </c>
      <c r="S171">
        <v>75.880463000000006</v>
      </c>
      <c r="T171">
        <v>76.833099000000004</v>
      </c>
      <c r="U171">
        <v>77.983086</v>
      </c>
      <c r="V171">
        <v>79.231110000000001</v>
      </c>
      <c r="W171">
        <v>80.483269000000007</v>
      </c>
      <c r="X171">
        <v>81.913345000000007</v>
      </c>
      <c r="Y171">
        <v>83.149544000000006</v>
      </c>
      <c r="Z171">
        <v>84.208145000000002</v>
      </c>
      <c r="AA171">
        <v>85.047950999999998</v>
      </c>
      <c r="AB171">
        <v>85.678557999999995</v>
      </c>
      <c r="AC171">
        <v>86.113647</v>
      </c>
      <c r="AD171">
        <v>86.440674000000001</v>
      </c>
      <c r="AE171">
        <v>86.611412000000001</v>
      </c>
      <c r="AF171">
        <v>86.682541000000001</v>
      </c>
      <c r="AG171">
        <v>86.753997999999996</v>
      </c>
      <c r="AH171">
        <v>86.938659999999999</v>
      </c>
      <c r="AI171" t="s">
        <v>111</v>
      </c>
    </row>
    <row r="172" spans="1:35">
      <c r="A172" t="s">
        <v>219</v>
      </c>
      <c r="B172" t="s">
        <v>1557</v>
      </c>
      <c r="C172" t="s">
        <v>1069</v>
      </c>
      <c r="D172" t="s">
        <v>200</v>
      </c>
      <c r="F172">
        <v>0</v>
      </c>
      <c r="G172">
        <v>209.46492000000001</v>
      </c>
      <c r="H172">
        <v>190.51182600000001</v>
      </c>
      <c r="I172">
        <v>74.412719999999993</v>
      </c>
      <c r="J172">
        <v>80.207520000000002</v>
      </c>
      <c r="K172">
        <v>59.515380999999998</v>
      </c>
      <c r="L172">
        <v>61.856934000000003</v>
      </c>
      <c r="M172">
        <v>64.751464999999996</v>
      </c>
      <c r="N172">
        <v>67.703247000000005</v>
      </c>
      <c r="O172">
        <v>70.644531000000001</v>
      </c>
      <c r="P172">
        <v>73.570189999999997</v>
      </c>
      <c r="Q172">
        <v>76.465941999999998</v>
      </c>
      <c r="R172">
        <v>79.239502000000002</v>
      </c>
      <c r="S172">
        <v>81.854247999999998</v>
      </c>
      <c r="T172">
        <v>84.480346999999995</v>
      </c>
      <c r="U172">
        <v>87.101196000000002</v>
      </c>
      <c r="V172">
        <v>89.593872000000005</v>
      </c>
      <c r="W172">
        <v>91.998412999999999</v>
      </c>
      <c r="X172">
        <v>94.364013999999997</v>
      </c>
      <c r="Y172">
        <v>96.607178000000005</v>
      </c>
      <c r="Z172">
        <v>98.779419000000004</v>
      </c>
      <c r="AA172">
        <v>100.890381</v>
      </c>
      <c r="AB172">
        <v>102.950806</v>
      </c>
      <c r="AC172">
        <v>104.98181200000001</v>
      </c>
      <c r="AD172">
        <v>107</v>
      </c>
      <c r="AE172">
        <v>109.017456</v>
      </c>
      <c r="AF172">
        <v>111.091431</v>
      </c>
      <c r="AG172">
        <v>113.24279799999999</v>
      </c>
      <c r="AH172">
        <v>115.45605500000001</v>
      </c>
      <c r="AI172" t="s">
        <v>111</v>
      </c>
    </row>
    <row r="173" spans="1:35">
      <c r="A173" t="s">
        <v>1262</v>
      </c>
      <c r="B173" t="s">
        <v>1558</v>
      </c>
      <c r="C173" t="s">
        <v>1069</v>
      </c>
      <c r="D173" t="s">
        <v>200</v>
      </c>
      <c r="F173">
        <v>0.79372399999999999</v>
      </c>
      <c r="G173">
        <v>12.980262</v>
      </c>
      <c r="H173">
        <v>13.87327</v>
      </c>
      <c r="I173">
        <v>26.350292</v>
      </c>
      <c r="J173">
        <v>34.025683999999998</v>
      </c>
      <c r="K173">
        <v>23.44116</v>
      </c>
      <c r="L173">
        <v>23.946943000000001</v>
      </c>
      <c r="M173">
        <v>7.5498479999999999</v>
      </c>
      <c r="N173">
        <v>10.049531999999999</v>
      </c>
      <c r="O173">
        <v>12.750522999999999</v>
      </c>
      <c r="P173">
        <v>15.652850000000001</v>
      </c>
      <c r="Q173">
        <v>19.172958000000001</v>
      </c>
      <c r="R173">
        <v>21.966609999999999</v>
      </c>
      <c r="S173">
        <v>24.430050000000001</v>
      </c>
      <c r="T173">
        <v>26.608149000000001</v>
      </c>
      <c r="U173">
        <v>29.806080000000001</v>
      </c>
      <c r="V173">
        <v>31.115946000000001</v>
      </c>
      <c r="W173">
        <v>32.410407999999997</v>
      </c>
      <c r="X173">
        <v>32.874062000000002</v>
      </c>
      <c r="Y173">
        <v>33.091309000000003</v>
      </c>
      <c r="Z173">
        <v>35.272255000000001</v>
      </c>
      <c r="AA173">
        <v>35.527016000000003</v>
      </c>
      <c r="AB173">
        <v>34.892966999999999</v>
      </c>
      <c r="AC173">
        <v>34.265090999999998</v>
      </c>
      <c r="AD173">
        <v>33.642463999999997</v>
      </c>
      <c r="AE173">
        <v>33.005409</v>
      </c>
      <c r="AF173">
        <v>32.366652999999999</v>
      </c>
      <c r="AG173">
        <v>31.752213000000001</v>
      </c>
      <c r="AH173">
        <v>31.186401</v>
      </c>
      <c r="AI173" s="22">
        <v>0.14000000000000001</v>
      </c>
    </row>
    <row r="174" spans="1:35">
      <c r="A174" t="s">
        <v>217</v>
      </c>
      <c r="B174" t="s">
        <v>1559</v>
      </c>
      <c r="C174" t="s">
        <v>1069</v>
      </c>
      <c r="D174" t="s">
        <v>200</v>
      </c>
      <c r="F174">
        <v>0.79372399999999999</v>
      </c>
      <c r="G174">
        <v>7.4462910000000004</v>
      </c>
      <c r="H174">
        <v>10.540979</v>
      </c>
      <c r="I174">
        <v>9.1241839999999996</v>
      </c>
      <c r="J174">
        <v>8.5874229999999994</v>
      </c>
      <c r="K174">
        <v>6.9385599999999998</v>
      </c>
      <c r="L174">
        <v>7.4051960000000001</v>
      </c>
      <c r="M174">
        <v>4.6872920000000002</v>
      </c>
      <c r="N174">
        <v>5.5550129999999998</v>
      </c>
      <c r="O174">
        <v>6.4856889999999998</v>
      </c>
      <c r="P174">
        <v>7.4760400000000002</v>
      </c>
      <c r="Q174">
        <v>8.5032789999999991</v>
      </c>
      <c r="R174">
        <v>9.4984909999999996</v>
      </c>
      <c r="S174">
        <v>10.436935999999999</v>
      </c>
      <c r="T174">
        <v>11.300264</v>
      </c>
      <c r="U174">
        <v>12.071911</v>
      </c>
      <c r="V174">
        <v>13.071901</v>
      </c>
      <c r="W174">
        <v>14.14739</v>
      </c>
      <c r="X174">
        <v>14.482977</v>
      </c>
      <c r="Y174">
        <v>14.647125000000001</v>
      </c>
      <c r="Z174">
        <v>14.705292</v>
      </c>
      <c r="AA174">
        <v>14.677673</v>
      </c>
      <c r="AB174">
        <v>14.582153</v>
      </c>
      <c r="AC174">
        <v>14.438843</v>
      </c>
      <c r="AD174">
        <v>14.260223</v>
      </c>
      <c r="AE174">
        <v>14.050934</v>
      </c>
      <c r="AF174">
        <v>13.821960000000001</v>
      </c>
      <c r="AG174">
        <v>13.586792000000001</v>
      </c>
      <c r="AH174">
        <v>13.356964</v>
      </c>
      <c r="AI174" s="22">
        <v>0.106</v>
      </c>
    </row>
    <row r="175" spans="1:35">
      <c r="A175" t="s">
        <v>218</v>
      </c>
      <c r="B175" t="s">
        <v>1560</v>
      </c>
      <c r="C175" t="s">
        <v>1069</v>
      </c>
      <c r="D175" t="s">
        <v>200</v>
      </c>
      <c r="F175">
        <v>0</v>
      </c>
      <c r="G175">
        <v>0</v>
      </c>
      <c r="H175">
        <v>0.42932500000000001</v>
      </c>
      <c r="I175">
        <v>14.579053</v>
      </c>
      <c r="J175">
        <v>24.163519000000001</v>
      </c>
      <c r="K175">
        <v>14.927294</v>
      </c>
      <c r="L175">
        <v>14.637105999999999</v>
      </c>
      <c r="M175">
        <v>0.63064600000000004</v>
      </c>
      <c r="N175">
        <v>1.9469030000000001</v>
      </c>
      <c r="O175">
        <v>3.405764</v>
      </c>
      <c r="P175">
        <v>4.9879540000000002</v>
      </c>
      <c r="Q175">
        <v>6.6358100000000002</v>
      </c>
      <c r="R175">
        <v>8.1877010000000006</v>
      </c>
      <c r="S175">
        <v>9.5605790000000006</v>
      </c>
      <c r="T175">
        <v>10.737700999999999</v>
      </c>
      <c r="U175">
        <v>13.039307000000001</v>
      </c>
      <c r="V175">
        <v>13.238830999999999</v>
      </c>
      <c r="W175">
        <v>13.362273999999999</v>
      </c>
      <c r="X175">
        <v>13.415436</v>
      </c>
      <c r="Y175">
        <v>13.404968</v>
      </c>
      <c r="Z175">
        <v>15.479445999999999</v>
      </c>
      <c r="AA175">
        <v>15.727722</v>
      </c>
      <c r="AB175">
        <v>15.166382</v>
      </c>
      <c r="AC175">
        <v>14.668182</v>
      </c>
      <c r="AD175">
        <v>14.217926</v>
      </c>
      <c r="AE175">
        <v>13.793549000000001</v>
      </c>
      <c r="AF175">
        <v>13.395325</v>
      </c>
      <c r="AG175">
        <v>13.034515000000001</v>
      </c>
      <c r="AH175">
        <v>12.721436000000001</v>
      </c>
      <c r="AI175" t="s">
        <v>111</v>
      </c>
    </row>
    <row r="176" spans="1:35">
      <c r="A176" t="s">
        <v>219</v>
      </c>
      <c r="B176" t="s">
        <v>1561</v>
      </c>
      <c r="C176" t="s">
        <v>1069</v>
      </c>
      <c r="D176" t="s">
        <v>200</v>
      </c>
      <c r="F176">
        <v>0</v>
      </c>
      <c r="G176">
        <v>5.5339710000000002</v>
      </c>
      <c r="H176">
        <v>2.9029660000000002</v>
      </c>
      <c r="I176">
        <v>2.6470570000000002</v>
      </c>
      <c r="J176">
        <v>1.2747409999999999</v>
      </c>
      <c r="K176">
        <v>1.5753060000000001</v>
      </c>
      <c r="L176">
        <v>1.9046419999999999</v>
      </c>
      <c r="M176">
        <v>2.2319100000000001</v>
      </c>
      <c r="N176">
        <v>2.5476160000000001</v>
      </c>
      <c r="O176">
        <v>2.8590689999999999</v>
      </c>
      <c r="P176">
        <v>3.1888550000000002</v>
      </c>
      <c r="Q176">
        <v>4.0338690000000001</v>
      </c>
      <c r="R176">
        <v>4.2804180000000001</v>
      </c>
      <c r="S176">
        <v>4.4325330000000003</v>
      </c>
      <c r="T176">
        <v>4.5701830000000001</v>
      </c>
      <c r="U176">
        <v>4.6948619999999996</v>
      </c>
      <c r="V176">
        <v>4.8052140000000003</v>
      </c>
      <c r="W176">
        <v>4.9007420000000002</v>
      </c>
      <c r="X176">
        <v>4.9756470000000004</v>
      </c>
      <c r="Y176">
        <v>5.0392150000000004</v>
      </c>
      <c r="Z176">
        <v>5.0875170000000001</v>
      </c>
      <c r="AA176">
        <v>5.1216200000000001</v>
      </c>
      <c r="AB176">
        <v>5.1444320000000001</v>
      </c>
      <c r="AC176">
        <v>5.1580659999999998</v>
      </c>
      <c r="AD176">
        <v>5.1643140000000001</v>
      </c>
      <c r="AE176">
        <v>5.160927</v>
      </c>
      <c r="AF176">
        <v>5.1493679999999999</v>
      </c>
      <c r="AG176">
        <v>5.1309050000000003</v>
      </c>
      <c r="AH176">
        <v>5.1080019999999999</v>
      </c>
      <c r="AI176" t="s">
        <v>111</v>
      </c>
    </row>
    <row r="177" spans="1:35">
      <c r="A177" t="s">
        <v>1265</v>
      </c>
      <c r="B177" t="s">
        <v>1562</v>
      </c>
      <c r="C177" t="s">
        <v>1069</v>
      </c>
      <c r="D177" t="s">
        <v>200</v>
      </c>
      <c r="F177">
        <v>0</v>
      </c>
      <c r="G177">
        <v>8.2998980000000007</v>
      </c>
      <c r="H177">
        <v>38.095581000000003</v>
      </c>
      <c r="I177">
        <v>52.605324000000003</v>
      </c>
      <c r="J177">
        <v>38.831344999999999</v>
      </c>
      <c r="K177">
        <v>36.263339999999999</v>
      </c>
      <c r="L177">
        <v>38.536208999999999</v>
      </c>
      <c r="M177">
        <v>37.579514000000003</v>
      </c>
      <c r="N177">
        <v>40.607680999999999</v>
      </c>
      <c r="O177">
        <v>43.308140000000002</v>
      </c>
      <c r="P177">
        <v>45.546779999999998</v>
      </c>
      <c r="Q177">
        <v>51.024161999999997</v>
      </c>
      <c r="R177">
        <v>55.126358000000003</v>
      </c>
      <c r="S177">
        <v>55.12912</v>
      </c>
      <c r="T177">
        <v>55.547545999999997</v>
      </c>
      <c r="U177">
        <v>56.460537000000002</v>
      </c>
      <c r="V177">
        <v>57.931061</v>
      </c>
      <c r="W177">
        <v>57.521850999999998</v>
      </c>
      <c r="X177">
        <v>61.387970000000003</v>
      </c>
      <c r="Y177">
        <v>62.124954000000002</v>
      </c>
      <c r="Z177">
        <v>63.149524999999997</v>
      </c>
      <c r="AA177">
        <v>64.233458999999996</v>
      </c>
      <c r="AB177">
        <v>65.384048000000007</v>
      </c>
      <c r="AC177">
        <v>66.553618999999998</v>
      </c>
      <c r="AD177">
        <v>67.687691000000001</v>
      </c>
      <c r="AE177">
        <v>68.894240999999994</v>
      </c>
      <c r="AF177">
        <v>70.257583999999994</v>
      </c>
      <c r="AG177">
        <v>71.682845999999998</v>
      </c>
      <c r="AH177">
        <v>73.041831999999999</v>
      </c>
      <c r="AI177" t="s">
        <v>111</v>
      </c>
    </row>
    <row r="178" spans="1:35">
      <c r="A178" t="s">
        <v>217</v>
      </c>
      <c r="B178" t="s">
        <v>1563</v>
      </c>
      <c r="C178" t="s">
        <v>1069</v>
      </c>
      <c r="D178" t="s">
        <v>200</v>
      </c>
      <c r="F178">
        <v>0</v>
      </c>
      <c r="G178">
        <v>0</v>
      </c>
      <c r="H178">
        <v>2.1184859999999999</v>
      </c>
      <c r="I178">
        <v>14.333235</v>
      </c>
      <c r="J178">
        <v>8.4892459999999996</v>
      </c>
      <c r="K178">
        <v>9.3029770000000003</v>
      </c>
      <c r="L178">
        <v>11.527939</v>
      </c>
      <c r="M178">
        <v>13.043364</v>
      </c>
      <c r="N178">
        <v>15.177201</v>
      </c>
      <c r="O178">
        <v>17.062756</v>
      </c>
      <c r="P178">
        <v>18.632449999999999</v>
      </c>
      <c r="Q178">
        <v>23.383787000000002</v>
      </c>
      <c r="R178">
        <v>26.739440999999999</v>
      </c>
      <c r="S178">
        <v>26.429901000000001</v>
      </c>
      <c r="T178">
        <v>26.310669000000001</v>
      </c>
      <c r="U178">
        <v>26.42334</v>
      </c>
      <c r="V178">
        <v>26.262481999999999</v>
      </c>
      <c r="W178">
        <v>25.816986</v>
      </c>
      <c r="X178">
        <v>29.670959</v>
      </c>
      <c r="Y178">
        <v>30.239594</v>
      </c>
      <c r="Z178">
        <v>31.060184</v>
      </c>
      <c r="AA178">
        <v>31.933064000000002</v>
      </c>
      <c r="AB178">
        <v>32.858215000000001</v>
      </c>
      <c r="AC178">
        <v>33.782725999999997</v>
      </c>
      <c r="AD178">
        <v>34.653114000000002</v>
      </c>
      <c r="AE178">
        <v>35.545791999999999</v>
      </c>
      <c r="AF178">
        <v>36.475109000000003</v>
      </c>
      <c r="AG178">
        <v>37.396743999999998</v>
      </c>
      <c r="AH178">
        <v>38.194510999999999</v>
      </c>
      <c r="AI178" t="s">
        <v>111</v>
      </c>
    </row>
    <row r="179" spans="1:35">
      <c r="A179" t="s">
        <v>218</v>
      </c>
      <c r="B179" t="s">
        <v>1564</v>
      </c>
      <c r="C179" t="s">
        <v>1069</v>
      </c>
      <c r="D179" t="s">
        <v>200</v>
      </c>
      <c r="F179">
        <v>0</v>
      </c>
      <c r="G179">
        <v>0</v>
      </c>
      <c r="H179">
        <v>2.6404640000000001</v>
      </c>
      <c r="I179">
        <v>8.6513419999999996</v>
      </c>
      <c r="J179">
        <v>8.5475119999999993</v>
      </c>
      <c r="K179">
        <v>5.0834099999999998</v>
      </c>
      <c r="L179">
        <v>4.9653910000000003</v>
      </c>
      <c r="M179">
        <v>2.3322020000000001</v>
      </c>
      <c r="N179">
        <v>3.053315</v>
      </c>
      <c r="O179">
        <v>3.8036720000000002</v>
      </c>
      <c r="P179">
        <v>4.5707329999999997</v>
      </c>
      <c r="Q179">
        <v>5.3463390000000004</v>
      </c>
      <c r="R179">
        <v>6.1272130000000002</v>
      </c>
      <c r="S179">
        <v>6.8328249999999997</v>
      </c>
      <c r="T179">
        <v>7.5031720000000002</v>
      </c>
      <c r="U179">
        <v>8.1220660000000002</v>
      </c>
      <c r="V179">
        <v>9.6340640000000004</v>
      </c>
      <c r="W179">
        <v>9.7615359999999995</v>
      </c>
      <c r="X179">
        <v>9.8415529999999993</v>
      </c>
      <c r="Y179">
        <v>9.8936919999999997</v>
      </c>
      <c r="Z179">
        <v>9.9146879999999999</v>
      </c>
      <c r="AA179">
        <v>9.9091640000000005</v>
      </c>
      <c r="AB179">
        <v>9.8867650000000005</v>
      </c>
      <c r="AC179">
        <v>9.8553010000000008</v>
      </c>
      <c r="AD179">
        <v>9.8242189999999994</v>
      </c>
      <c r="AE179">
        <v>9.8048400000000004</v>
      </c>
      <c r="AF179">
        <v>9.8116149999999998</v>
      </c>
      <c r="AG179">
        <v>9.8472600000000003</v>
      </c>
      <c r="AH179">
        <v>9.9160160000000008</v>
      </c>
      <c r="AI179" t="s">
        <v>111</v>
      </c>
    </row>
    <row r="180" spans="1:35">
      <c r="A180" t="s">
        <v>219</v>
      </c>
      <c r="B180" t="s">
        <v>1565</v>
      </c>
      <c r="C180" t="s">
        <v>1069</v>
      </c>
      <c r="D180" t="s">
        <v>200</v>
      </c>
      <c r="F180">
        <v>0</v>
      </c>
      <c r="G180">
        <v>8.2998980000000007</v>
      </c>
      <c r="H180">
        <v>33.336632000000002</v>
      </c>
      <c r="I180">
        <v>29.620747000000001</v>
      </c>
      <c r="J180">
        <v>21.794585999999999</v>
      </c>
      <c r="K180">
        <v>21.876953</v>
      </c>
      <c r="L180">
        <v>22.042877000000001</v>
      </c>
      <c r="M180">
        <v>22.203949000000001</v>
      </c>
      <c r="N180">
        <v>22.377167</v>
      </c>
      <c r="O180">
        <v>22.441711000000002</v>
      </c>
      <c r="P180">
        <v>22.343596999999999</v>
      </c>
      <c r="Q180">
        <v>22.294036999999999</v>
      </c>
      <c r="R180">
        <v>22.259705</v>
      </c>
      <c r="S180">
        <v>21.866394</v>
      </c>
      <c r="T180">
        <v>21.733703999999999</v>
      </c>
      <c r="U180">
        <v>21.915130999999999</v>
      </c>
      <c r="V180">
        <v>22.034514999999999</v>
      </c>
      <c r="W180">
        <v>21.943328999999999</v>
      </c>
      <c r="X180">
        <v>21.875457999999998</v>
      </c>
      <c r="Y180">
        <v>21.991669000000002</v>
      </c>
      <c r="Z180">
        <v>22.174651999999998</v>
      </c>
      <c r="AA180">
        <v>22.391235000000002</v>
      </c>
      <c r="AB180">
        <v>22.639068999999999</v>
      </c>
      <c r="AC180">
        <v>22.915588</v>
      </c>
      <c r="AD180">
        <v>23.210357999999999</v>
      </c>
      <c r="AE180">
        <v>23.543610000000001</v>
      </c>
      <c r="AF180">
        <v>23.970856000000001</v>
      </c>
      <c r="AG180">
        <v>24.438842999999999</v>
      </c>
      <c r="AH180">
        <v>24.931304999999998</v>
      </c>
      <c r="AI180" t="s">
        <v>111</v>
      </c>
    </row>
    <row r="181" spans="1:35">
      <c r="A181" t="s">
        <v>1268</v>
      </c>
      <c r="B181" t="s">
        <v>1566</v>
      </c>
      <c r="C181" t="s">
        <v>1069</v>
      </c>
      <c r="D181" t="s">
        <v>200</v>
      </c>
      <c r="F181">
        <v>1.548062</v>
      </c>
      <c r="G181">
        <v>0.40694900000000001</v>
      </c>
      <c r="H181">
        <v>4.8166710000000004</v>
      </c>
      <c r="I181">
        <v>20.534969</v>
      </c>
      <c r="J181">
        <v>32.079707999999997</v>
      </c>
      <c r="K181">
        <v>20.609804</v>
      </c>
      <c r="L181">
        <v>20.630108</v>
      </c>
      <c r="M181">
        <v>13.326860999999999</v>
      </c>
      <c r="N181">
        <v>15.014462</v>
      </c>
      <c r="O181">
        <v>14.232529</v>
      </c>
      <c r="P181">
        <v>11.986039</v>
      </c>
      <c r="Q181">
        <v>15.703169000000001</v>
      </c>
      <c r="R181">
        <v>17.806175</v>
      </c>
      <c r="S181">
        <v>18.755282999999999</v>
      </c>
      <c r="T181">
        <v>21.919620999999999</v>
      </c>
      <c r="U181">
        <v>21.439056000000001</v>
      </c>
      <c r="V181">
        <v>20.925242999999998</v>
      </c>
      <c r="W181">
        <v>21.061748999999999</v>
      </c>
      <c r="X181">
        <v>21.5837</v>
      </c>
      <c r="Y181">
        <v>22.559345</v>
      </c>
      <c r="Z181">
        <v>23.275272000000001</v>
      </c>
      <c r="AA181">
        <v>23.497261000000002</v>
      </c>
      <c r="AB181">
        <v>23.522503</v>
      </c>
      <c r="AC181">
        <v>23.249434999999998</v>
      </c>
      <c r="AD181">
        <v>22.661169000000001</v>
      </c>
      <c r="AE181">
        <v>22.079357000000002</v>
      </c>
      <c r="AF181">
        <v>21.822834</v>
      </c>
      <c r="AG181">
        <v>21.902353000000002</v>
      </c>
      <c r="AH181">
        <v>22.206213000000002</v>
      </c>
      <c r="AI181" s="22">
        <v>0.1</v>
      </c>
    </row>
    <row r="182" spans="1:35">
      <c r="A182" t="s">
        <v>217</v>
      </c>
      <c r="B182" t="s">
        <v>1567</v>
      </c>
      <c r="C182" t="s">
        <v>1069</v>
      </c>
      <c r="D182" t="s">
        <v>200</v>
      </c>
      <c r="F182">
        <v>0</v>
      </c>
      <c r="G182">
        <v>0</v>
      </c>
      <c r="H182">
        <v>0</v>
      </c>
      <c r="I182">
        <v>10.911906999999999</v>
      </c>
      <c r="J182">
        <v>16.296938000000001</v>
      </c>
      <c r="K182">
        <v>10.302027000000001</v>
      </c>
      <c r="L182">
        <v>10.519545000000001</v>
      </c>
      <c r="M182">
        <v>7.0495219999999996</v>
      </c>
      <c r="N182">
        <v>8.0902919999999998</v>
      </c>
      <c r="O182">
        <v>7.8387279999999997</v>
      </c>
      <c r="P182">
        <v>6.8081899999999997</v>
      </c>
      <c r="Q182">
        <v>7.5327210000000004</v>
      </c>
      <c r="R182">
        <v>8.5408380000000008</v>
      </c>
      <c r="S182">
        <v>9.3576350000000001</v>
      </c>
      <c r="T182">
        <v>12.303055000000001</v>
      </c>
      <c r="U182">
        <v>12.014191</v>
      </c>
      <c r="V182">
        <v>11.662108999999999</v>
      </c>
      <c r="W182">
        <v>11.604355</v>
      </c>
      <c r="X182">
        <v>11.726746</v>
      </c>
      <c r="Y182">
        <v>12.056839</v>
      </c>
      <c r="Z182">
        <v>12.26825</v>
      </c>
      <c r="AA182">
        <v>12.228882</v>
      </c>
      <c r="AB182">
        <v>12.117050000000001</v>
      </c>
      <c r="AC182">
        <v>11.890594</v>
      </c>
      <c r="AD182">
        <v>11.539612</v>
      </c>
      <c r="AE182">
        <v>11.207397</v>
      </c>
      <c r="AF182">
        <v>11.077102999999999</v>
      </c>
      <c r="AG182">
        <v>11.135910000000001</v>
      </c>
      <c r="AH182">
        <v>11.343048</v>
      </c>
      <c r="AI182" t="s">
        <v>111</v>
      </c>
    </row>
    <row r="183" spans="1:35">
      <c r="A183" t="s">
        <v>218</v>
      </c>
      <c r="B183" t="s">
        <v>1568</v>
      </c>
      <c r="C183" t="s">
        <v>1069</v>
      </c>
      <c r="D183" t="s">
        <v>200</v>
      </c>
      <c r="F183">
        <v>0</v>
      </c>
      <c r="G183">
        <v>0</v>
      </c>
      <c r="H183">
        <v>4.2203200000000001</v>
      </c>
      <c r="I183">
        <v>8.9817909999999994</v>
      </c>
      <c r="J183">
        <v>15.300864000000001</v>
      </c>
      <c r="K183">
        <v>9.8738729999999997</v>
      </c>
      <c r="L183">
        <v>9.6676289999999998</v>
      </c>
      <c r="M183">
        <v>5.8619880000000002</v>
      </c>
      <c r="N183">
        <v>6.5125869999999999</v>
      </c>
      <c r="O183">
        <v>6.0127410000000001</v>
      </c>
      <c r="P183">
        <v>4.8427749999999996</v>
      </c>
      <c r="Q183">
        <v>7.8420709999999998</v>
      </c>
      <c r="R183">
        <v>8.9356120000000008</v>
      </c>
      <c r="S183">
        <v>9.0690570000000008</v>
      </c>
      <c r="T183">
        <v>9.2871439999999996</v>
      </c>
      <c r="U183">
        <v>9.1031060000000004</v>
      </c>
      <c r="V183">
        <v>8.948658</v>
      </c>
      <c r="W183">
        <v>9.1422129999999999</v>
      </c>
      <c r="X183">
        <v>9.5360320000000005</v>
      </c>
      <c r="Y183">
        <v>10.170254999999999</v>
      </c>
      <c r="Z183">
        <v>10.665497</v>
      </c>
      <c r="AA183">
        <v>10.922416999999999</v>
      </c>
      <c r="AB183">
        <v>11.056387000000001</v>
      </c>
      <c r="AC183">
        <v>11.009218000000001</v>
      </c>
      <c r="AD183">
        <v>10.773937999999999</v>
      </c>
      <c r="AE183">
        <v>10.526306</v>
      </c>
      <c r="AF183">
        <v>10.397843999999999</v>
      </c>
      <c r="AG183">
        <v>10.412478</v>
      </c>
      <c r="AH183">
        <v>10.500457000000001</v>
      </c>
      <c r="AI183" t="s">
        <v>111</v>
      </c>
    </row>
    <row r="184" spans="1:35">
      <c r="A184" t="s">
        <v>219</v>
      </c>
      <c r="B184" t="s">
        <v>1569</v>
      </c>
      <c r="C184" t="s">
        <v>1069</v>
      </c>
      <c r="D184" t="s">
        <v>200</v>
      </c>
      <c r="F184">
        <v>1.548062</v>
      </c>
      <c r="G184">
        <v>0.40694900000000001</v>
      </c>
      <c r="H184">
        <v>0.59635099999999996</v>
      </c>
      <c r="I184">
        <v>0.64127100000000004</v>
      </c>
      <c r="J184">
        <v>0.481906</v>
      </c>
      <c r="K184">
        <v>0.43390400000000001</v>
      </c>
      <c r="L184">
        <v>0.44293300000000002</v>
      </c>
      <c r="M184">
        <v>0.41535100000000003</v>
      </c>
      <c r="N184">
        <v>0.41158400000000001</v>
      </c>
      <c r="O184">
        <v>0.38105899999999998</v>
      </c>
      <c r="P184">
        <v>0.33507399999999998</v>
      </c>
      <c r="Q184">
        <v>0.32837699999999997</v>
      </c>
      <c r="R184">
        <v>0.32972499999999999</v>
      </c>
      <c r="S184">
        <v>0.32858900000000002</v>
      </c>
      <c r="T184">
        <v>0.32942300000000002</v>
      </c>
      <c r="U184">
        <v>0.32175900000000002</v>
      </c>
      <c r="V184">
        <v>0.31447599999999998</v>
      </c>
      <c r="W184">
        <v>0.31518099999999999</v>
      </c>
      <c r="X184">
        <v>0.32092300000000001</v>
      </c>
      <c r="Y184">
        <v>0.33225300000000002</v>
      </c>
      <c r="Z184">
        <v>0.34152500000000002</v>
      </c>
      <c r="AA184">
        <v>0.34596300000000002</v>
      </c>
      <c r="AB184">
        <v>0.34906500000000001</v>
      </c>
      <c r="AC184">
        <v>0.34962300000000002</v>
      </c>
      <c r="AD184">
        <v>0.34761999999999998</v>
      </c>
      <c r="AE184">
        <v>0.34565400000000002</v>
      </c>
      <c r="AF184">
        <v>0.347887</v>
      </c>
      <c r="AG184">
        <v>0.35396300000000003</v>
      </c>
      <c r="AH184">
        <v>0.36270599999999997</v>
      </c>
      <c r="AI184" s="22">
        <v>-5.0999999999999997E-2</v>
      </c>
    </row>
    <row r="185" spans="1:35">
      <c r="A185" t="s">
        <v>1271</v>
      </c>
      <c r="B185" t="s">
        <v>1570</v>
      </c>
      <c r="C185" t="s">
        <v>1069</v>
      </c>
      <c r="D185" t="s">
        <v>200</v>
      </c>
      <c r="F185">
        <v>42.537201000000003</v>
      </c>
      <c r="G185">
        <v>46.682068000000001</v>
      </c>
      <c r="H185">
        <v>72.607048000000006</v>
      </c>
      <c r="I185">
        <v>53.570805</v>
      </c>
      <c r="J185">
        <v>52.307175000000001</v>
      </c>
      <c r="K185">
        <v>46.307720000000003</v>
      </c>
      <c r="L185">
        <v>46.639373999999997</v>
      </c>
      <c r="M185">
        <v>44.061912999999997</v>
      </c>
      <c r="N185">
        <v>45.929980999999998</v>
      </c>
      <c r="O185">
        <v>48.113509999999998</v>
      </c>
      <c r="P185">
        <v>50.033737000000002</v>
      </c>
      <c r="Q185">
        <v>51.740509000000003</v>
      </c>
      <c r="R185">
        <v>53.489006000000003</v>
      </c>
      <c r="S185">
        <v>55.207909000000001</v>
      </c>
      <c r="T185">
        <v>56.873610999999997</v>
      </c>
      <c r="U185">
        <v>58.480736</v>
      </c>
      <c r="V185">
        <v>60.160851000000001</v>
      </c>
      <c r="W185">
        <v>63.030822999999998</v>
      </c>
      <c r="X185">
        <v>64.656334000000001</v>
      </c>
      <c r="Y185">
        <v>66.313468999999998</v>
      </c>
      <c r="Z185">
        <v>67.954903000000002</v>
      </c>
      <c r="AA185">
        <v>69.566649999999996</v>
      </c>
      <c r="AB185">
        <v>71.175880000000006</v>
      </c>
      <c r="AC185">
        <v>72.77655</v>
      </c>
      <c r="AD185">
        <v>74.328766000000002</v>
      </c>
      <c r="AE185">
        <v>75.799423000000004</v>
      </c>
      <c r="AF185">
        <v>77.223754999999997</v>
      </c>
      <c r="AG185">
        <v>78.564887999999996</v>
      </c>
      <c r="AH185">
        <v>79.808670000000006</v>
      </c>
      <c r="AI185" s="22">
        <v>2.3E-2</v>
      </c>
    </row>
    <row r="186" spans="1:35">
      <c r="A186" t="s">
        <v>217</v>
      </c>
      <c r="B186" t="s">
        <v>1571</v>
      </c>
      <c r="C186" t="s">
        <v>1069</v>
      </c>
      <c r="D186" t="s">
        <v>200</v>
      </c>
      <c r="F186">
        <v>17.589843999999999</v>
      </c>
      <c r="G186">
        <v>37.309508999999998</v>
      </c>
      <c r="H186">
        <v>48.998595999999999</v>
      </c>
      <c r="I186">
        <v>37.353088</v>
      </c>
      <c r="J186">
        <v>35.851115999999998</v>
      </c>
      <c r="K186">
        <v>30.517347000000001</v>
      </c>
      <c r="L186">
        <v>29.273925999999999</v>
      </c>
      <c r="M186">
        <v>27.503081999999999</v>
      </c>
      <c r="N186">
        <v>28.547916000000001</v>
      </c>
      <c r="O186">
        <v>29.790039</v>
      </c>
      <c r="P186">
        <v>30.867187999999999</v>
      </c>
      <c r="Q186">
        <v>31.817748999999999</v>
      </c>
      <c r="R186">
        <v>32.78302</v>
      </c>
      <c r="S186">
        <v>33.770935000000001</v>
      </c>
      <c r="T186">
        <v>34.748168999999997</v>
      </c>
      <c r="U186">
        <v>35.713684000000001</v>
      </c>
      <c r="V186">
        <v>36.717224000000002</v>
      </c>
      <c r="W186">
        <v>37.763184000000003</v>
      </c>
      <c r="X186">
        <v>38.828978999999997</v>
      </c>
      <c r="Y186">
        <v>39.938170999999997</v>
      </c>
      <c r="Z186">
        <v>41.061278999999999</v>
      </c>
      <c r="AA186">
        <v>42.187012000000003</v>
      </c>
      <c r="AB186">
        <v>43.312927000000002</v>
      </c>
      <c r="AC186">
        <v>44.426940999999999</v>
      </c>
      <c r="AD186">
        <v>45.539856</v>
      </c>
      <c r="AE186">
        <v>46.608459000000003</v>
      </c>
      <c r="AF186">
        <v>47.610962000000001</v>
      </c>
      <c r="AG186">
        <v>48.541809000000001</v>
      </c>
      <c r="AH186">
        <v>49.383423000000001</v>
      </c>
      <c r="AI186" s="22">
        <v>3.7999999999999999E-2</v>
      </c>
    </row>
    <row r="187" spans="1:35">
      <c r="A187" t="s">
        <v>218</v>
      </c>
      <c r="B187" t="s">
        <v>1572</v>
      </c>
      <c r="C187" t="s">
        <v>1069</v>
      </c>
      <c r="D187" t="s">
        <v>200</v>
      </c>
      <c r="F187">
        <v>0</v>
      </c>
      <c r="G187">
        <v>0</v>
      </c>
      <c r="H187">
        <v>8.5974660000000007</v>
      </c>
      <c r="I187">
        <v>5.9324389999999996</v>
      </c>
      <c r="J187">
        <v>4.411505</v>
      </c>
      <c r="K187">
        <v>4.3788140000000002</v>
      </c>
      <c r="L187">
        <v>5.8503109999999996</v>
      </c>
      <c r="M187">
        <v>4.9938890000000002</v>
      </c>
      <c r="N187">
        <v>5.3139500000000002</v>
      </c>
      <c r="O187">
        <v>5.6372530000000003</v>
      </c>
      <c r="P187">
        <v>5.9198459999999997</v>
      </c>
      <c r="Q187">
        <v>6.1641539999999999</v>
      </c>
      <c r="R187">
        <v>6.382225</v>
      </c>
      <c r="S187">
        <v>6.5721049999999996</v>
      </c>
      <c r="T187">
        <v>6.7250819999999996</v>
      </c>
      <c r="U187">
        <v>6.8400189999999998</v>
      </c>
      <c r="V187">
        <v>6.9813460000000003</v>
      </c>
      <c r="W187">
        <v>8.2631530000000009</v>
      </c>
      <c r="X187">
        <v>8.2911000000000001</v>
      </c>
      <c r="Y187">
        <v>8.3037030000000005</v>
      </c>
      <c r="Z187">
        <v>8.2986830000000005</v>
      </c>
      <c r="AA187">
        <v>8.2781040000000008</v>
      </c>
      <c r="AB187">
        <v>8.2707879999999996</v>
      </c>
      <c r="AC187">
        <v>8.2884239999999991</v>
      </c>
      <c r="AD187">
        <v>8.2699239999999996</v>
      </c>
      <c r="AE187">
        <v>8.2352419999999995</v>
      </c>
      <c r="AF187">
        <v>8.2510630000000003</v>
      </c>
      <c r="AG187">
        <v>8.2850420000000007</v>
      </c>
      <c r="AH187">
        <v>8.3432750000000002</v>
      </c>
      <c r="AI187" t="s">
        <v>111</v>
      </c>
    </row>
    <row r="188" spans="1:35">
      <c r="A188" t="s">
        <v>219</v>
      </c>
      <c r="B188" t="s">
        <v>1573</v>
      </c>
      <c r="C188" t="s">
        <v>1069</v>
      </c>
      <c r="D188" t="s">
        <v>200</v>
      </c>
      <c r="F188">
        <v>24.947357</v>
      </c>
      <c r="G188">
        <v>9.3725590000000008</v>
      </c>
      <c r="H188">
        <v>15.010986000000001</v>
      </c>
      <c r="I188">
        <v>10.285278</v>
      </c>
      <c r="J188">
        <v>12.044556</v>
      </c>
      <c r="K188">
        <v>11.41156</v>
      </c>
      <c r="L188">
        <v>11.515136999999999</v>
      </c>
      <c r="M188">
        <v>11.564940999999999</v>
      </c>
      <c r="N188">
        <v>12.068115000000001</v>
      </c>
      <c r="O188">
        <v>12.686218</v>
      </c>
      <c r="P188">
        <v>13.246703999999999</v>
      </c>
      <c r="Q188">
        <v>13.758606</v>
      </c>
      <c r="R188">
        <v>14.323760999999999</v>
      </c>
      <c r="S188">
        <v>14.864868</v>
      </c>
      <c r="T188">
        <v>15.400359999999999</v>
      </c>
      <c r="U188">
        <v>15.927032000000001</v>
      </c>
      <c r="V188">
        <v>16.46228</v>
      </c>
      <c r="W188">
        <v>17.004486</v>
      </c>
      <c r="X188">
        <v>17.536255000000001</v>
      </c>
      <c r="Y188">
        <v>18.071594000000001</v>
      </c>
      <c r="Z188">
        <v>18.594940000000001</v>
      </c>
      <c r="AA188">
        <v>19.101531999999999</v>
      </c>
      <c r="AB188">
        <v>19.592162999999999</v>
      </c>
      <c r="AC188">
        <v>20.061188000000001</v>
      </c>
      <c r="AD188">
        <v>20.518982000000001</v>
      </c>
      <c r="AE188">
        <v>20.955718999999998</v>
      </c>
      <c r="AF188">
        <v>21.361725</v>
      </c>
      <c r="AG188">
        <v>21.738036999999998</v>
      </c>
      <c r="AH188">
        <v>22.081969999999998</v>
      </c>
      <c r="AI188" s="22">
        <v>-4.0000000000000001E-3</v>
      </c>
    </row>
    <row r="189" spans="1:35">
      <c r="A189" t="s">
        <v>1274</v>
      </c>
      <c r="B189" t="s">
        <v>1574</v>
      </c>
      <c r="C189" t="s">
        <v>1069</v>
      </c>
      <c r="D189" t="s">
        <v>200</v>
      </c>
      <c r="F189">
        <v>0</v>
      </c>
      <c r="G189">
        <v>0</v>
      </c>
      <c r="H189">
        <v>11.400624000000001</v>
      </c>
      <c r="I189">
        <v>28.608160000000002</v>
      </c>
      <c r="J189">
        <v>27.450500000000002</v>
      </c>
      <c r="K189">
        <v>10.437824000000001</v>
      </c>
      <c r="L189">
        <v>10.705201000000001</v>
      </c>
      <c r="M189">
        <v>17.573795</v>
      </c>
      <c r="N189">
        <v>23.538584</v>
      </c>
      <c r="O189">
        <v>34.001067999999997</v>
      </c>
      <c r="P189">
        <v>45.988883999999999</v>
      </c>
      <c r="Q189">
        <v>48.363425999999997</v>
      </c>
      <c r="R189">
        <v>49.233001999999999</v>
      </c>
      <c r="S189">
        <v>50.046734000000001</v>
      </c>
      <c r="T189">
        <v>50.387711000000003</v>
      </c>
      <c r="U189">
        <v>51.022582999999997</v>
      </c>
      <c r="V189">
        <v>51.635016999999998</v>
      </c>
      <c r="W189">
        <v>52.211258000000001</v>
      </c>
      <c r="X189">
        <v>54.691260999999997</v>
      </c>
      <c r="Y189">
        <v>56.252898999999999</v>
      </c>
      <c r="Z189">
        <v>56.312221999999998</v>
      </c>
      <c r="AA189">
        <v>56.506599000000001</v>
      </c>
      <c r="AB189">
        <v>56.766818999999998</v>
      </c>
      <c r="AC189">
        <v>57.069298000000003</v>
      </c>
      <c r="AD189">
        <v>56.914524</v>
      </c>
      <c r="AE189">
        <v>57.307701000000002</v>
      </c>
      <c r="AF189">
        <v>57.811962000000001</v>
      </c>
      <c r="AG189">
        <v>58.449829000000001</v>
      </c>
      <c r="AH189">
        <v>59.263297999999999</v>
      </c>
      <c r="AI189" t="s">
        <v>111</v>
      </c>
    </row>
    <row r="190" spans="1:35">
      <c r="A190" t="s">
        <v>217</v>
      </c>
      <c r="B190" t="s">
        <v>1575</v>
      </c>
      <c r="C190" t="s">
        <v>1069</v>
      </c>
      <c r="D190" t="s">
        <v>200</v>
      </c>
      <c r="F190">
        <v>0</v>
      </c>
      <c r="G190">
        <v>0</v>
      </c>
      <c r="H190">
        <v>0</v>
      </c>
      <c r="I190">
        <v>13.281041999999999</v>
      </c>
      <c r="J190">
        <v>13.797884</v>
      </c>
      <c r="K190">
        <v>3.919664</v>
      </c>
      <c r="L190">
        <v>4.5410389999999996</v>
      </c>
      <c r="M190">
        <v>7.1247809999999996</v>
      </c>
      <c r="N190">
        <v>11.895087999999999</v>
      </c>
      <c r="O190">
        <v>21.353241000000001</v>
      </c>
      <c r="P190">
        <v>32.486815999999997</v>
      </c>
      <c r="Q190">
        <v>33.063201999999997</v>
      </c>
      <c r="R190">
        <v>33.509796000000001</v>
      </c>
      <c r="S190">
        <v>33.918151999999999</v>
      </c>
      <c r="T190">
        <v>34.029724000000002</v>
      </c>
      <c r="U190">
        <v>34.326202000000002</v>
      </c>
      <c r="V190">
        <v>34.609985000000002</v>
      </c>
      <c r="W190">
        <v>34.874054000000001</v>
      </c>
      <c r="X190">
        <v>36.248077000000002</v>
      </c>
      <c r="Y190">
        <v>36.147308000000002</v>
      </c>
      <c r="Z190">
        <v>36.240234000000001</v>
      </c>
      <c r="AA190">
        <v>36.358215000000001</v>
      </c>
      <c r="AB190">
        <v>36.489319000000002</v>
      </c>
      <c r="AC190">
        <v>36.645752000000002</v>
      </c>
      <c r="AD190">
        <v>36.515503000000002</v>
      </c>
      <c r="AE190">
        <v>36.736145</v>
      </c>
      <c r="AF190">
        <v>37.036681999999999</v>
      </c>
      <c r="AG190">
        <v>37.424804999999999</v>
      </c>
      <c r="AH190">
        <v>37.911926000000001</v>
      </c>
      <c r="AI190" t="s">
        <v>111</v>
      </c>
    </row>
    <row r="191" spans="1:35">
      <c r="A191" t="s">
        <v>218</v>
      </c>
      <c r="B191" t="s">
        <v>1576</v>
      </c>
      <c r="C191" t="s">
        <v>1069</v>
      </c>
      <c r="D191" t="s">
        <v>200</v>
      </c>
      <c r="F191">
        <v>0</v>
      </c>
      <c r="G191">
        <v>0</v>
      </c>
      <c r="H191">
        <v>0</v>
      </c>
      <c r="I191">
        <v>1.662442</v>
      </c>
      <c r="J191">
        <v>1.7636639999999999</v>
      </c>
      <c r="K191">
        <v>0.694241</v>
      </c>
      <c r="L191">
        <v>0.65227100000000005</v>
      </c>
      <c r="M191">
        <v>0.86325600000000002</v>
      </c>
      <c r="N191">
        <v>1.358935</v>
      </c>
      <c r="O191">
        <v>1.874633</v>
      </c>
      <c r="P191">
        <v>2.333412</v>
      </c>
      <c r="Q191">
        <v>3.7786330000000001</v>
      </c>
      <c r="R191">
        <v>3.8557130000000002</v>
      </c>
      <c r="S191">
        <v>3.914669</v>
      </c>
      <c r="T191">
        <v>3.931702</v>
      </c>
      <c r="U191">
        <v>3.9577330000000002</v>
      </c>
      <c r="V191">
        <v>3.9734729999999998</v>
      </c>
      <c r="W191">
        <v>3.979263</v>
      </c>
      <c r="X191">
        <v>4.7802809999999996</v>
      </c>
      <c r="Y191">
        <v>6.2711940000000004</v>
      </c>
      <c r="Z191">
        <v>5.9429439999999998</v>
      </c>
      <c r="AA191">
        <v>5.7203900000000001</v>
      </c>
      <c r="AB191">
        <v>5.5504810000000004</v>
      </c>
      <c r="AC191">
        <v>5.3932409999999997</v>
      </c>
      <c r="AD191">
        <v>5.2043340000000002</v>
      </c>
      <c r="AE191">
        <v>5.0682010000000002</v>
      </c>
      <c r="AF191">
        <v>4.9422410000000001</v>
      </c>
      <c r="AG191">
        <v>4.8455830000000004</v>
      </c>
      <c r="AH191">
        <v>4.8084319999999998</v>
      </c>
      <c r="AI191" t="s">
        <v>111</v>
      </c>
    </row>
    <row r="192" spans="1:35">
      <c r="A192" t="s">
        <v>219</v>
      </c>
      <c r="B192" t="s">
        <v>1577</v>
      </c>
      <c r="C192" t="s">
        <v>1069</v>
      </c>
      <c r="D192" t="s">
        <v>200</v>
      </c>
      <c r="F192">
        <v>0</v>
      </c>
      <c r="G192">
        <v>0</v>
      </c>
      <c r="H192">
        <v>11.400624000000001</v>
      </c>
      <c r="I192">
        <v>13.664676999999999</v>
      </c>
      <c r="J192">
        <v>11.888952</v>
      </c>
      <c r="K192">
        <v>5.8239190000000001</v>
      </c>
      <c r="L192">
        <v>5.5118910000000003</v>
      </c>
      <c r="M192">
        <v>9.5857600000000005</v>
      </c>
      <c r="N192">
        <v>10.284561</v>
      </c>
      <c r="O192">
        <v>10.773192999999999</v>
      </c>
      <c r="P192">
        <v>11.168654999999999</v>
      </c>
      <c r="Q192">
        <v>11.521591000000001</v>
      </c>
      <c r="R192">
        <v>11.867493</v>
      </c>
      <c r="S192">
        <v>12.213913</v>
      </c>
      <c r="T192">
        <v>12.426285</v>
      </c>
      <c r="U192">
        <v>12.738647</v>
      </c>
      <c r="V192">
        <v>13.051558999999999</v>
      </c>
      <c r="W192">
        <v>13.357941</v>
      </c>
      <c r="X192">
        <v>13.662903</v>
      </c>
      <c r="Y192">
        <v>13.834396</v>
      </c>
      <c r="Z192">
        <v>14.129044</v>
      </c>
      <c r="AA192">
        <v>14.427994</v>
      </c>
      <c r="AB192">
        <v>14.72702</v>
      </c>
      <c r="AC192">
        <v>15.030303999999999</v>
      </c>
      <c r="AD192">
        <v>15.194687</v>
      </c>
      <c r="AE192">
        <v>15.503356999999999</v>
      </c>
      <c r="AF192">
        <v>15.833038</v>
      </c>
      <c r="AG192">
        <v>16.179442999999999</v>
      </c>
      <c r="AH192">
        <v>16.542937999999999</v>
      </c>
      <c r="AI192" t="s">
        <v>111</v>
      </c>
    </row>
    <row r="193" spans="1:35">
      <c r="A193" t="s">
        <v>214</v>
      </c>
      <c r="B193" t="s">
        <v>1578</v>
      </c>
      <c r="C193" t="s">
        <v>1069</v>
      </c>
      <c r="D193" t="s">
        <v>200</v>
      </c>
      <c r="F193">
        <v>317.549194</v>
      </c>
      <c r="G193">
        <v>1.758273</v>
      </c>
      <c r="H193">
        <v>168.91333</v>
      </c>
      <c r="I193">
        <v>238.54864499999999</v>
      </c>
      <c r="J193">
        <v>283.53619400000002</v>
      </c>
      <c r="K193">
        <v>274.57504299999999</v>
      </c>
      <c r="L193">
        <v>283.61230499999999</v>
      </c>
      <c r="M193">
        <v>303.40252700000002</v>
      </c>
      <c r="N193">
        <v>320.147583</v>
      </c>
      <c r="O193">
        <v>340.08663899999999</v>
      </c>
      <c r="P193">
        <v>360.24667399999998</v>
      </c>
      <c r="Q193">
        <v>383.15853900000002</v>
      </c>
      <c r="R193">
        <v>410.91729700000002</v>
      </c>
      <c r="S193">
        <v>441.58975199999998</v>
      </c>
      <c r="T193">
        <v>469.80987499999998</v>
      </c>
      <c r="U193">
        <v>483.945831</v>
      </c>
      <c r="V193">
        <v>497.86975100000001</v>
      </c>
      <c r="W193">
        <v>512.85089100000005</v>
      </c>
      <c r="X193">
        <v>529.68298300000004</v>
      </c>
      <c r="Y193">
        <v>548.31646699999999</v>
      </c>
      <c r="Z193">
        <v>565.95513900000003</v>
      </c>
      <c r="AA193">
        <v>580.40490699999998</v>
      </c>
      <c r="AB193">
        <v>591.05664100000001</v>
      </c>
      <c r="AC193">
        <v>597.67596400000002</v>
      </c>
      <c r="AD193">
        <v>603.14685099999997</v>
      </c>
      <c r="AE193">
        <v>609.84252900000001</v>
      </c>
      <c r="AF193">
        <v>615.32525599999997</v>
      </c>
      <c r="AG193">
        <v>617.96179199999995</v>
      </c>
      <c r="AH193">
        <v>617.78692599999999</v>
      </c>
      <c r="AI193" s="22">
        <v>2.4E-2</v>
      </c>
    </row>
    <row r="194" spans="1:35">
      <c r="A194" t="s">
        <v>217</v>
      </c>
      <c r="B194" t="s">
        <v>1579</v>
      </c>
      <c r="C194" t="s">
        <v>1069</v>
      </c>
      <c r="D194" t="s">
        <v>200</v>
      </c>
      <c r="F194">
        <v>257.63265999999999</v>
      </c>
      <c r="G194">
        <v>0</v>
      </c>
      <c r="H194">
        <v>107.223663</v>
      </c>
      <c r="I194">
        <v>181.98464999999999</v>
      </c>
      <c r="J194">
        <v>220.65786700000001</v>
      </c>
      <c r="K194">
        <v>225.57939099999999</v>
      </c>
      <c r="L194">
        <v>234.46928399999999</v>
      </c>
      <c r="M194">
        <v>248.778381</v>
      </c>
      <c r="N194">
        <v>262.13681000000003</v>
      </c>
      <c r="O194">
        <v>277.70367399999998</v>
      </c>
      <c r="P194">
        <v>293.36627199999998</v>
      </c>
      <c r="Q194">
        <v>308.38406400000002</v>
      </c>
      <c r="R194">
        <v>323.80810500000001</v>
      </c>
      <c r="S194">
        <v>350.23843399999998</v>
      </c>
      <c r="T194">
        <v>374.19927999999999</v>
      </c>
      <c r="U194">
        <v>384.34942599999999</v>
      </c>
      <c r="V194">
        <v>394.26177999999999</v>
      </c>
      <c r="W194">
        <v>405.03121900000002</v>
      </c>
      <c r="X194">
        <v>417.30566399999998</v>
      </c>
      <c r="Y194">
        <v>431.12255900000002</v>
      </c>
      <c r="Z194">
        <v>444.23486300000002</v>
      </c>
      <c r="AA194">
        <v>454.86328099999997</v>
      </c>
      <c r="AB194">
        <v>462.55566399999998</v>
      </c>
      <c r="AC194">
        <v>467.16845699999999</v>
      </c>
      <c r="AD194">
        <v>470.984375</v>
      </c>
      <c r="AE194">
        <v>475.98486300000002</v>
      </c>
      <c r="AF194">
        <v>480.09179699999999</v>
      </c>
      <c r="AG194">
        <v>481.84716800000001</v>
      </c>
      <c r="AH194">
        <v>481.23046900000003</v>
      </c>
      <c r="AI194" s="22">
        <v>2.3E-2</v>
      </c>
    </row>
    <row r="195" spans="1:35">
      <c r="A195" t="s">
        <v>218</v>
      </c>
      <c r="B195" t="s">
        <v>1580</v>
      </c>
      <c r="C195" t="s">
        <v>1069</v>
      </c>
      <c r="D195" t="s">
        <v>200</v>
      </c>
      <c r="F195">
        <v>0</v>
      </c>
      <c r="G195">
        <v>1.758273</v>
      </c>
      <c r="H195">
        <v>40.168472000000001</v>
      </c>
      <c r="I195">
        <v>50.282882999999998</v>
      </c>
      <c r="J195">
        <v>53.445442</v>
      </c>
      <c r="K195">
        <v>38.153796999999997</v>
      </c>
      <c r="L195">
        <v>36.912163</v>
      </c>
      <c r="M195">
        <v>37.020930999999997</v>
      </c>
      <c r="N195">
        <v>37.949924000000003</v>
      </c>
      <c r="O195">
        <v>41.662593999999999</v>
      </c>
      <c r="P195">
        <v>45.507534</v>
      </c>
      <c r="Q195">
        <v>52.775832999999999</v>
      </c>
      <c r="R195">
        <v>64.423462000000001</v>
      </c>
      <c r="S195">
        <v>67.867737000000005</v>
      </c>
      <c r="T195">
        <v>71.344559000000004</v>
      </c>
      <c r="U195">
        <v>74.652694999999994</v>
      </c>
      <c r="V195">
        <v>77.966949</v>
      </c>
      <c r="W195">
        <v>81.374542000000005</v>
      </c>
      <c r="X195">
        <v>84.935364000000007</v>
      </c>
      <c r="Y195">
        <v>88.598358000000005</v>
      </c>
      <c r="Z195">
        <v>91.978866999999994</v>
      </c>
      <c r="AA195">
        <v>94.808730999999995</v>
      </c>
      <c r="AB195">
        <v>96.973022</v>
      </c>
      <c r="AC195">
        <v>98.404961</v>
      </c>
      <c r="AD195">
        <v>99.545792000000006</v>
      </c>
      <c r="AE195">
        <v>100.646912</v>
      </c>
      <c r="AF195">
        <v>101.51385500000001</v>
      </c>
      <c r="AG195">
        <v>102.091965</v>
      </c>
      <c r="AH195">
        <v>102.451241</v>
      </c>
      <c r="AI195" t="s">
        <v>111</v>
      </c>
    </row>
    <row r="196" spans="1:35">
      <c r="A196" t="s">
        <v>219</v>
      </c>
      <c r="B196" t="s">
        <v>1581</v>
      </c>
      <c r="C196" t="s">
        <v>1069</v>
      </c>
      <c r="D196" t="s">
        <v>200</v>
      </c>
      <c r="F196">
        <v>59.916533999999999</v>
      </c>
      <c r="G196">
        <v>0</v>
      </c>
      <c r="H196">
        <v>21.5212</v>
      </c>
      <c r="I196">
        <v>6.2811130000000004</v>
      </c>
      <c r="J196">
        <v>9.4328769999999995</v>
      </c>
      <c r="K196">
        <v>10.841856999999999</v>
      </c>
      <c r="L196">
        <v>12.230865</v>
      </c>
      <c r="M196">
        <v>17.603210000000001</v>
      </c>
      <c r="N196">
        <v>20.060842999999998</v>
      </c>
      <c r="O196">
        <v>20.720371</v>
      </c>
      <c r="P196">
        <v>21.372868</v>
      </c>
      <c r="Q196">
        <v>21.998633999999999</v>
      </c>
      <c r="R196">
        <v>22.685734</v>
      </c>
      <c r="S196">
        <v>23.483592999999999</v>
      </c>
      <c r="T196">
        <v>24.266041000000001</v>
      </c>
      <c r="U196">
        <v>24.943691000000001</v>
      </c>
      <c r="V196">
        <v>25.641026</v>
      </c>
      <c r="W196">
        <v>26.445122000000001</v>
      </c>
      <c r="X196">
        <v>27.441925000000001</v>
      </c>
      <c r="Y196">
        <v>28.595510000000001</v>
      </c>
      <c r="Z196">
        <v>29.741382999999999</v>
      </c>
      <c r="AA196">
        <v>30.732894999999999</v>
      </c>
      <c r="AB196">
        <v>31.527985000000001</v>
      </c>
      <c r="AC196">
        <v>32.102539</v>
      </c>
      <c r="AD196">
        <v>32.616669000000002</v>
      </c>
      <c r="AE196">
        <v>33.210754000000001</v>
      </c>
      <c r="AF196">
        <v>33.719603999999997</v>
      </c>
      <c r="AG196">
        <v>34.022644</v>
      </c>
      <c r="AH196">
        <v>34.105224999999997</v>
      </c>
      <c r="AI196" s="22">
        <v>-0.02</v>
      </c>
    </row>
    <row r="197" spans="1:35">
      <c r="A197" t="s">
        <v>1279</v>
      </c>
      <c r="B197" t="s">
        <v>1582</v>
      </c>
      <c r="C197" t="s">
        <v>1069</v>
      </c>
      <c r="D197" t="s">
        <v>200</v>
      </c>
      <c r="F197">
        <v>0</v>
      </c>
      <c r="G197">
        <v>0</v>
      </c>
      <c r="H197">
        <v>5.0176939999999997</v>
      </c>
      <c r="I197">
        <v>23.650314000000002</v>
      </c>
      <c r="J197">
        <v>59.674458000000001</v>
      </c>
      <c r="K197">
        <v>59.042358</v>
      </c>
      <c r="L197">
        <v>64.032500999999996</v>
      </c>
      <c r="M197">
        <v>71.131805</v>
      </c>
      <c r="N197">
        <v>76.315956</v>
      </c>
      <c r="O197">
        <v>80.666138000000004</v>
      </c>
      <c r="P197">
        <v>84.930260000000004</v>
      </c>
      <c r="Q197">
        <v>88.747298999999998</v>
      </c>
      <c r="R197">
        <v>92.026611000000003</v>
      </c>
      <c r="S197">
        <v>95.498016000000007</v>
      </c>
      <c r="T197">
        <v>100.07872</v>
      </c>
      <c r="U197">
        <v>109.75142700000001</v>
      </c>
      <c r="V197">
        <v>113.69274900000001</v>
      </c>
      <c r="W197">
        <v>117.415527</v>
      </c>
      <c r="X197">
        <v>120.846054</v>
      </c>
      <c r="Y197">
        <v>124.081642</v>
      </c>
      <c r="Z197">
        <v>127.11803399999999</v>
      </c>
      <c r="AA197">
        <v>130.02526900000001</v>
      </c>
      <c r="AB197">
        <v>132.669983</v>
      </c>
      <c r="AC197">
        <v>135.120575</v>
      </c>
      <c r="AD197">
        <v>137.38848899999999</v>
      </c>
      <c r="AE197">
        <v>139.49830600000001</v>
      </c>
      <c r="AF197">
        <v>141.44528199999999</v>
      </c>
      <c r="AG197">
        <v>143.25952100000001</v>
      </c>
      <c r="AH197">
        <v>144.991547</v>
      </c>
      <c r="AI197" t="s">
        <v>111</v>
      </c>
    </row>
    <row r="198" spans="1:35">
      <c r="A198" t="s">
        <v>217</v>
      </c>
      <c r="B198" t="s">
        <v>1583</v>
      </c>
      <c r="C198" t="s">
        <v>1069</v>
      </c>
      <c r="D198" t="s">
        <v>200</v>
      </c>
      <c r="F198">
        <v>0</v>
      </c>
      <c r="G198">
        <v>0</v>
      </c>
      <c r="H198">
        <v>0</v>
      </c>
      <c r="I198">
        <v>16.618320000000001</v>
      </c>
      <c r="J198">
        <v>45.079574999999998</v>
      </c>
      <c r="K198">
        <v>44.557136999999997</v>
      </c>
      <c r="L198">
        <v>47.969909999999999</v>
      </c>
      <c r="M198">
        <v>53.577140999999997</v>
      </c>
      <c r="N198">
        <v>57.730133000000002</v>
      </c>
      <c r="O198">
        <v>61.515498999999998</v>
      </c>
      <c r="P198">
        <v>65.042045999999999</v>
      </c>
      <c r="Q198">
        <v>68.204193000000004</v>
      </c>
      <c r="R198">
        <v>70.926841999999994</v>
      </c>
      <c r="S198">
        <v>73.773292999999995</v>
      </c>
      <c r="T198">
        <v>76.994392000000005</v>
      </c>
      <c r="U198">
        <v>85.720061999999999</v>
      </c>
      <c r="V198">
        <v>88.710341999999997</v>
      </c>
      <c r="W198">
        <v>91.517082000000002</v>
      </c>
      <c r="X198">
        <v>94.093506000000005</v>
      </c>
      <c r="Y198">
        <v>96.513794000000004</v>
      </c>
      <c r="Z198">
        <v>98.782959000000005</v>
      </c>
      <c r="AA198">
        <v>100.95996100000001</v>
      </c>
      <c r="AB198">
        <v>102.94433600000001</v>
      </c>
      <c r="AC198">
        <v>104.78613300000001</v>
      </c>
      <c r="AD198">
        <v>106.494141</v>
      </c>
      <c r="AE198">
        <v>108.08606</v>
      </c>
      <c r="AF198">
        <v>109.558228</v>
      </c>
      <c r="AG198">
        <v>110.934326</v>
      </c>
      <c r="AH198">
        <v>112.253906</v>
      </c>
      <c r="AI198" t="s">
        <v>111</v>
      </c>
    </row>
    <row r="199" spans="1:35">
      <c r="A199" t="s">
        <v>218</v>
      </c>
      <c r="B199" t="s">
        <v>1584</v>
      </c>
      <c r="C199" t="s">
        <v>1069</v>
      </c>
      <c r="D199" t="s">
        <v>200</v>
      </c>
      <c r="F199">
        <v>0</v>
      </c>
      <c r="G199">
        <v>0</v>
      </c>
      <c r="H199">
        <v>2.534602</v>
      </c>
      <c r="I199">
        <v>4.97403</v>
      </c>
      <c r="J199">
        <v>4.8972329999999999</v>
      </c>
      <c r="K199">
        <v>3.1133090000000001</v>
      </c>
      <c r="L199">
        <v>3.0171329999999998</v>
      </c>
      <c r="M199">
        <v>3.8845890000000001</v>
      </c>
      <c r="N199">
        <v>4.3719729999999997</v>
      </c>
      <c r="O199">
        <v>4.4676119999999999</v>
      </c>
      <c r="P199">
        <v>4.7862999999999998</v>
      </c>
      <c r="Q199">
        <v>5.0911</v>
      </c>
      <c r="R199">
        <v>5.3782629999999996</v>
      </c>
      <c r="S199">
        <v>5.6866300000000001</v>
      </c>
      <c r="T199">
        <v>6.6198379999999997</v>
      </c>
      <c r="U199">
        <v>6.9235670000000002</v>
      </c>
      <c r="V199">
        <v>7.2199619999999998</v>
      </c>
      <c r="W199">
        <v>7.4963300000000004</v>
      </c>
      <c r="X199">
        <v>7.7454999999999998</v>
      </c>
      <c r="Y199">
        <v>7.9671079999999996</v>
      </c>
      <c r="Z199">
        <v>8.1587720000000008</v>
      </c>
      <c r="AA199">
        <v>8.3243179999999999</v>
      </c>
      <c r="AB199">
        <v>8.4554369999999999</v>
      </c>
      <c r="AC199">
        <v>8.5629650000000002</v>
      </c>
      <c r="AD199">
        <v>8.6511150000000008</v>
      </c>
      <c r="AE199">
        <v>8.7259060000000002</v>
      </c>
      <c r="AF199">
        <v>8.7922969999999996</v>
      </c>
      <c r="AG199">
        <v>8.8566590000000005</v>
      </c>
      <c r="AH199">
        <v>8.9255069999999996</v>
      </c>
      <c r="AI199" t="s">
        <v>111</v>
      </c>
    </row>
    <row r="200" spans="1:35">
      <c r="A200" t="s">
        <v>219</v>
      </c>
      <c r="B200" t="s">
        <v>1585</v>
      </c>
      <c r="C200" t="s">
        <v>1069</v>
      </c>
      <c r="D200" t="s">
        <v>200</v>
      </c>
      <c r="F200">
        <v>0</v>
      </c>
      <c r="G200">
        <v>0</v>
      </c>
      <c r="H200">
        <v>2.4830920000000001</v>
      </c>
      <c r="I200">
        <v>2.0579640000000001</v>
      </c>
      <c r="J200">
        <v>9.6976519999999997</v>
      </c>
      <c r="K200">
        <v>11.371916000000001</v>
      </c>
      <c r="L200">
        <v>13.045462000000001</v>
      </c>
      <c r="M200">
        <v>13.670071</v>
      </c>
      <c r="N200">
        <v>14.213851</v>
      </c>
      <c r="O200">
        <v>14.683032000000001</v>
      </c>
      <c r="P200">
        <v>15.101913</v>
      </c>
      <c r="Q200">
        <v>15.452002999999999</v>
      </c>
      <c r="R200">
        <v>15.721505000000001</v>
      </c>
      <c r="S200">
        <v>16.038094000000001</v>
      </c>
      <c r="T200">
        <v>16.464493000000001</v>
      </c>
      <c r="U200">
        <v>17.107793999999998</v>
      </c>
      <c r="V200">
        <v>17.762445</v>
      </c>
      <c r="W200">
        <v>18.402114999999998</v>
      </c>
      <c r="X200">
        <v>19.00705</v>
      </c>
      <c r="Y200">
        <v>19.600739000000001</v>
      </c>
      <c r="Z200">
        <v>20.176300000000001</v>
      </c>
      <c r="AA200">
        <v>20.740997</v>
      </c>
      <c r="AB200">
        <v>21.270202999999999</v>
      </c>
      <c r="AC200">
        <v>21.771484000000001</v>
      </c>
      <c r="AD200">
        <v>22.243224999999999</v>
      </c>
      <c r="AE200">
        <v>22.686340000000001</v>
      </c>
      <c r="AF200">
        <v>23.094757000000001</v>
      </c>
      <c r="AG200">
        <v>23.468536</v>
      </c>
      <c r="AH200">
        <v>23.812134</v>
      </c>
      <c r="AI200" t="s">
        <v>111</v>
      </c>
    </row>
    <row r="201" spans="1:35">
      <c r="A201" t="s">
        <v>1282</v>
      </c>
      <c r="B201" t="s">
        <v>1586</v>
      </c>
      <c r="C201" t="s">
        <v>1069</v>
      </c>
      <c r="D201" t="s">
        <v>200</v>
      </c>
      <c r="F201">
        <v>0</v>
      </c>
      <c r="G201">
        <v>5.4372860000000003</v>
      </c>
      <c r="H201">
        <v>112.70214799999999</v>
      </c>
      <c r="I201">
        <v>89.573447999999999</v>
      </c>
      <c r="J201">
        <v>185.740646</v>
      </c>
      <c r="K201">
        <v>138.78949</v>
      </c>
      <c r="L201">
        <v>162.21469099999999</v>
      </c>
      <c r="M201">
        <v>154.65458699999999</v>
      </c>
      <c r="N201">
        <v>162.83642599999999</v>
      </c>
      <c r="O201">
        <v>173.161102</v>
      </c>
      <c r="P201">
        <v>184.47088600000001</v>
      </c>
      <c r="Q201">
        <v>196.08961500000001</v>
      </c>
      <c r="R201">
        <v>208.08810399999999</v>
      </c>
      <c r="S201">
        <v>221.18241900000001</v>
      </c>
      <c r="T201">
        <v>239.93948399999999</v>
      </c>
      <c r="U201">
        <v>249.20379600000001</v>
      </c>
      <c r="V201">
        <v>258.58880599999998</v>
      </c>
      <c r="W201">
        <v>267.52673299999998</v>
      </c>
      <c r="X201">
        <v>276.525757</v>
      </c>
      <c r="Y201">
        <v>282.98516799999999</v>
      </c>
      <c r="Z201">
        <v>290.41168199999998</v>
      </c>
      <c r="AA201">
        <v>297.73962399999999</v>
      </c>
      <c r="AB201">
        <v>304.91387900000001</v>
      </c>
      <c r="AC201">
        <v>311.67602499999998</v>
      </c>
      <c r="AD201">
        <v>314.135559</v>
      </c>
      <c r="AE201">
        <v>319.592285</v>
      </c>
      <c r="AF201">
        <v>326.29675300000002</v>
      </c>
      <c r="AG201">
        <v>333.62133799999998</v>
      </c>
      <c r="AH201">
        <v>341.78308099999998</v>
      </c>
      <c r="AI201" t="s">
        <v>111</v>
      </c>
    </row>
    <row r="202" spans="1:35">
      <c r="A202" t="s">
        <v>217</v>
      </c>
      <c r="B202" t="s">
        <v>1587</v>
      </c>
      <c r="C202" t="s">
        <v>1069</v>
      </c>
      <c r="D202" t="s">
        <v>200</v>
      </c>
      <c r="F202">
        <v>0</v>
      </c>
      <c r="G202">
        <v>5.4372860000000003</v>
      </c>
      <c r="H202">
        <v>76.470284000000007</v>
      </c>
      <c r="I202">
        <v>49.427382999999999</v>
      </c>
      <c r="J202">
        <v>106.27594000000001</v>
      </c>
      <c r="K202">
        <v>82.392234999999999</v>
      </c>
      <c r="L202">
        <v>99.058036999999999</v>
      </c>
      <c r="M202">
        <v>96.598495</v>
      </c>
      <c r="N202">
        <v>99.957886000000002</v>
      </c>
      <c r="O202">
        <v>104.55500000000001</v>
      </c>
      <c r="P202">
        <v>109.671745</v>
      </c>
      <c r="Q202">
        <v>114.907211</v>
      </c>
      <c r="R202">
        <v>120.39743</v>
      </c>
      <c r="S202">
        <v>126.07197600000001</v>
      </c>
      <c r="T202">
        <v>130.83337399999999</v>
      </c>
      <c r="U202">
        <v>136.22524999999999</v>
      </c>
      <c r="V202">
        <v>141.68043499999999</v>
      </c>
      <c r="W202">
        <v>146.903076</v>
      </c>
      <c r="X202">
        <v>152.11596700000001</v>
      </c>
      <c r="Y202">
        <v>155.854736</v>
      </c>
      <c r="Z202">
        <v>160.12011699999999</v>
      </c>
      <c r="AA202">
        <v>164.33935500000001</v>
      </c>
      <c r="AB202">
        <v>168.50756799999999</v>
      </c>
      <c r="AC202">
        <v>172.49243200000001</v>
      </c>
      <c r="AD202">
        <v>174.09106399999999</v>
      </c>
      <c r="AE202">
        <v>177.482178</v>
      </c>
      <c r="AF202">
        <v>181.68945299999999</v>
      </c>
      <c r="AG202">
        <v>186.32226600000001</v>
      </c>
      <c r="AH202">
        <v>191.489014</v>
      </c>
      <c r="AI202" t="s">
        <v>111</v>
      </c>
    </row>
    <row r="203" spans="1:35">
      <c r="A203" t="s">
        <v>218</v>
      </c>
      <c r="B203" t="s">
        <v>1588</v>
      </c>
      <c r="C203" t="s">
        <v>1069</v>
      </c>
      <c r="D203" t="s">
        <v>200</v>
      </c>
      <c r="F203">
        <v>0</v>
      </c>
      <c r="G203">
        <v>0</v>
      </c>
      <c r="H203">
        <v>7.4641489999999999</v>
      </c>
      <c r="I203">
        <v>32.670985999999999</v>
      </c>
      <c r="J203">
        <v>43.411385000000003</v>
      </c>
      <c r="K203">
        <v>25.061415</v>
      </c>
      <c r="L203">
        <v>24.533463000000001</v>
      </c>
      <c r="M203">
        <v>16.549866000000002</v>
      </c>
      <c r="N203">
        <v>20.238346</v>
      </c>
      <c r="O203">
        <v>24.344996999999999</v>
      </c>
      <c r="P203">
        <v>28.787796</v>
      </c>
      <c r="Q203">
        <v>33.417084000000003</v>
      </c>
      <c r="R203">
        <v>38.081116000000002</v>
      </c>
      <c r="S203">
        <v>43.577418999999999</v>
      </c>
      <c r="T203">
        <v>56.013511999999999</v>
      </c>
      <c r="U203">
        <v>58.042262999999998</v>
      </c>
      <c r="V203">
        <v>60.030822999999998</v>
      </c>
      <c r="W203">
        <v>61.834105999999998</v>
      </c>
      <c r="X203">
        <v>63.609253000000002</v>
      </c>
      <c r="Y203">
        <v>64.860718000000006</v>
      </c>
      <c r="Z203">
        <v>66.264893000000001</v>
      </c>
      <c r="AA203">
        <v>67.550292999999996</v>
      </c>
      <c r="AB203">
        <v>68.688903999999994</v>
      </c>
      <c r="AC203">
        <v>69.633422999999993</v>
      </c>
      <c r="AD203">
        <v>69.6922</v>
      </c>
      <c r="AE203">
        <v>70.197143999999994</v>
      </c>
      <c r="AF203">
        <v>70.779906999999994</v>
      </c>
      <c r="AG203">
        <v>71.402343999999999</v>
      </c>
      <c r="AH203">
        <v>72.140868999999995</v>
      </c>
      <c r="AI203" t="s">
        <v>111</v>
      </c>
    </row>
    <row r="204" spans="1:35">
      <c r="A204" t="s">
        <v>219</v>
      </c>
      <c r="B204" t="s">
        <v>1589</v>
      </c>
      <c r="C204" t="s">
        <v>1069</v>
      </c>
      <c r="D204" t="s">
        <v>200</v>
      </c>
      <c r="F204">
        <v>0</v>
      </c>
      <c r="G204">
        <v>0</v>
      </c>
      <c r="H204">
        <v>28.767719</v>
      </c>
      <c r="I204">
        <v>7.4750750000000004</v>
      </c>
      <c r="J204">
        <v>36.053328999999998</v>
      </c>
      <c r="K204">
        <v>31.335837999999999</v>
      </c>
      <c r="L204">
        <v>38.623184000000002</v>
      </c>
      <c r="M204">
        <v>41.506225999999998</v>
      </c>
      <c r="N204">
        <v>42.640197999999998</v>
      </c>
      <c r="O204">
        <v>44.261108</v>
      </c>
      <c r="P204">
        <v>46.011353</v>
      </c>
      <c r="Q204">
        <v>47.765320000000003</v>
      </c>
      <c r="R204">
        <v>49.609558</v>
      </c>
      <c r="S204">
        <v>51.53302</v>
      </c>
      <c r="T204">
        <v>53.092590000000001</v>
      </c>
      <c r="U204">
        <v>54.936278999999999</v>
      </c>
      <c r="V204">
        <v>56.877563000000002</v>
      </c>
      <c r="W204">
        <v>58.789551000000003</v>
      </c>
      <c r="X204">
        <v>60.800536999999998</v>
      </c>
      <c r="Y204">
        <v>62.269714</v>
      </c>
      <c r="Z204">
        <v>64.026672000000005</v>
      </c>
      <c r="AA204">
        <v>65.849975999999998</v>
      </c>
      <c r="AB204">
        <v>67.717406999999994</v>
      </c>
      <c r="AC204">
        <v>69.550171000000006</v>
      </c>
      <c r="AD204">
        <v>70.352294999999998</v>
      </c>
      <c r="AE204">
        <v>71.912964000000002</v>
      </c>
      <c r="AF204">
        <v>73.827393000000001</v>
      </c>
      <c r="AG204">
        <v>75.896728999999993</v>
      </c>
      <c r="AH204">
        <v>78.153198000000003</v>
      </c>
      <c r="AI204" t="s">
        <v>111</v>
      </c>
    </row>
    <row r="205" spans="1:35">
      <c r="A205" t="s">
        <v>1285</v>
      </c>
      <c r="B205" t="s">
        <v>1590</v>
      </c>
      <c r="C205" t="s">
        <v>1069</v>
      </c>
      <c r="D205" t="s">
        <v>200</v>
      </c>
      <c r="F205">
        <v>0</v>
      </c>
      <c r="G205">
        <v>6.4839760000000002</v>
      </c>
      <c r="H205">
        <v>65.655174000000002</v>
      </c>
      <c r="I205">
        <v>136.72659300000001</v>
      </c>
      <c r="J205">
        <v>87.343277</v>
      </c>
      <c r="K205">
        <v>59.887782999999999</v>
      </c>
      <c r="L205">
        <v>65.008987000000005</v>
      </c>
      <c r="M205">
        <v>59.581435999999997</v>
      </c>
      <c r="N205">
        <v>69.668128999999993</v>
      </c>
      <c r="O205">
        <v>78.167664000000002</v>
      </c>
      <c r="P205">
        <v>97.479079999999996</v>
      </c>
      <c r="Q205">
        <v>107.185974</v>
      </c>
      <c r="R205">
        <v>115.742386</v>
      </c>
      <c r="S205">
        <v>124.491539</v>
      </c>
      <c r="T205">
        <v>132.53221099999999</v>
      </c>
      <c r="U205">
        <v>149.129074</v>
      </c>
      <c r="V205">
        <v>155.356628</v>
      </c>
      <c r="W205">
        <v>161.377319</v>
      </c>
      <c r="X205">
        <v>167.24667400000001</v>
      </c>
      <c r="Y205">
        <v>172.74606299999999</v>
      </c>
      <c r="Z205">
        <v>178.09411600000001</v>
      </c>
      <c r="AA205">
        <v>183.263733</v>
      </c>
      <c r="AB205">
        <v>188.24258399999999</v>
      </c>
      <c r="AC205">
        <v>193.104645</v>
      </c>
      <c r="AD205">
        <v>196.84274300000001</v>
      </c>
      <c r="AE205">
        <v>204.55044599999999</v>
      </c>
      <c r="AF205">
        <v>210.32486</v>
      </c>
      <c r="AG205">
        <v>214.87603799999999</v>
      </c>
      <c r="AH205">
        <v>219.82165499999999</v>
      </c>
      <c r="AI205" t="s">
        <v>111</v>
      </c>
    </row>
    <row r="206" spans="1:35">
      <c r="A206" t="s">
        <v>217</v>
      </c>
      <c r="B206" t="s">
        <v>1591</v>
      </c>
      <c r="C206" t="s">
        <v>1069</v>
      </c>
      <c r="D206" t="s">
        <v>200</v>
      </c>
      <c r="F206">
        <v>0</v>
      </c>
      <c r="G206">
        <v>0</v>
      </c>
      <c r="H206">
        <v>33.785888999999997</v>
      </c>
      <c r="I206">
        <v>53.847774999999999</v>
      </c>
      <c r="J206">
        <v>30.331448000000002</v>
      </c>
      <c r="K206">
        <v>21.30883</v>
      </c>
      <c r="L206">
        <v>24.555008000000001</v>
      </c>
      <c r="M206">
        <v>24.473627</v>
      </c>
      <c r="N206">
        <v>29.460901</v>
      </c>
      <c r="O206">
        <v>33.729008</v>
      </c>
      <c r="P206">
        <v>47.309856000000003</v>
      </c>
      <c r="Q206">
        <v>50.860106999999999</v>
      </c>
      <c r="R206">
        <v>52.923949999999998</v>
      </c>
      <c r="S206">
        <v>55.029541000000002</v>
      </c>
      <c r="T206">
        <v>56.84375</v>
      </c>
      <c r="U206">
        <v>58.885559000000001</v>
      </c>
      <c r="V206">
        <v>60.913879000000001</v>
      </c>
      <c r="W206">
        <v>62.880614999999999</v>
      </c>
      <c r="X206">
        <v>64.824768000000006</v>
      </c>
      <c r="Y206">
        <v>67.001830999999996</v>
      </c>
      <c r="Z206">
        <v>68.808166999999997</v>
      </c>
      <c r="AA206">
        <v>70.631591999999998</v>
      </c>
      <c r="AB206">
        <v>72.473877000000002</v>
      </c>
      <c r="AC206">
        <v>74.368774000000002</v>
      </c>
      <c r="AD206">
        <v>75.949950999999999</v>
      </c>
      <c r="AE206">
        <v>77.937134</v>
      </c>
      <c r="AF206">
        <v>80.061035000000004</v>
      </c>
      <c r="AG206">
        <v>82.315674000000001</v>
      </c>
      <c r="AH206">
        <v>84.728271000000007</v>
      </c>
      <c r="AI206" t="s">
        <v>111</v>
      </c>
    </row>
    <row r="207" spans="1:35">
      <c r="A207" t="s">
        <v>218</v>
      </c>
      <c r="B207" t="s">
        <v>1592</v>
      </c>
      <c r="C207" t="s">
        <v>1069</v>
      </c>
      <c r="D207" t="s">
        <v>200</v>
      </c>
      <c r="F207">
        <v>0</v>
      </c>
      <c r="G207">
        <v>0</v>
      </c>
      <c r="H207">
        <v>1.237724</v>
      </c>
      <c r="I207">
        <v>60.396301000000001</v>
      </c>
      <c r="J207">
        <v>46.365257</v>
      </c>
      <c r="K207">
        <v>26.417698000000001</v>
      </c>
      <c r="L207">
        <v>27.912457</v>
      </c>
      <c r="M207">
        <v>22.461169999999999</v>
      </c>
      <c r="N207">
        <v>27.240627</v>
      </c>
      <c r="O207">
        <v>31.278912999999999</v>
      </c>
      <c r="P207">
        <v>36.773018</v>
      </c>
      <c r="Q207">
        <v>42.622314000000003</v>
      </c>
      <c r="R207">
        <v>48.784022999999998</v>
      </c>
      <c r="S207">
        <v>55.06176</v>
      </c>
      <c r="T207">
        <v>60.969836999999998</v>
      </c>
      <c r="U207">
        <v>75.160156000000001</v>
      </c>
      <c r="V207">
        <v>78.977294999999998</v>
      </c>
      <c r="W207">
        <v>82.653198000000003</v>
      </c>
      <c r="X207">
        <v>86.182495000000003</v>
      </c>
      <c r="Y207">
        <v>89.120604999999998</v>
      </c>
      <c r="Z207">
        <v>92.220703</v>
      </c>
      <c r="AA207">
        <v>95.091187000000005</v>
      </c>
      <c r="AB207">
        <v>97.725464000000002</v>
      </c>
      <c r="AC207">
        <v>100.159424</v>
      </c>
      <c r="AD207">
        <v>101.824219</v>
      </c>
      <c r="AE207">
        <v>106.975708</v>
      </c>
      <c r="AF207">
        <v>110.01696800000001</v>
      </c>
      <c r="AG207">
        <v>111.678955</v>
      </c>
      <c r="AH207">
        <v>113.550415</v>
      </c>
      <c r="AI207" t="s">
        <v>111</v>
      </c>
    </row>
    <row r="208" spans="1:35">
      <c r="A208" t="s">
        <v>219</v>
      </c>
      <c r="B208" t="s">
        <v>1593</v>
      </c>
      <c r="C208" t="s">
        <v>1069</v>
      </c>
      <c r="D208" t="s">
        <v>200</v>
      </c>
      <c r="F208">
        <v>0</v>
      </c>
      <c r="G208">
        <v>6.4839760000000002</v>
      </c>
      <c r="H208">
        <v>30.631561000000001</v>
      </c>
      <c r="I208">
        <v>22.482513000000001</v>
      </c>
      <c r="J208">
        <v>10.646577000000001</v>
      </c>
      <c r="K208">
        <v>12.161255000000001</v>
      </c>
      <c r="L208">
        <v>12.541518999999999</v>
      </c>
      <c r="M208">
        <v>12.646637</v>
      </c>
      <c r="N208">
        <v>12.966599</v>
      </c>
      <c r="O208">
        <v>13.159744</v>
      </c>
      <c r="P208">
        <v>13.39621</v>
      </c>
      <c r="Q208">
        <v>13.703552</v>
      </c>
      <c r="R208">
        <v>14.034409</v>
      </c>
      <c r="S208">
        <v>14.400238</v>
      </c>
      <c r="T208">
        <v>14.718628000000001</v>
      </c>
      <c r="U208">
        <v>15.083359</v>
      </c>
      <c r="V208">
        <v>15.465453999999999</v>
      </c>
      <c r="W208">
        <v>15.843506</v>
      </c>
      <c r="X208">
        <v>16.239409999999999</v>
      </c>
      <c r="Y208">
        <v>16.623626999999999</v>
      </c>
      <c r="Z208">
        <v>17.065246999999999</v>
      </c>
      <c r="AA208">
        <v>17.540955</v>
      </c>
      <c r="AB208">
        <v>18.043243</v>
      </c>
      <c r="AC208">
        <v>18.576447000000002</v>
      </c>
      <c r="AD208">
        <v>19.068573000000001</v>
      </c>
      <c r="AE208">
        <v>19.637604</v>
      </c>
      <c r="AF208">
        <v>20.246856999999999</v>
      </c>
      <c r="AG208">
        <v>20.881409000000001</v>
      </c>
      <c r="AH208">
        <v>21.542968999999999</v>
      </c>
      <c r="AI208" t="s">
        <v>111</v>
      </c>
    </row>
    <row r="209" spans="1:35">
      <c r="A209" t="s">
        <v>213</v>
      </c>
      <c r="B209" t="s">
        <v>1594</v>
      </c>
      <c r="C209" t="s">
        <v>1069</v>
      </c>
      <c r="D209" t="s">
        <v>200</v>
      </c>
      <c r="F209">
        <v>0</v>
      </c>
      <c r="G209">
        <v>95.570221000000004</v>
      </c>
      <c r="H209">
        <v>158.937592</v>
      </c>
      <c r="I209">
        <v>90.262816999999998</v>
      </c>
      <c r="J209">
        <v>103.488022</v>
      </c>
      <c r="K209">
        <v>86.662529000000006</v>
      </c>
      <c r="L209">
        <v>93.80986</v>
      </c>
      <c r="M209">
        <v>106.975342</v>
      </c>
      <c r="N209">
        <v>111.882698</v>
      </c>
      <c r="O209">
        <v>116.59922</v>
      </c>
      <c r="P209">
        <v>122.813896</v>
      </c>
      <c r="Q209">
        <v>126.772369</v>
      </c>
      <c r="R209">
        <v>130.55931100000001</v>
      </c>
      <c r="S209">
        <v>134.30990600000001</v>
      </c>
      <c r="T209">
        <v>138.94132999999999</v>
      </c>
      <c r="U209">
        <v>143.02919</v>
      </c>
      <c r="V209">
        <v>147.11927800000001</v>
      </c>
      <c r="W209">
        <v>151.292374</v>
      </c>
      <c r="X209">
        <v>155.555115</v>
      </c>
      <c r="Y209">
        <v>160.74430799999999</v>
      </c>
      <c r="Z209">
        <v>165.402466</v>
      </c>
      <c r="AA209">
        <v>170.20541399999999</v>
      </c>
      <c r="AB209">
        <v>175.20356799999999</v>
      </c>
      <c r="AC209">
        <v>180.50953699999999</v>
      </c>
      <c r="AD209">
        <v>186.63502500000001</v>
      </c>
      <c r="AE209">
        <v>192.495499</v>
      </c>
      <c r="AF209">
        <v>198.630371</v>
      </c>
      <c r="AG209">
        <v>204.97837799999999</v>
      </c>
      <c r="AH209">
        <v>211.68373099999999</v>
      </c>
      <c r="AI209" t="s">
        <v>111</v>
      </c>
    </row>
    <row r="210" spans="1:35">
      <c r="A210" t="s">
        <v>217</v>
      </c>
      <c r="B210" t="s">
        <v>1595</v>
      </c>
      <c r="C210" t="s">
        <v>1069</v>
      </c>
      <c r="D210" t="s">
        <v>200</v>
      </c>
      <c r="F210">
        <v>0</v>
      </c>
      <c r="G210">
        <v>16.152573</v>
      </c>
      <c r="H210">
        <v>74.385323</v>
      </c>
      <c r="I210">
        <v>44.418120999999999</v>
      </c>
      <c r="J210">
        <v>56.281497999999999</v>
      </c>
      <c r="K210">
        <v>46.858376</v>
      </c>
      <c r="L210">
        <v>45.260803000000003</v>
      </c>
      <c r="M210">
        <v>47.178879000000002</v>
      </c>
      <c r="N210">
        <v>49.045569999999998</v>
      </c>
      <c r="O210">
        <v>50.850254</v>
      </c>
      <c r="P210">
        <v>52.437424</v>
      </c>
      <c r="Q210">
        <v>53.918830999999997</v>
      </c>
      <c r="R210">
        <v>55.272826999999999</v>
      </c>
      <c r="S210">
        <v>56.578246999999998</v>
      </c>
      <c r="T210">
        <v>58.250194999999998</v>
      </c>
      <c r="U210">
        <v>59.701050000000002</v>
      </c>
      <c r="V210">
        <v>61.174374</v>
      </c>
      <c r="W210">
        <v>62.695816000000001</v>
      </c>
      <c r="X210">
        <v>64.303291000000002</v>
      </c>
      <c r="Y210">
        <v>66.291870000000003</v>
      </c>
      <c r="Z210">
        <v>68.032318000000004</v>
      </c>
      <c r="AA210">
        <v>69.907364000000001</v>
      </c>
      <c r="AB210">
        <v>71.927443999999994</v>
      </c>
      <c r="AC210">
        <v>74.189528999999993</v>
      </c>
      <c r="AD210">
        <v>76.835526000000002</v>
      </c>
      <c r="AE210">
        <v>79.443588000000005</v>
      </c>
      <c r="AF210">
        <v>82.244560000000007</v>
      </c>
      <c r="AG210">
        <v>85.175903000000005</v>
      </c>
      <c r="AH210">
        <v>88.275108000000003</v>
      </c>
      <c r="AI210" t="s">
        <v>111</v>
      </c>
    </row>
    <row r="211" spans="1:35">
      <c r="A211" t="s">
        <v>218</v>
      </c>
      <c r="B211" t="s">
        <v>1596</v>
      </c>
      <c r="C211" t="s">
        <v>1069</v>
      </c>
      <c r="D211" t="s">
        <v>200</v>
      </c>
      <c r="F211">
        <v>0</v>
      </c>
      <c r="G211">
        <v>0</v>
      </c>
      <c r="H211">
        <v>13.907534</v>
      </c>
      <c r="I211">
        <v>11.581135</v>
      </c>
      <c r="J211">
        <v>13.285769</v>
      </c>
      <c r="K211">
        <v>8.7865739999999999</v>
      </c>
      <c r="L211">
        <v>11.912839999999999</v>
      </c>
      <c r="M211">
        <v>14.229506000000001</v>
      </c>
      <c r="N211">
        <v>14.96176</v>
      </c>
      <c r="O211">
        <v>15.676151000000001</v>
      </c>
      <c r="P211">
        <v>16.351693999999998</v>
      </c>
      <c r="Q211">
        <v>17.011806</v>
      </c>
      <c r="R211">
        <v>17.684864000000001</v>
      </c>
      <c r="S211">
        <v>18.374672</v>
      </c>
      <c r="T211">
        <v>19.195830999999998</v>
      </c>
      <c r="U211">
        <v>19.947098</v>
      </c>
      <c r="V211">
        <v>20.696186000000001</v>
      </c>
      <c r="W211">
        <v>21.447388</v>
      </c>
      <c r="X211">
        <v>22.153858</v>
      </c>
      <c r="Y211">
        <v>22.969529999999999</v>
      </c>
      <c r="Z211">
        <v>23.723488</v>
      </c>
      <c r="AA211">
        <v>24.439530999999999</v>
      </c>
      <c r="AB211">
        <v>25.104008</v>
      </c>
      <c r="AC211">
        <v>25.697693000000001</v>
      </c>
      <c r="AD211">
        <v>26.327818000000001</v>
      </c>
      <c r="AE211">
        <v>26.879307000000001</v>
      </c>
      <c r="AF211">
        <v>27.422423999999999</v>
      </c>
      <c r="AG211">
        <v>27.929182000000001</v>
      </c>
      <c r="AH211">
        <v>28.481864999999999</v>
      </c>
      <c r="AI211" t="s">
        <v>111</v>
      </c>
    </row>
    <row r="212" spans="1:35">
      <c r="A212" t="s">
        <v>219</v>
      </c>
      <c r="B212" t="s">
        <v>1597</v>
      </c>
      <c r="C212" t="s">
        <v>1069</v>
      </c>
      <c r="D212" t="s">
        <v>200</v>
      </c>
      <c r="F212">
        <v>0</v>
      </c>
      <c r="G212">
        <v>79.417648</v>
      </c>
      <c r="H212">
        <v>70.644729999999996</v>
      </c>
      <c r="I212">
        <v>34.263565</v>
      </c>
      <c r="J212">
        <v>33.920757000000002</v>
      </c>
      <c r="K212">
        <v>31.017579999999999</v>
      </c>
      <c r="L212">
        <v>36.636215</v>
      </c>
      <c r="M212">
        <v>45.566955999999998</v>
      </c>
      <c r="N212">
        <v>47.875366</v>
      </c>
      <c r="O212">
        <v>50.072814999999999</v>
      </c>
      <c r="P212">
        <v>54.02478</v>
      </c>
      <c r="Q212">
        <v>55.841735999999997</v>
      </c>
      <c r="R212">
        <v>57.601624000000001</v>
      </c>
      <c r="S212">
        <v>59.356994999999998</v>
      </c>
      <c r="T212">
        <v>61.4953</v>
      </c>
      <c r="U212">
        <v>63.381042000000001</v>
      </c>
      <c r="V212">
        <v>65.248717999999997</v>
      </c>
      <c r="W212">
        <v>67.149169999999998</v>
      </c>
      <c r="X212">
        <v>69.097960999999998</v>
      </c>
      <c r="Y212">
        <v>71.482910000000004</v>
      </c>
      <c r="Z212">
        <v>73.646666999999994</v>
      </c>
      <c r="AA212">
        <v>75.858520999999996</v>
      </c>
      <c r="AB212">
        <v>78.172118999999995</v>
      </c>
      <c r="AC212">
        <v>80.622314000000003</v>
      </c>
      <c r="AD212">
        <v>83.471680000000006</v>
      </c>
      <c r="AE212">
        <v>86.172606999999999</v>
      </c>
      <c r="AF212">
        <v>88.963379000000003</v>
      </c>
      <c r="AG212">
        <v>91.873290999999995</v>
      </c>
      <c r="AH212">
        <v>94.926758000000007</v>
      </c>
      <c r="AI212" t="s">
        <v>111</v>
      </c>
    </row>
    <row r="213" spans="1:35">
      <c r="A213" t="s">
        <v>1290</v>
      </c>
      <c r="B213" t="s">
        <v>1598</v>
      </c>
      <c r="C213" t="s">
        <v>1069</v>
      </c>
      <c r="D213" t="s">
        <v>200</v>
      </c>
      <c r="F213">
        <v>4.6944059999999999</v>
      </c>
      <c r="G213">
        <v>0</v>
      </c>
      <c r="H213">
        <v>9.9030819999999995</v>
      </c>
      <c r="I213">
        <v>18.713218999999999</v>
      </c>
      <c r="J213">
        <v>20.190556000000001</v>
      </c>
      <c r="K213">
        <v>24.707723999999999</v>
      </c>
      <c r="L213">
        <v>26.178903999999999</v>
      </c>
      <c r="M213">
        <v>26.187021000000001</v>
      </c>
      <c r="N213">
        <v>26.578914999999999</v>
      </c>
      <c r="O213">
        <v>26.732208</v>
      </c>
      <c r="P213">
        <v>27.393591000000001</v>
      </c>
      <c r="Q213">
        <v>27.984928</v>
      </c>
      <c r="R213">
        <v>28.617878000000001</v>
      </c>
      <c r="S213">
        <v>29.507937999999999</v>
      </c>
      <c r="T213">
        <v>29.673779</v>
      </c>
      <c r="U213">
        <v>29.754950999999998</v>
      </c>
      <c r="V213">
        <v>29.810558</v>
      </c>
      <c r="W213">
        <v>29.813227000000001</v>
      </c>
      <c r="X213">
        <v>29.743130000000001</v>
      </c>
      <c r="Y213">
        <v>29.627026000000001</v>
      </c>
      <c r="Z213">
        <v>29.397304999999999</v>
      </c>
      <c r="AA213">
        <v>29.095371</v>
      </c>
      <c r="AB213">
        <v>28.737287999999999</v>
      </c>
      <c r="AC213">
        <v>28.342614999999999</v>
      </c>
      <c r="AD213">
        <v>27.983851999999999</v>
      </c>
      <c r="AE213">
        <v>27.615227000000001</v>
      </c>
      <c r="AF213">
        <v>27.270102999999999</v>
      </c>
      <c r="AG213">
        <v>26.951415999999998</v>
      </c>
      <c r="AH213">
        <v>26.697842000000001</v>
      </c>
      <c r="AI213" s="22">
        <v>6.4000000000000001E-2</v>
      </c>
    </row>
    <row r="214" spans="1:35">
      <c r="A214" t="s">
        <v>217</v>
      </c>
      <c r="B214" t="s">
        <v>1599</v>
      </c>
      <c r="C214" t="s">
        <v>1069</v>
      </c>
      <c r="D214" t="s">
        <v>200</v>
      </c>
      <c r="F214">
        <v>4.6944059999999999</v>
      </c>
      <c r="G214">
        <v>0</v>
      </c>
      <c r="H214">
        <v>6.7475829999999997</v>
      </c>
      <c r="I214">
        <v>11.778551999999999</v>
      </c>
      <c r="J214">
        <v>12.884046</v>
      </c>
      <c r="K214">
        <v>16.942501</v>
      </c>
      <c r="L214">
        <v>17.098953000000002</v>
      </c>
      <c r="M214">
        <v>17.136088999999998</v>
      </c>
      <c r="N214">
        <v>17.307739000000002</v>
      </c>
      <c r="O214">
        <v>17.323554999999999</v>
      </c>
      <c r="P214">
        <v>17.642493999999999</v>
      </c>
      <c r="Q214">
        <v>17.916205999999999</v>
      </c>
      <c r="R214">
        <v>18.128070999999998</v>
      </c>
      <c r="S214">
        <v>18.270206000000002</v>
      </c>
      <c r="T214">
        <v>18.349886000000001</v>
      </c>
      <c r="U214">
        <v>18.360924000000001</v>
      </c>
      <c r="V214">
        <v>18.368248000000001</v>
      </c>
      <c r="W214">
        <v>18.336587999999999</v>
      </c>
      <c r="X214">
        <v>18.249237000000001</v>
      </c>
      <c r="Y214">
        <v>18.137756</v>
      </c>
      <c r="Z214">
        <v>17.946503</v>
      </c>
      <c r="AA214">
        <v>17.723602</v>
      </c>
      <c r="AB214">
        <v>17.473815999999999</v>
      </c>
      <c r="AC214">
        <v>17.208832000000001</v>
      </c>
      <c r="AD214">
        <v>16.985443</v>
      </c>
      <c r="AE214">
        <v>16.774260999999999</v>
      </c>
      <c r="AF214">
        <v>16.590485000000001</v>
      </c>
      <c r="AG214">
        <v>16.435058999999999</v>
      </c>
      <c r="AH214">
        <v>16.330780000000001</v>
      </c>
      <c r="AI214" s="22">
        <v>4.5999999999999999E-2</v>
      </c>
    </row>
    <row r="215" spans="1:35">
      <c r="A215" t="s">
        <v>218</v>
      </c>
      <c r="B215" t="s">
        <v>1600</v>
      </c>
      <c r="C215" t="s">
        <v>1069</v>
      </c>
      <c r="D215" t="s">
        <v>200</v>
      </c>
      <c r="F215">
        <v>0</v>
      </c>
      <c r="G215">
        <v>0</v>
      </c>
      <c r="H215">
        <v>0.123136</v>
      </c>
      <c r="I215">
        <v>1.9343319999999999</v>
      </c>
      <c r="J215">
        <v>2.1494490000000002</v>
      </c>
      <c r="K215">
        <v>1.225752</v>
      </c>
      <c r="L215">
        <v>1.002186</v>
      </c>
      <c r="M215">
        <v>0.72661200000000004</v>
      </c>
      <c r="N215">
        <v>0.87561500000000003</v>
      </c>
      <c r="O215">
        <v>1.0253829999999999</v>
      </c>
      <c r="P215">
        <v>1.2474810000000001</v>
      </c>
      <c r="Q215">
        <v>1.4651149999999999</v>
      </c>
      <c r="R215">
        <v>1.8116300000000001</v>
      </c>
      <c r="S215">
        <v>2.5099939999999998</v>
      </c>
      <c r="T215">
        <v>2.5653329999999999</v>
      </c>
      <c r="U215">
        <v>2.604568</v>
      </c>
      <c r="V215">
        <v>2.6278419999999998</v>
      </c>
      <c r="W215">
        <v>2.6438899999999999</v>
      </c>
      <c r="X215">
        <v>2.6589619999999998</v>
      </c>
      <c r="Y215">
        <v>2.6583519999999998</v>
      </c>
      <c r="Z215">
        <v>2.6367910000000001</v>
      </c>
      <c r="AA215">
        <v>2.5863839999999998</v>
      </c>
      <c r="AB215">
        <v>2.5181110000000002</v>
      </c>
      <c r="AC215">
        <v>2.4389129999999999</v>
      </c>
      <c r="AD215">
        <v>2.357037</v>
      </c>
      <c r="AE215">
        <v>2.2597580000000002</v>
      </c>
      <c r="AF215">
        <v>2.1587450000000001</v>
      </c>
      <c r="AG215">
        <v>2.0570369999999998</v>
      </c>
      <c r="AH215">
        <v>1.96191</v>
      </c>
      <c r="AI215" t="s">
        <v>111</v>
      </c>
    </row>
    <row r="216" spans="1:35">
      <c r="A216" t="s">
        <v>219</v>
      </c>
      <c r="B216" t="s">
        <v>1601</v>
      </c>
      <c r="C216" t="s">
        <v>1069</v>
      </c>
      <c r="D216" t="s">
        <v>200</v>
      </c>
      <c r="F216">
        <v>0</v>
      </c>
      <c r="G216">
        <v>0</v>
      </c>
      <c r="H216">
        <v>3.0323630000000001</v>
      </c>
      <c r="I216">
        <v>5.0003349999999998</v>
      </c>
      <c r="J216">
        <v>5.1570600000000004</v>
      </c>
      <c r="K216">
        <v>6.5394709999999998</v>
      </c>
      <c r="L216">
        <v>8.0777649999999994</v>
      </c>
      <c r="M216">
        <v>8.3243200000000002</v>
      </c>
      <c r="N216">
        <v>8.3955590000000004</v>
      </c>
      <c r="O216">
        <v>8.3832699999999996</v>
      </c>
      <c r="P216">
        <v>8.5036159999999992</v>
      </c>
      <c r="Q216">
        <v>8.6036070000000002</v>
      </c>
      <c r="R216">
        <v>8.6781769999999998</v>
      </c>
      <c r="S216">
        <v>8.7277369999999994</v>
      </c>
      <c r="T216">
        <v>8.7585599999999992</v>
      </c>
      <c r="U216">
        <v>8.7894590000000008</v>
      </c>
      <c r="V216">
        <v>8.8144679999999997</v>
      </c>
      <c r="W216">
        <v>8.8327480000000005</v>
      </c>
      <c r="X216">
        <v>8.8349299999999999</v>
      </c>
      <c r="Y216">
        <v>8.8309169999999995</v>
      </c>
      <c r="Z216">
        <v>8.8140110000000007</v>
      </c>
      <c r="AA216">
        <v>8.7853849999999998</v>
      </c>
      <c r="AB216">
        <v>8.7453610000000008</v>
      </c>
      <c r="AC216">
        <v>8.6948699999999999</v>
      </c>
      <c r="AD216">
        <v>8.6413729999999997</v>
      </c>
      <c r="AE216">
        <v>8.5812069999999991</v>
      </c>
      <c r="AF216">
        <v>8.5208739999999992</v>
      </c>
      <c r="AG216">
        <v>8.45932</v>
      </c>
      <c r="AH216">
        <v>8.405151</v>
      </c>
      <c r="AI216" t="s">
        <v>111</v>
      </c>
    </row>
    <row r="217" spans="1:35">
      <c r="A217" t="s">
        <v>1293</v>
      </c>
      <c r="B217" t="s">
        <v>1602</v>
      </c>
      <c r="C217" t="s">
        <v>1069</v>
      </c>
      <c r="D217" t="s">
        <v>200</v>
      </c>
      <c r="F217">
        <v>0</v>
      </c>
      <c r="G217">
        <v>16.212554999999998</v>
      </c>
      <c r="H217">
        <v>72.479491999999993</v>
      </c>
      <c r="I217">
        <v>40.945121999999998</v>
      </c>
      <c r="J217">
        <v>45.360497000000002</v>
      </c>
      <c r="K217">
        <v>47.086692999999997</v>
      </c>
      <c r="L217">
        <v>44.219219000000002</v>
      </c>
      <c r="M217">
        <v>43.437472999999997</v>
      </c>
      <c r="N217">
        <v>44.078677999999996</v>
      </c>
      <c r="O217">
        <v>44.448982000000001</v>
      </c>
      <c r="P217">
        <v>45.430968999999997</v>
      </c>
      <c r="Q217">
        <v>46.471218</v>
      </c>
      <c r="R217">
        <v>47.524146999999999</v>
      </c>
      <c r="S217">
        <v>48.588408999999999</v>
      </c>
      <c r="T217">
        <v>49.558253999999998</v>
      </c>
      <c r="U217">
        <v>50.636077999999998</v>
      </c>
      <c r="V217">
        <v>51.724097999999998</v>
      </c>
      <c r="W217">
        <v>52.793083000000003</v>
      </c>
      <c r="X217">
        <v>53.866115999999998</v>
      </c>
      <c r="Y217">
        <v>54.935673000000001</v>
      </c>
      <c r="Z217">
        <v>56.067089000000003</v>
      </c>
      <c r="AA217">
        <v>57.238425999999997</v>
      </c>
      <c r="AB217">
        <v>58.484650000000002</v>
      </c>
      <c r="AC217">
        <v>59.774197000000001</v>
      </c>
      <c r="AD217">
        <v>60.846770999999997</v>
      </c>
      <c r="AE217">
        <v>62.294235</v>
      </c>
      <c r="AF217">
        <v>63.859734000000003</v>
      </c>
      <c r="AG217">
        <v>65.543030000000002</v>
      </c>
      <c r="AH217">
        <v>67.304428000000001</v>
      </c>
      <c r="AI217" t="s">
        <v>111</v>
      </c>
    </row>
    <row r="218" spans="1:35">
      <c r="A218" t="s">
        <v>217</v>
      </c>
      <c r="B218" t="s">
        <v>1603</v>
      </c>
      <c r="C218" t="s">
        <v>1069</v>
      </c>
      <c r="D218" t="s">
        <v>200</v>
      </c>
      <c r="F218">
        <v>0</v>
      </c>
      <c r="G218">
        <v>5.8114030000000003</v>
      </c>
      <c r="H218">
        <v>42.121963999999998</v>
      </c>
      <c r="I218">
        <v>25.662416</v>
      </c>
      <c r="J218">
        <v>27.793472000000001</v>
      </c>
      <c r="K218">
        <v>28.183192999999999</v>
      </c>
      <c r="L218">
        <v>26.023641999999999</v>
      </c>
      <c r="M218">
        <v>25.516463999999999</v>
      </c>
      <c r="N218">
        <v>26.058325</v>
      </c>
      <c r="O218">
        <v>26.448975000000001</v>
      </c>
      <c r="P218">
        <v>27.170258</v>
      </c>
      <c r="Q218">
        <v>27.915710000000001</v>
      </c>
      <c r="R218">
        <v>28.664702999999999</v>
      </c>
      <c r="S218">
        <v>29.415619</v>
      </c>
      <c r="T218">
        <v>30.099364999999999</v>
      </c>
      <c r="U218">
        <v>30.841248</v>
      </c>
      <c r="V218">
        <v>31.57132</v>
      </c>
      <c r="W218">
        <v>32.287776999999998</v>
      </c>
      <c r="X218">
        <v>32.994903999999998</v>
      </c>
      <c r="Y218">
        <v>33.685364</v>
      </c>
      <c r="Z218">
        <v>34.397095</v>
      </c>
      <c r="AA218">
        <v>35.129173000000002</v>
      </c>
      <c r="AB218">
        <v>35.915416999999998</v>
      </c>
      <c r="AC218">
        <v>36.718688999999998</v>
      </c>
      <c r="AD218">
        <v>37.396667000000001</v>
      </c>
      <c r="AE218">
        <v>38.285400000000003</v>
      </c>
      <c r="AF218">
        <v>39.248534999999997</v>
      </c>
      <c r="AG218">
        <v>40.288939999999997</v>
      </c>
      <c r="AH218">
        <v>41.382384999999999</v>
      </c>
      <c r="AI218" t="s">
        <v>111</v>
      </c>
    </row>
    <row r="219" spans="1:35">
      <c r="A219" t="s">
        <v>218</v>
      </c>
      <c r="B219" t="s">
        <v>1604</v>
      </c>
      <c r="C219" t="s">
        <v>1069</v>
      </c>
      <c r="D219" t="s">
        <v>200</v>
      </c>
      <c r="F219">
        <v>0</v>
      </c>
      <c r="G219">
        <v>2.1028440000000002</v>
      </c>
      <c r="H219">
        <v>5.2317850000000004</v>
      </c>
      <c r="I219">
        <v>5.1375019999999996</v>
      </c>
      <c r="J219">
        <v>5.0140370000000001</v>
      </c>
      <c r="K219">
        <v>3.894466</v>
      </c>
      <c r="L219">
        <v>3.4408159999999999</v>
      </c>
      <c r="M219">
        <v>3.2471969999999999</v>
      </c>
      <c r="N219">
        <v>3.2134369999999999</v>
      </c>
      <c r="O219">
        <v>3.1581950000000001</v>
      </c>
      <c r="P219">
        <v>3.1293950000000001</v>
      </c>
      <c r="Q219">
        <v>3.1110509999999998</v>
      </c>
      <c r="R219">
        <v>3.1012360000000001</v>
      </c>
      <c r="S219">
        <v>3.100142</v>
      </c>
      <c r="T219">
        <v>3.1067480000000001</v>
      </c>
      <c r="U219">
        <v>3.1233499999999998</v>
      </c>
      <c r="V219">
        <v>3.1619969999999999</v>
      </c>
      <c r="W219">
        <v>3.1970779999999999</v>
      </c>
      <c r="X219">
        <v>3.2490489999999999</v>
      </c>
      <c r="Y219">
        <v>3.3071929999999998</v>
      </c>
      <c r="Z219">
        <v>3.3916439999999999</v>
      </c>
      <c r="AA219">
        <v>3.4865710000000001</v>
      </c>
      <c r="AB219">
        <v>3.5925790000000002</v>
      </c>
      <c r="AC219">
        <v>3.712062</v>
      </c>
      <c r="AD219">
        <v>3.817904</v>
      </c>
      <c r="AE219">
        <v>3.9742289999999998</v>
      </c>
      <c r="AF219">
        <v>4.1493169999999999</v>
      </c>
      <c r="AG219">
        <v>4.3417969999999997</v>
      </c>
      <c r="AH219">
        <v>4.539593</v>
      </c>
      <c r="AI219" t="s">
        <v>111</v>
      </c>
    </row>
    <row r="220" spans="1:35">
      <c r="A220" t="s">
        <v>219</v>
      </c>
      <c r="B220" t="s">
        <v>1605</v>
      </c>
      <c r="C220" t="s">
        <v>1069</v>
      </c>
      <c r="D220" t="s">
        <v>200</v>
      </c>
      <c r="F220">
        <v>0</v>
      </c>
      <c r="G220">
        <v>8.2983069999999994</v>
      </c>
      <c r="H220">
        <v>25.125741999999999</v>
      </c>
      <c r="I220">
        <v>10.145201</v>
      </c>
      <c r="J220">
        <v>12.552986000000001</v>
      </c>
      <c r="K220">
        <v>15.009033000000001</v>
      </c>
      <c r="L220">
        <v>14.754761</v>
      </c>
      <c r="M220">
        <v>14.673813000000001</v>
      </c>
      <c r="N220">
        <v>14.806915</v>
      </c>
      <c r="O220">
        <v>14.841811999999999</v>
      </c>
      <c r="P220">
        <v>15.131316999999999</v>
      </c>
      <c r="Q220">
        <v>15.444457999999999</v>
      </c>
      <c r="R220">
        <v>15.758209000000001</v>
      </c>
      <c r="S220">
        <v>16.072647</v>
      </c>
      <c r="T220">
        <v>16.352142000000001</v>
      </c>
      <c r="U220">
        <v>16.671478</v>
      </c>
      <c r="V220">
        <v>16.990784000000001</v>
      </c>
      <c r="W220">
        <v>17.308228</v>
      </c>
      <c r="X220">
        <v>17.622161999999999</v>
      </c>
      <c r="Y220">
        <v>17.943114999999999</v>
      </c>
      <c r="Z220">
        <v>18.278351000000001</v>
      </c>
      <c r="AA220">
        <v>18.622681</v>
      </c>
      <c r="AB220">
        <v>18.976654</v>
      </c>
      <c r="AC220">
        <v>19.343444999999999</v>
      </c>
      <c r="AD220">
        <v>19.632201999999999</v>
      </c>
      <c r="AE220">
        <v>20.034607000000001</v>
      </c>
      <c r="AF220">
        <v>20.461884000000001</v>
      </c>
      <c r="AG220">
        <v>20.912292000000001</v>
      </c>
      <c r="AH220">
        <v>21.382446000000002</v>
      </c>
      <c r="AI220" t="s">
        <v>111</v>
      </c>
    </row>
    <row r="221" spans="1:35">
      <c r="A221" t="s">
        <v>1531</v>
      </c>
      <c r="B221" t="s">
        <v>1606</v>
      </c>
      <c r="C221" t="s">
        <v>1069</v>
      </c>
      <c r="D221" t="s">
        <v>200</v>
      </c>
      <c r="F221">
        <v>904.75219700000002</v>
      </c>
      <c r="G221">
        <v>991.59985400000005</v>
      </c>
      <c r="H221">
        <v>1485.003418</v>
      </c>
      <c r="I221">
        <v>1282.368164</v>
      </c>
      <c r="J221">
        <v>1670.2998050000001</v>
      </c>
      <c r="K221">
        <v>1450.3876949999999</v>
      </c>
      <c r="L221">
        <v>1526.3826899999999</v>
      </c>
      <c r="M221">
        <v>1558.165649</v>
      </c>
      <c r="N221">
        <v>1660.7945560000001</v>
      </c>
      <c r="O221">
        <v>1769.681885</v>
      </c>
      <c r="P221">
        <v>1919.024048</v>
      </c>
      <c r="Q221">
        <v>2060.303711</v>
      </c>
      <c r="R221">
        <v>2116.3635250000002</v>
      </c>
      <c r="S221">
        <v>2193.5354000000002</v>
      </c>
      <c r="T221">
        <v>2297.2055660000001</v>
      </c>
      <c r="U221">
        <v>2390.1284179999998</v>
      </c>
      <c r="V221">
        <v>2467.1530760000001</v>
      </c>
      <c r="W221">
        <v>2532.3911130000001</v>
      </c>
      <c r="X221">
        <v>2612.313721</v>
      </c>
      <c r="Y221">
        <v>2663.599365</v>
      </c>
      <c r="Z221">
        <v>2725.4682619999999</v>
      </c>
      <c r="AA221">
        <v>2780.0473630000001</v>
      </c>
      <c r="AB221">
        <v>2828.6159670000002</v>
      </c>
      <c r="AC221">
        <v>2864.7780760000001</v>
      </c>
      <c r="AD221">
        <v>2907.4077149999998</v>
      </c>
      <c r="AE221">
        <v>2962.3110350000002</v>
      </c>
      <c r="AF221">
        <v>3015.4350589999999</v>
      </c>
      <c r="AG221">
        <v>3065.673828</v>
      </c>
      <c r="AH221">
        <v>3120.0751949999999</v>
      </c>
      <c r="AI221" s="22">
        <v>4.4999999999999998E-2</v>
      </c>
    </row>
    <row r="222" spans="1:35">
      <c r="A222" t="s">
        <v>1534</v>
      </c>
      <c r="B222" t="s">
        <v>1607</v>
      </c>
      <c r="C222" t="s">
        <v>1069</v>
      </c>
      <c r="D222" t="s">
        <v>200</v>
      </c>
      <c r="F222">
        <v>614.47436500000003</v>
      </c>
      <c r="G222">
        <v>421.20178199999998</v>
      </c>
      <c r="H222">
        <v>787.23486300000002</v>
      </c>
      <c r="I222">
        <v>732.21392800000001</v>
      </c>
      <c r="J222">
        <v>972.20172100000002</v>
      </c>
      <c r="K222">
        <v>865.61578399999996</v>
      </c>
      <c r="L222">
        <v>913.55798300000004</v>
      </c>
      <c r="M222">
        <v>942.33685300000002</v>
      </c>
      <c r="N222">
        <v>996.22766100000001</v>
      </c>
      <c r="O222">
        <v>1069.338501</v>
      </c>
      <c r="P222">
        <v>1167.5214840000001</v>
      </c>
      <c r="Q222">
        <v>1265.3530270000001</v>
      </c>
      <c r="R222">
        <v>1292.693237</v>
      </c>
      <c r="S222">
        <v>1340.2144780000001</v>
      </c>
      <c r="T222">
        <v>1398.994995</v>
      </c>
      <c r="U222">
        <v>1446.6892089999999</v>
      </c>
      <c r="V222">
        <v>1488.3553469999999</v>
      </c>
      <c r="W222">
        <v>1523.7208250000001</v>
      </c>
      <c r="X222">
        <v>1570.55188</v>
      </c>
      <c r="Y222">
        <v>1599.5024410000001</v>
      </c>
      <c r="Z222">
        <v>1633.9228519999999</v>
      </c>
      <c r="AA222">
        <v>1664.8023679999999</v>
      </c>
      <c r="AB222">
        <v>1692.3538820000001</v>
      </c>
      <c r="AC222">
        <v>1712.5429690000001</v>
      </c>
      <c r="AD222">
        <v>1736.6657709999999</v>
      </c>
      <c r="AE222">
        <v>1766.789673</v>
      </c>
      <c r="AF222">
        <v>1797.2579350000001</v>
      </c>
      <c r="AG222">
        <v>1826.4796140000001</v>
      </c>
      <c r="AH222">
        <v>1857.2548830000001</v>
      </c>
      <c r="AI222" s="22">
        <v>0.04</v>
      </c>
    </row>
    <row r="223" spans="1:35">
      <c r="A223" t="s">
        <v>1537</v>
      </c>
      <c r="B223" t="s">
        <v>1608</v>
      </c>
      <c r="C223" t="s">
        <v>1069</v>
      </c>
      <c r="D223" t="s">
        <v>200</v>
      </c>
      <c r="F223">
        <v>0</v>
      </c>
      <c r="G223">
        <v>43.201999999999998</v>
      </c>
      <c r="H223">
        <v>176.19311500000001</v>
      </c>
      <c r="I223">
        <v>264.23767099999998</v>
      </c>
      <c r="J223">
        <v>337.30218500000001</v>
      </c>
      <c r="K223">
        <v>241.18519599999999</v>
      </c>
      <c r="L223">
        <v>250.01374799999999</v>
      </c>
      <c r="M223">
        <v>229.556229</v>
      </c>
      <c r="N223">
        <v>267.801514</v>
      </c>
      <c r="O223">
        <v>286.305725</v>
      </c>
      <c r="P223">
        <v>309.00408900000002</v>
      </c>
      <c r="Q223">
        <v>337.41769399999998</v>
      </c>
      <c r="R223">
        <v>363.00277699999998</v>
      </c>
      <c r="S223">
        <v>382.066711</v>
      </c>
      <c r="T223">
        <v>410.25665300000003</v>
      </c>
      <c r="U223">
        <v>437.19250499999998</v>
      </c>
      <c r="V223">
        <v>454.16250600000001</v>
      </c>
      <c r="W223">
        <v>469.31454500000001</v>
      </c>
      <c r="X223">
        <v>484.82696499999997</v>
      </c>
      <c r="Y223">
        <v>497.35604899999998</v>
      </c>
      <c r="Z223">
        <v>511.34866299999999</v>
      </c>
      <c r="AA223">
        <v>522.06909199999996</v>
      </c>
      <c r="AB223">
        <v>530.38336200000003</v>
      </c>
      <c r="AC223">
        <v>536.20544400000006</v>
      </c>
      <c r="AD223">
        <v>541.32488999999998</v>
      </c>
      <c r="AE223">
        <v>550.57580600000006</v>
      </c>
      <c r="AF223">
        <v>557.48303199999998</v>
      </c>
      <c r="AG223">
        <v>562.88867200000004</v>
      </c>
      <c r="AH223">
        <v>569.36602800000003</v>
      </c>
      <c r="AI223" t="s">
        <v>111</v>
      </c>
    </row>
    <row r="224" spans="1:35">
      <c r="A224" t="s">
        <v>112</v>
      </c>
      <c r="B224" t="s">
        <v>1609</v>
      </c>
      <c r="C224" t="s">
        <v>1069</v>
      </c>
      <c r="D224" t="s">
        <v>200</v>
      </c>
      <c r="F224">
        <v>290.27792399999998</v>
      </c>
      <c r="G224">
        <v>527.19604500000003</v>
      </c>
      <c r="H224">
        <v>521.57543899999996</v>
      </c>
      <c r="I224">
        <v>285.91653400000001</v>
      </c>
      <c r="J224">
        <v>360.79580700000002</v>
      </c>
      <c r="K224">
        <v>343.58676100000002</v>
      </c>
      <c r="L224">
        <v>362.81127900000001</v>
      </c>
      <c r="M224">
        <v>386.27246100000002</v>
      </c>
      <c r="N224">
        <v>396.76541099999997</v>
      </c>
      <c r="O224">
        <v>414.038025</v>
      </c>
      <c r="P224">
        <v>442.49832199999997</v>
      </c>
      <c r="Q224">
        <v>457.532623</v>
      </c>
      <c r="R224">
        <v>460.66708399999999</v>
      </c>
      <c r="S224">
        <v>471.25414999999998</v>
      </c>
      <c r="T224">
        <v>487.95376599999997</v>
      </c>
      <c r="U224">
        <v>506.24688700000002</v>
      </c>
      <c r="V224">
        <v>524.635986</v>
      </c>
      <c r="W224">
        <v>539.35583499999996</v>
      </c>
      <c r="X224">
        <v>556.93518100000006</v>
      </c>
      <c r="Y224">
        <v>566.74054000000001</v>
      </c>
      <c r="Z224">
        <v>580.19702099999995</v>
      </c>
      <c r="AA224">
        <v>593.17627000000005</v>
      </c>
      <c r="AB224">
        <v>605.87854000000004</v>
      </c>
      <c r="AC224">
        <v>616.02929700000004</v>
      </c>
      <c r="AD224">
        <v>629.41729699999996</v>
      </c>
      <c r="AE224">
        <v>644.94561799999997</v>
      </c>
      <c r="AF224">
        <v>660.69335899999999</v>
      </c>
      <c r="AG224">
        <v>676.30487100000005</v>
      </c>
      <c r="AH224">
        <v>693.45422399999995</v>
      </c>
      <c r="AI224" s="22">
        <v>3.2000000000000001E-2</v>
      </c>
    </row>
    <row r="225" spans="1:35">
      <c r="A225" t="s">
        <v>220</v>
      </c>
    </row>
    <row r="226" spans="1:35">
      <c r="A226" t="s">
        <v>221</v>
      </c>
    </row>
    <row r="227" spans="1:35">
      <c r="A227" t="s">
        <v>217</v>
      </c>
      <c r="B227" t="s">
        <v>1610</v>
      </c>
      <c r="C227" t="s">
        <v>1611</v>
      </c>
      <c r="D227" t="s">
        <v>232</v>
      </c>
      <c r="F227">
        <v>74.871787999999995</v>
      </c>
      <c r="G227">
        <v>74.824341000000004</v>
      </c>
      <c r="H227">
        <v>74.843711999999996</v>
      </c>
      <c r="I227">
        <v>75.333457999999993</v>
      </c>
      <c r="J227">
        <v>75.87867</v>
      </c>
      <c r="K227">
        <v>76.485473999999996</v>
      </c>
      <c r="L227">
        <v>77.093658000000005</v>
      </c>
      <c r="M227">
        <v>77.712952000000001</v>
      </c>
      <c r="N227">
        <v>78.329871999999995</v>
      </c>
      <c r="O227">
        <v>78.955132000000006</v>
      </c>
      <c r="P227">
        <v>79.596581</v>
      </c>
      <c r="Q227">
        <v>80.241302000000005</v>
      </c>
      <c r="R227">
        <v>80.880104000000003</v>
      </c>
      <c r="S227">
        <v>81.521529999999998</v>
      </c>
      <c r="T227">
        <v>82.171088999999995</v>
      </c>
      <c r="U227">
        <v>82.828086999999996</v>
      </c>
      <c r="V227">
        <v>83.492508000000001</v>
      </c>
      <c r="W227">
        <v>84.161949000000007</v>
      </c>
      <c r="X227">
        <v>84.839523</v>
      </c>
      <c r="Y227">
        <v>85.521277999999995</v>
      </c>
      <c r="Z227">
        <v>86.209518000000003</v>
      </c>
      <c r="AA227">
        <v>86.902869999999993</v>
      </c>
      <c r="AB227">
        <v>87.599975999999998</v>
      </c>
      <c r="AC227">
        <v>88.297957999999994</v>
      </c>
      <c r="AD227">
        <v>89.001686000000007</v>
      </c>
      <c r="AE227">
        <v>89.711135999999996</v>
      </c>
      <c r="AF227">
        <v>90.425010999999998</v>
      </c>
      <c r="AG227">
        <v>91.141800000000003</v>
      </c>
      <c r="AH227">
        <v>91.860962000000001</v>
      </c>
      <c r="AI227" s="22">
        <v>7.0000000000000001E-3</v>
      </c>
    </row>
    <row r="228" spans="1:35">
      <c r="A228" t="s">
        <v>218</v>
      </c>
      <c r="B228" t="s">
        <v>1612</v>
      </c>
      <c r="C228" t="s">
        <v>1613</v>
      </c>
      <c r="D228" t="s">
        <v>232</v>
      </c>
      <c r="F228">
        <v>95.571944999999999</v>
      </c>
      <c r="G228">
        <v>96.332038999999995</v>
      </c>
      <c r="H228">
        <v>96.948059000000001</v>
      </c>
      <c r="I228">
        <v>97.557548999999995</v>
      </c>
      <c r="J228">
        <v>98.265174999999999</v>
      </c>
      <c r="K228">
        <v>98.991425000000007</v>
      </c>
      <c r="L228">
        <v>99.728767000000005</v>
      </c>
      <c r="M228">
        <v>100.53151699999999</v>
      </c>
      <c r="N228">
        <v>101.338425</v>
      </c>
      <c r="O228">
        <v>102.15516700000001</v>
      </c>
      <c r="P228">
        <v>102.981506</v>
      </c>
      <c r="Q228">
        <v>103.812592</v>
      </c>
      <c r="R228">
        <v>104.645805</v>
      </c>
      <c r="S228">
        <v>105.48344400000001</v>
      </c>
      <c r="T228">
        <v>106.327766</v>
      </c>
      <c r="U228">
        <v>107.178513</v>
      </c>
      <c r="V228">
        <v>108.03568300000001</v>
      </c>
      <c r="W228">
        <v>108.89866600000001</v>
      </c>
      <c r="X228">
        <v>109.76814299999999</v>
      </c>
      <c r="Y228">
        <v>110.64381400000001</v>
      </c>
      <c r="Z228">
        <v>111.525688</v>
      </c>
      <c r="AA228">
        <v>112.413414</v>
      </c>
      <c r="AB228">
        <v>113.306732</v>
      </c>
      <c r="AC228">
        <v>114.204796</v>
      </c>
      <c r="AD228">
        <v>115.10968</v>
      </c>
      <c r="AE228">
        <v>116.02063800000001</v>
      </c>
      <c r="AF228">
        <v>116.937302</v>
      </c>
      <c r="AG228">
        <v>117.859009</v>
      </c>
      <c r="AH228">
        <v>118.78563699999999</v>
      </c>
      <c r="AI228" s="22">
        <v>8.0000000000000002E-3</v>
      </c>
    </row>
    <row r="229" spans="1:35">
      <c r="A229" t="s">
        <v>219</v>
      </c>
      <c r="B229" t="s">
        <v>1614</v>
      </c>
      <c r="C229" t="s">
        <v>1615</v>
      </c>
      <c r="D229" t="s">
        <v>232</v>
      </c>
      <c r="F229">
        <v>53.707275000000003</v>
      </c>
      <c r="G229">
        <v>54.124397000000002</v>
      </c>
      <c r="H229">
        <v>54.535389000000002</v>
      </c>
      <c r="I229">
        <v>55.089179999999999</v>
      </c>
      <c r="J229">
        <v>55.648128999999997</v>
      </c>
      <c r="K229">
        <v>56.214294000000002</v>
      </c>
      <c r="L229">
        <v>56.779915000000003</v>
      </c>
      <c r="M229">
        <v>57.350605000000002</v>
      </c>
      <c r="N229">
        <v>57.924571999999998</v>
      </c>
      <c r="O229">
        <v>58.495677999999998</v>
      </c>
      <c r="P229">
        <v>59.057735000000001</v>
      </c>
      <c r="Q229">
        <v>59.619278000000001</v>
      </c>
      <c r="R229">
        <v>60.188018999999997</v>
      </c>
      <c r="S229">
        <v>60.757896000000002</v>
      </c>
      <c r="T229">
        <v>61.324883</v>
      </c>
      <c r="U229">
        <v>61.889651999999998</v>
      </c>
      <c r="V229">
        <v>62.452274000000003</v>
      </c>
      <c r="W229">
        <v>63.015414999999997</v>
      </c>
      <c r="X229">
        <v>63.577655999999998</v>
      </c>
      <c r="Y229">
        <v>64.144210999999999</v>
      </c>
      <c r="Z229">
        <v>64.713134999999994</v>
      </c>
      <c r="AA229">
        <v>65.284485000000004</v>
      </c>
      <c r="AB229">
        <v>65.857856999999996</v>
      </c>
      <c r="AC229">
        <v>66.434402000000006</v>
      </c>
      <c r="AD229">
        <v>67.010413999999997</v>
      </c>
      <c r="AE229">
        <v>67.586348999999998</v>
      </c>
      <c r="AF229">
        <v>68.162711999999999</v>
      </c>
      <c r="AG229">
        <v>68.739593999999997</v>
      </c>
      <c r="AH229">
        <v>69.315917999999996</v>
      </c>
      <c r="AI229" s="22">
        <v>8.9999999999999993E-3</v>
      </c>
    </row>
    <row r="230" spans="1:35">
      <c r="A230" t="s">
        <v>222</v>
      </c>
      <c r="B230" t="s">
        <v>1616</v>
      </c>
      <c r="C230" t="s">
        <v>1617</v>
      </c>
      <c r="D230" t="s">
        <v>232</v>
      </c>
      <c r="F230">
        <v>77.863677999999993</v>
      </c>
      <c r="G230">
        <v>78.969109000000003</v>
      </c>
      <c r="H230">
        <v>79.838065999999998</v>
      </c>
      <c r="I230">
        <v>80.662163000000007</v>
      </c>
      <c r="J230">
        <v>81.517982000000003</v>
      </c>
      <c r="K230">
        <v>82.241730000000004</v>
      </c>
      <c r="L230">
        <v>82.941292000000004</v>
      </c>
      <c r="M230">
        <v>83.620864999999995</v>
      </c>
      <c r="N230">
        <v>84.302948000000001</v>
      </c>
      <c r="O230">
        <v>84.990279999999998</v>
      </c>
      <c r="P230">
        <v>85.685485999999997</v>
      </c>
      <c r="Q230">
        <v>86.385093999999995</v>
      </c>
      <c r="R230">
        <v>87.086487000000005</v>
      </c>
      <c r="S230">
        <v>87.792213000000004</v>
      </c>
      <c r="T230">
        <v>88.504158000000004</v>
      </c>
      <c r="U230">
        <v>89.221908999999997</v>
      </c>
      <c r="V230">
        <v>89.945617999999996</v>
      </c>
      <c r="W230">
        <v>90.674721000000005</v>
      </c>
      <c r="X230">
        <v>91.410415999999998</v>
      </c>
      <c r="Y230">
        <v>92.151893999999999</v>
      </c>
      <c r="Z230">
        <v>92.899780000000007</v>
      </c>
      <c r="AA230">
        <v>93.653571999999997</v>
      </c>
      <c r="AB230">
        <v>94.412757999999997</v>
      </c>
      <c r="AC230">
        <v>95.176376000000005</v>
      </c>
      <c r="AD230">
        <v>95.946404000000001</v>
      </c>
      <c r="AE230">
        <v>96.722733000000005</v>
      </c>
      <c r="AF230">
        <v>97.504654000000002</v>
      </c>
      <c r="AG230">
        <v>98.291786000000002</v>
      </c>
      <c r="AH230">
        <v>99.083732999999995</v>
      </c>
      <c r="AI230" s="22">
        <v>8.9999999999999993E-3</v>
      </c>
    </row>
    <row r="231" spans="1:35">
      <c r="A231" t="s">
        <v>223</v>
      </c>
    </row>
    <row r="232" spans="1:35">
      <c r="A232" t="s">
        <v>217</v>
      </c>
      <c r="B232" t="s">
        <v>1618</v>
      </c>
      <c r="C232" t="s">
        <v>1619</v>
      </c>
      <c r="D232" t="s">
        <v>232</v>
      </c>
      <c r="F232">
        <v>69.402541999999997</v>
      </c>
      <c r="G232">
        <v>68.886475000000004</v>
      </c>
      <c r="H232">
        <v>68.590812999999997</v>
      </c>
      <c r="I232">
        <v>68.827171000000007</v>
      </c>
      <c r="J232">
        <v>69.208213999999998</v>
      </c>
      <c r="K232">
        <v>69.602965999999995</v>
      </c>
      <c r="L232">
        <v>70.032539</v>
      </c>
      <c r="M232">
        <v>70.462708000000006</v>
      </c>
      <c r="N232">
        <v>70.920105000000007</v>
      </c>
      <c r="O232">
        <v>71.435119999999998</v>
      </c>
      <c r="P232">
        <v>72.028510999999995</v>
      </c>
      <c r="Q232">
        <v>72.675017999999994</v>
      </c>
      <c r="R232">
        <v>73.344772000000006</v>
      </c>
      <c r="S232">
        <v>74.035331999999997</v>
      </c>
      <c r="T232">
        <v>74.741821000000002</v>
      </c>
      <c r="U232">
        <v>75.464134000000001</v>
      </c>
      <c r="V232">
        <v>76.190216000000007</v>
      </c>
      <c r="W232">
        <v>76.900138999999996</v>
      </c>
      <c r="X232">
        <v>77.626716999999999</v>
      </c>
      <c r="Y232">
        <v>78.356566999999998</v>
      </c>
      <c r="Z232">
        <v>79.082176000000004</v>
      </c>
      <c r="AA232">
        <v>79.809830000000005</v>
      </c>
      <c r="AB232">
        <v>80.528175000000005</v>
      </c>
      <c r="AC232">
        <v>81.236075999999997</v>
      </c>
      <c r="AD232">
        <v>81.931877</v>
      </c>
      <c r="AE232">
        <v>82.620941000000002</v>
      </c>
      <c r="AF232">
        <v>83.293769999999995</v>
      </c>
      <c r="AG232">
        <v>83.952545000000001</v>
      </c>
      <c r="AH232">
        <v>84.605964999999998</v>
      </c>
      <c r="AI232" s="22">
        <v>7.0000000000000001E-3</v>
      </c>
    </row>
    <row r="233" spans="1:35">
      <c r="A233" t="s">
        <v>218</v>
      </c>
      <c r="B233" t="s">
        <v>1620</v>
      </c>
      <c r="C233" t="s">
        <v>1621</v>
      </c>
      <c r="D233" t="s">
        <v>232</v>
      </c>
      <c r="F233">
        <v>89.569159999999997</v>
      </c>
      <c r="G233">
        <v>88.941719000000006</v>
      </c>
      <c r="H233">
        <v>88.892539999999997</v>
      </c>
      <c r="I233">
        <v>89.209166999999994</v>
      </c>
      <c r="J233">
        <v>89.763167999999993</v>
      </c>
      <c r="K233">
        <v>90.068138000000005</v>
      </c>
      <c r="L233">
        <v>90.446510000000004</v>
      </c>
      <c r="M233">
        <v>90.858917000000005</v>
      </c>
      <c r="N233">
        <v>91.328536999999997</v>
      </c>
      <c r="O233">
        <v>91.867462000000003</v>
      </c>
      <c r="P233">
        <v>92.482269000000002</v>
      </c>
      <c r="Q233">
        <v>93.244079999999997</v>
      </c>
      <c r="R233">
        <v>94.089729000000005</v>
      </c>
      <c r="S233">
        <v>95.004363999999995</v>
      </c>
      <c r="T233">
        <v>95.921645999999996</v>
      </c>
      <c r="U233">
        <v>96.856560000000002</v>
      </c>
      <c r="V233">
        <v>97.853888999999995</v>
      </c>
      <c r="W233">
        <v>98.813866000000004</v>
      </c>
      <c r="X233">
        <v>99.777023</v>
      </c>
      <c r="Y233">
        <v>100.747337</v>
      </c>
      <c r="Z233">
        <v>101.733963</v>
      </c>
      <c r="AA233">
        <v>102.75606500000001</v>
      </c>
      <c r="AB233">
        <v>103.779877</v>
      </c>
      <c r="AC233">
        <v>104.787949</v>
      </c>
      <c r="AD233">
        <v>105.762154</v>
      </c>
      <c r="AE233">
        <v>106.74211099999999</v>
      </c>
      <c r="AF233">
        <v>107.712372</v>
      </c>
      <c r="AG233">
        <v>108.66114</v>
      </c>
      <c r="AH233">
        <v>109.57083900000001</v>
      </c>
      <c r="AI233" s="22">
        <v>7.0000000000000001E-3</v>
      </c>
    </row>
    <row r="234" spans="1:35">
      <c r="A234" t="s">
        <v>219</v>
      </c>
      <c r="B234" t="s">
        <v>1622</v>
      </c>
      <c r="C234" t="s">
        <v>1623</v>
      </c>
      <c r="D234" t="s">
        <v>232</v>
      </c>
      <c r="F234">
        <v>52.032425000000003</v>
      </c>
      <c r="G234">
        <v>52.165076999999997</v>
      </c>
      <c r="H234">
        <v>52.297908999999997</v>
      </c>
      <c r="I234">
        <v>52.535397000000003</v>
      </c>
      <c r="J234">
        <v>52.821545</v>
      </c>
      <c r="K234">
        <v>53.134121</v>
      </c>
      <c r="L234">
        <v>53.456631000000002</v>
      </c>
      <c r="M234">
        <v>53.808661999999998</v>
      </c>
      <c r="N234">
        <v>54.187598999999999</v>
      </c>
      <c r="O234">
        <v>54.588481999999999</v>
      </c>
      <c r="P234">
        <v>54.984932000000001</v>
      </c>
      <c r="Q234">
        <v>55.393497000000004</v>
      </c>
      <c r="R234">
        <v>55.793472000000001</v>
      </c>
      <c r="S234">
        <v>56.203944999999997</v>
      </c>
      <c r="T234">
        <v>56.620807999999997</v>
      </c>
      <c r="U234">
        <v>57.048946000000001</v>
      </c>
      <c r="V234">
        <v>57.482985999999997</v>
      </c>
      <c r="W234">
        <v>57.921207000000003</v>
      </c>
      <c r="X234">
        <v>58.376080000000002</v>
      </c>
      <c r="Y234">
        <v>58.850577999999999</v>
      </c>
      <c r="Z234">
        <v>59.324966000000003</v>
      </c>
      <c r="AA234">
        <v>59.809325999999999</v>
      </c>
      <c r="AB234">
        <v>60.290218000000003</v>
      </c>
      <c r="AC234">
        <v>60.779175000000002</v>
      </c>
      <c r="AD234">
        <v>61.270797999999999</v>
      </c>
      <c r="AE234">
        <v>61.763649000000001</v>
      </c>
      <c r="AF234">
        <v>62.259666000000003</v>
      </c>
      <c r="AG234">
        <v>62.756359000000003</v>
      </c>
      <c r="AH234">
        <v>63.257401000000002</v>
      </c>
      <c r="AI234" s="22">
        <v>7.0000000000000001E-3</v>
      </c>
    </row>
    <row r="235" spans="1:35">
      <c r="A235" t="s">
        <v>222</v>
      </c>
      <c r="B235" t="s">
        <v>1624</v>
      </c>
      <c r="C235" t="s">
        <v>1625</v>
      </c>
      <c r="D235" t="s">
        <v>232</v>
      </c>
      <c r="F235">
        <v>72.715873999999999</v>
      </c>
      <c r="G235">
        <v>73.085792999999995</v>
      </c>
      <c r="H235">
        <v>73.482078999999999</v>
      </c>
      <c r="I235">
        <v>73.996407000000005</v>
      </c>
      <c r="J235">
        <v>74.646186999999998</v>
      </c>
      <c r="K235">
        <v>75.080658</v>
      </c>
      <c r="L235">
        <v>75.532944000000001</v>
      </c>
      <c r="M235">
        <v>75.957808999999997</v>
      </c>
      <c r="N235">
        <v>76.421074000000004</v>
      </c>
      <c r="O235">
        <v>76.940421999999998</v>
      </c>
      <c r="P235">
        <v>77.526291000000001</v>
      </c>
      <c r="Q235">
        <v>78.189293000000006</v>
      </c>
      <c r="R235">
        <v>78.892960000000002</v>
      </c>
      <c r="S235">
        <v>79.631493000000006</v>
      </c>
      <c r="T235">
        <v>80.381148999999994</v>
      </c>
      <c r="U235">
        <v>81.146614</v>
      </c>
      <c r="V235">
        <v>81.932625000000002</v>
      </c>
      <c r="W235">
        <v>82.698982000000001</v>
      </c>
      <c r="X235">
        <v>83.478408999999999</v>
      </c>
      <c r="Y235">
        <v>84.265083000000004</v>
      </c>
      <c r="Z235">
        <v>85.054001</v>
      </c>
      <c r="AA235">
        <v>85.856116999999998</v>
      </c>
      <c r="AB235">
        <v>86.653617999999994</v>
      </c>
      <c r="AC235">
        <v>87.443168999999997</v>
      </c>
      <c r="AD235">
        <v>88.216926999999998</v>
      </c>
      <c r="AE235">
        <v>88.989211999999995</v>
      </c>
      <c r="AF235">
        <v>89.750197999999997</v>
      </c>
      <c r="AG235">
        <v>90.498283000000001</v>
      </c>
      <c r="AH235">
        <v>91.234497000000005</v>
      </c>
      <c r="AI235" s="22">
        <v>8.0000000000000002E-3</v>
      </c>
    </row>
    <row r="236" spans="1:35">
      <c r="A236" t="s">
        <v>110</v>
      </c>
    </row>
    <row r="237" spans="1:35">
      <c r="A237" t="s">
        <v>224</v>
      </c>
    </row>
    <row r="238" spans="1:35">
      <c r="A238" t="s">
        <v>211</v>
      </c>
      <c r="B238" t="s">
        <v>1626</v>
      </c>
      <c r="C238" t="s">
        <v>1627</v>
      </c>
      <c r="D238" t="s">
        <v>201</v>
      </c>
      <c r="F238">
        <v>2773.233643</v>
      </c>
      <c r="G238">
        <v>2963.5356449999999</v>
      </c>
      <c r="H238">
        <v>2981.6103520000001</v>
      </c>
      <c r="I238">
        <v>2971.982422</v>
      </c>
      <c r="J238">
        <v>2987.7333979999999</v>
      </c>
      <c r="K238">
        <v>3001.9279790000001</v>
      </c>
      <c r="L238">
        <v>3014.08374</v>
      </c>
      <c r="M238">
        <v>3020.093018</v>
      </c>
      <c r="N238">
        <v>3021.0385740000002</v>
      </c>
      <c r="O238">
        <v>3024.4128420000002</v>
      </c>
      <c r="P238">
        <v>3038.7070309999999</v>
      </c>
      <c r="Q238">
        <v>3048.2558589999999</v>
      </c>
      <c r="R238">
        <v>3047.4770509999998</v>
      </c>
      <c r="S238">
        <v>3049.7602539999998</v>
      </c>
      <c r="T238">
        <v>3060.5441890000002</v>
      </c>
      <c r="U238">
        <v>3079.7246089999999</v>
      </c>
      <c r="V238">
        <v>3105.226807</v>
      </c>
      <c r="W238">
        <v>3134.7163089999999</v>
      </c>
      <c r="X238">
        <v>3169.4499510000001</v>
      </c>
      <c r="Y238">
        <v>3200.5976559999999</v>
      </c>
      <c r="Z238">
        <v>3233.203125</v>
      </c>
      <c r="AA238">
        <v>3266.1667480000001</v>
      </c>
      <c r="AB238">
        <v>3300.7473140000002</v>
      </c>
      <c r="AC238">
        <v>3335.2094729999999</v>
      </c>
      <c r="AD238">
        <v>3370.4658199999999</v>
      </c>
      <c r="AE238">
        <v>3408.2768550000001</v>
      </c>
      <c r="AF238">
        <v>3449.0227049999999</v>
      </c>
      <c r="AG238">
        <v>3491.2009280000002</v>
      </c>
      <c r="AH238">
        <v>3538.0180660000001</v>
      </c>
      <c r="AI238" s="22">
        <v>8.9999999999999993E-3</v>
      </c>
    </row>
    <row r="239" spans="1:35">
      <c r="A239" t="s">
        <v>212</v>
      </c>
      <c r="B239" t="s">
        <v>1628</v>
      </c>
      <c r="C239" t="s">
        <v>1629</v>
      </c>
      <c r="D239" t="s">
        <v>201</v>
      </c>
      <c r="F239">
        <v>208.645813</v>
      </c>
      <c r="G239">
        <v>244.10438500000001</v>
      </c>
      <c r="H239">
        <v>267.99700899999999</v>
      </c>
      <c r="I239">
        <v>281.98382600000002</v>
      </c>
      <c r="J239">
        <v>293.084045</v>
      </c>
      <c r="K239">
        <v>302.626373</v>
      </c>
      <c r="L239">
        <v>306.38412499999998</v>
      </c>
      <c r="M239">
        <v>310.086792</v>
      </c>
      <c r="N239">
        <v>313.02474999999998</v>
      </c>
      <c r="O239">
        <v>316.04913299999998</v>
      </c>
      <c r="P239">
        <v>319.02706899999998</v>
      </c>
      <c r="Q239">
        <v>321.92867999999999</v>
      </c>
      <c r="R239">
        <v>324.786743</v>
      </c>
      <c r="S239">
        <v>327.64398199999999</v>
      </c>
      <c r="T239">
        <v>330.28103599999997</v>
      </c>
      <c r="U239">
        <v>333.12841800000001</v>
      </c>
      <c r="V239">
        <v>335.69766199999998</v>
      </c>
      <c r="W239">
        <v>338.28350799999998</v>
      </c>
      <c r="X239">
        <v>341.16531400000002</v>
      </c>
      <c r="Y239">
        <v>344.240295</v>
      </c>
      <c r="Z239">
        <v>347.39129600000001</v>
      </c>
      <c r="AA239">
        <v>350.55389400000001</v>
      </c>
      <c r="AB239">
        <v>354.091522</v>
      </c>
      <c r="AC239">
        <v>357.82122800000002</v>
      </c>
      <c r="AD239">
        <v>361.58618200000001</v>
      </c>
      <c r="AE239">
        <v>365.18158</v>
      </c>
      <c r="AF239">
        <v>368.808899</v>
      </c>
      <c r="AG239">
        <v>372.51077299999997</v>
      </c>
      <c r="AH239">
        <v>376.32229599999999</v>
      </c>
      <c r="AI239" s="22">
        <v>2.1000000000000001E-2</v>
      </c>
    </row>
    <row r="240" spans="1:35">
      <c r="A240" t="s">
        <v>1256</v>
      </c>
      <c r="B240" t="s">
        <v>1630</v>
      </c>
      <c r="C240" t="s">
        <v>1631</v>
      </c>
      <c r="D240" t="s">
        <v>201</v>
      </c>
      <c r="F240">
        <v>196.934158</v>
      </c>
      <c r="G240">
        <v>232.30671699999999</v>
      </c>
      <c r="H240">
        <v>261.84793100000002</v>
      </c>
      <c r="I240">
        <v>279.79983499999997</v>
      </c>
      <c r="J240">
        <v>295.92919899999998</v>
      </c>
      <c r="K240">
        <v>308.29476899999997</v>
      </c>
      <c r="L240">
        <v>319.13308699999999</v>
      </c>
      <c r="M240">
        <v>329.26968399999998</v>
      </c>
      <c r="N240">
        <v>339.56768799999998</v>
      </c>
      <c r="O240">
        <v>349.96786500000002</v>
      </c>
      <c r="P240">
        <v>360.54040500000002</v>
      </c>
      <c r="Q240">
        <v>370.84356700000001</v>
      </c>
      <c r="R240">
        <v>381.30542000000003</v>
      </c>
      <c r="S240">
        <v>391.86987299999998</v>
      </c>
      <c r="T240">
        <v>402.56347699999998</v>
      </c>
      <c r="U240">
        <v>413.346588</v>
      </c>
      <c r="V240">
        <v>424.15704299999999</v>
      </c>
      <c r="W240">
        <v>435.21081500000003</v>
      </c>
      <c r="X240">
        <v>446.14224200000001</v>
      </c>
      <c r="Y240">
        <v>456.85961900000001</v>
      </c>
      <c r="Z240">
        <v>467.702789</v>
      </c>
      <c r="AA240">
        <v>478.244598</v>
      </c>
      <c r="AB240">
        <v>489.21554600000002</v>
      </c>
      <c r="AC240">
        <v>500.09182700000002</v>
      </c>
      <c r="AD240">
        <v>511.115723</v>
      </c>
      <c r="AE240">
        <v>522.51269500000001</v>
      </c>
      <c r="AF240">
        <v>533.62554899999998</v>
      </c>
      <c r="AG240">
        <v>545.11084000000005</v>
      </c>
      <c r="AH240">
        <v>557.21997099999999</v>
      </c>
      <c r="AI240" s="22">
        <v>3.7999999999999999E-2</v>
      </c>
    </row>
    <row r="241" spans="1:36">
      <c r="A241" t="s">
        <v>1259</v>
      </c>
      <c r="B241" t="s">
        <v>1632</v>
      </c>
      <c r="C241" t="s">
        <v>1633</v>
      </c>
      <c r="D241" t="s">
        <v>201</v>
      </c>
      <c r="F241">
        <v>1851.2802730000001</v>
      </c>
      <c r="G241">
        <v>2344.2438959999999</v>
      </c>
      <c r="H241">
        <v>2656.310547</v>
      </c>
      <c r="I241">
        <v>2786.9978030000002</v>
      </c>
      <c r="J241">
        <v>2933.4677729999999</v>
      </c>
      <c r="K241">
        <v>2993.6411130000001</v>
      </c>
      <c r="L241">
        <v>3048.8796390000002</v>
      </c>
      <c r="M241">
        <v>3099.0534670000002</v>
      </c>
      <c r="N241">
        <v>3146.3701169999999</v>
      </c>
      <c r="O241">
        <v>3191.6606449999999</v>
      </c>
      <c r="P241">
        <v>3234.966797</v>
      </c>
      <c r="Q241">
        <v>3273.9794919999999</v>
      </c>
      <c r="R241">
        <v>3309.195068</v>
      </c>
      <c r="S241">
        <v>3338.8146969999998</v>
      </c>
      <c r="T241">
        <v>3370.470703</v>
      </c>
      <c r="U241">
        <v>3403.8549800000001</v>
      </c>
      <c r="V241">
        <v>3437.0017090000001</v>
      </c>
      <c r="W241">
        <v>3473.2641600000002</v>
      </c>
      <c r="X241">
        <v>3510.6833499999998</v>
      </c>
      <c r="Y241">
        <v>3548.211182</v>
      </c>
      <c r="Z241">
        <v>3585.3435060000002</v>
      </c>
      <c r="AA241">
        <v>3621.6083979999999</v>
      </c>
      <c r="AB241">
        <v>3658.6279300000001</v>
      </c>
      <c r="AC241">
        <v>3696.2770999999998</v>
      </c>
      <c r="AD241">
        <v>3735.7353520000001</v>
      </c>
      <c r="AE241">
        <v>3775.4865719999998</v>
      </c>
      <c r="AF241">
        <v>3816.5454100000002</v>
      </c>
      <c r="AG241">
        <v>3858.6560060000002</v>
      </c>
      <c r="AH241">
        <v>3900.7966310000002</v>
      </c>
      <c r="AI241" s="22">
        <v>2.7E-2</v>
      </c>
    </row>
    <row r="242" spans="1:36">
      <c r="A242" t="s">
        <v>1262</v>
      </c>
      <c r="B242" t="s">
        <v>1634</v>
      </c>
      <c r="C242" t="s">
        <v>1635</v>
      </c>
      <c r="D242" t="s">
        <v>201</v>
      </c>
      <c r="F242">
        <v>221.601868</v>
      </c>
      <c r="G242">
        <v>305.65100100000001</v>
      </c>
      <c r="H242">
        <v>351.91027800000001</v>
      </c>
      <c r="I242">
        <v>374.380157</v>
      </c>
      <c r="J242">
        <v>397.491669</v>
      </c>
      <c r="K242">
        <v>412.524384</v>
      </c>
      <c r="L242">
        <v>425.48336799999998</v>
      </c>
      <c r="M242">
        <v>427.36166400000002</v>
      </c>
      <c r="N242">
        <v>428.41531400000002</v>
      </c>
      <c r="O242">
        <v>428.59774800000002</v>
      </c>
      <c r="P242">
        <v>427.95602400000001</v>
      </c>
      <c r="Q242">
        <v>426.94494600000002</v>
      </c>
      <c r="R242">
        <v>425.34710699999999</v>
      </c>
      <c r="S242">
        <v>423.23867799999999</v>
      </c>
      <c r="T242">
        <v>420.81689499999999</v>
      </c>
      <c r="U242">
        <v>417.70291099999997</v>
      </c>
      <c r="V242">
        <v>414.47122200000001</v>
      </c>
      <c r="W242">
        <v>411.232483</v>
      </c>
      <c r="X242">
        <v>407.90484600000002</v>
      </c>
      <c r="Y242">
        <v>404.43249500000002</v>
      </c>
      <c r="Z242">
        <v>400.351135</v>
      </c>
      <c r="AA242">
        <v>396.24203499999999</v>
      </c>
      <c r="AB242">
        <v>392.20419299999998</v>
      </c>
      <c r="AC242">
        <v>388.33065800000003</v>
      </c>
      <c r="AD242">
        <v>384.79718000000003</v>
      </c>
      <c r="AE242">
        <v>381.531342</v>
      </c>
      <c r="AF242">
        <v>378.61096199999997</v>
      </c>
      <c r="AG242">
        <v>376.006012</v>
      </c>
      <c r="AH242">
        <v>373.66793799999999</v>
      </c>
      <c r="AI242" s="22">
        <v>1.9E-2</v>
      </c>
    </row>
    <row r="243" spans="1:36">
      <c r="A243" t="s">
        <v>1265</v>
      </c>
      <c r="B243" t="s">
        <v>1636</v>
      </c>
      <c r="C243" t="s">
        <v>1637</v>
      </c>
      <c r="D243" t="s">
        <v>201</v>
      </c>
      <c r="F243">
        <v>168.51355000000001</v>
      </c>
      <c r="G243">
        <v>237.92446899999999</v>
      </c>
      <c r="H243">
        <v>289.254547</v>
      </c>
      <c r="I243">
        <v>320.81323200000003</v>
      </c>
      <c r="J243">
        <v>346.70153800000003</v>
      </c>
      <c r="K243">
        <v>364.45755000000003</v>
      </c>
      <c r="L243">
        <v>380.39138800000001</v>
      </c>
      <c r="M243">
        <v>389.99795499999999</v>
      </c>
      <c r="N243">
        <v>399.15072600000002</v>
      </c>
      <c r="O243">
        <v>408.00769000000003</v>
      </c>
      <c r="P243">
        <v>416.19485500000002</v>
      </c>
      <c r="Q243">
        <v>423.83029199999999</v>
      </c>
      <c r="R243">
        <v>430.96533199999999</v>
      </c>
      <c r="S243">
        <v>437.64898699999998</v>
      </c>
      <c r="T243">
        <v>444.06417800000003</v>
      </c>
      <c r="U243">
        <v>449.59255999999999</v>
      </c>
      <c r="V243">
        <v>454.55630500000001</v>
      </c>
      <c r="W243">
        <v>459.60629299999999</v>
      </c>
      <c r="X243">
        <v>464.62707499999999</v>
      </c>
      <c r="Y243">
        <v>470.443085</v>
      </c>
      <c r="Z243">
        <v>476.091858</v>
      </c>
      <c r="AA243">
        <v>481.87719700000002</v>
      </c>
      <c r="AB243">
        <v>487.620544</v>
      </c>
      <c r="AC243">
        <v>493.388824</v>
      </c>
      <c r="AD243">
        <v>499.60229500000003</v>
      </c>
      <c r="AE243">
        <v>505.96167000000003</v>
      </c>
      <c r="AF243">
        <v>512.96533199999999</v>
      </c>
      <c r="AG243">
        <v>520.19604500000003</v>
      </c>
      <c r="AH243">
        <v>527.62707499999999</v>
      </c>
      <c r="AI243" s="22">
        <v>4.2000000000000003E-2</v>
      </c>
    </row>
    <row r="244" spans="1:36">
      <c r="A244" t="s">
        <v>1268</v>
      </c>
      <c r="B244" t="s">
        <v>1638</v>
      </c>
      <c r="C244" t="s">
        <v>1639</v>
      </c>
      <c r="D244" t="s">
        <v>201</v>
      </c>
      <c r="F244">
        <v>179.126678</v>
      </c>
      <c r="G244">
        <v>215.03079199999999</v>
      </c>
      <c r="H244">
        <v>244.060822</v>
      </c>
      <c r="I244">
        <v>261.45654300000001</v>
      </c>
      <c r="J244">
        <v>280.28369099999998</v>
      </c>
      <c r="K244">
        <v>292.36175500000002</v>
      </c>
      <c r="L244">
        <v>302.99865699999998</v>
      </c>
      <c r="M244">
        <v>308.74017300000003</v>
      </c>
      <c r="N244">
        <v>313.805115</v>
      </c>
      <c r="O244">
        <v>316.84539799999999</v>
      </c>
      <c r="P244">
        <v>317.10681199999999</v>
      </c>
      <c r="Q244">
        <v>316.64288299999998</v>
      </c>
      <c r="R244">
        <v>315.78216600000002</v>
      </c>
      <c r="S244">
        <v>314.73529100000002</v>
      </c>
      <c r="T244">
        <v>313.11498999999998</v>
      </c>
      <c r="U244">
        <v>311.12240600000001</v>
      </c>
      <c r="V244">
        <v>308.86721799999998</v>
      </c>
      <c r="W244">
        <v>306.44967700000001</v>
      </c>
      <c r="X244">
        <v>304.52310199999999</v>
      </c>
      <c r="Y244">
        <v>302.85192899999998</v>
      </c>
      <c r="Z244">
        <v>301.93472300000002</v>
      </c>
      <c r="AA244">
        <v>301.031586</v>
      </c>
      <c r="AB244">
        <v>299.95602400000001</v>
      </c>
      <c r="AC244">
        <v>298.817047</v>
      </c>
      <c r="AD244">
        <v>298.03195199999999</v>
      </c>
      <c r="AE244">
        <v>296.93994099999998</v>
      </c>
      <c r="AF244">
        <v>296.07199100000003</v>
      </c>
      <c r="AG244">
        <v>295.05017099999998</v>
      </c>
      <c r="AH244">
        <v>294.96356200000002</v>
      </c>
      <c r="AI244" s="22">
        <v>1.7999999999999999E-2</v>
      </c>
    </row>
    <row r="245" spans="1:36">
      <c r="A245" t="s">
        <v>1271</v>
      </c>
      <c r="B245" t="s">
        <v>1640</v>
      </c>
      <c r="C245" t="s">
        <v>1641</v>
      </c>
      <c r="D245" t="s">
        <v>201</v>
      </c>
      <c r="F245">
        <v>416.00412</v>
      </c>
      <c r="G245">
        <v>435.07611100000003</v>
      </c>
      <c r="H245">
        <v>459.97994999999997</v>
      </c>
      <c r="I245">
        <v>476.07449300000002</v>
      </c>
      <c r="J245">
        <v>489.50857500000001</v>
      </c>
      <c r="K245">
        <v>497.90765399999998</v>
      </c>
      <c r="L245">
        <v>504.07409699999999</v>
      </c>
      <c r="M245">
        <v>508.27261399999998</v>
      </c>
      <c r="N245">
        <v>511.631958</v>
      </c>
      <c r="O245">
        <v>515.64855999999997</v>
      </c>
      <c r="P245">
        <v>519.63006600000006</v>
      </c>
      <c r="Q245">
        <v>523.36047399999995</v>
      </c>
      <c r="R245">
        <v>527.20733600000005</v>
      </c>
      <c r="S245">
        <v>531.08386199999995</v>
      </c>
      <c r="T245">
        <v>534.912598</v>
      </c>
      <c r="U245">
        <v>538.74658199999999</v>
      </c>
      <c r="V245">
        <v>542.65185499999995</v>
      </c>
      <c r="W245">
        <v>546.45281999999997</v>
      </c>
      <c r="X245">
        <v>549.711365</v>
      </c>
      <c r="Y245">
        <v>553.53753700000004</v>
      </c>
      <c r="Z245">
        <v>557.36541699999998</v>
      </c>
      <c r="AA245">
        <v>561.29571499999997</v>
      </c>
      <c r="AB245">
        <v>565.61267099999998</v>
      </c>
      <c r="AC245">
        <v>569.73651099999995</v>
      </c>
      <c r="AD245">
        <v>573.75341800000001</v>
      </c>
      <c r="AE245">
        <v>578.07080099999996</v>
      </c>
      <c r="AF245">
        <v>582.46887200000003</v>
      </c>
      <c r="AG245">
        <v>586.97009300000002</v>
      </c>
      <c r="AH245">
        <v>591.20471199999997</v>
      </c>
      <c r="AI245" s="22">
        <v>1.2999999999999999E-2</v>
      </c>
    </row>
    <row r="246" spans="1:36">
      <c r="A246" t="s">
        <v>1274</v>
      </c>
      <c r="B246" t="s">
        <v>1642</v>
      </c>
      <c r="C246" t="s">
        <v>1643</v>
      </c>
      <c r="D246" t="s">
        <v>201</v>
      </c>
      <c r="F246">
        <v>73.955650000000006</v>
      </c>
      <c r="G246">
        <v>95.126662999999994</v>
      </c>
      <c r="H246">
        <v>115.192429</v>
      </c>
      <c r="I246">
        <v>129.06636</v>
      </c>
      <c r="J246">
        <v>140.716995</v>
      </c>
      <c r="K246">
        <v>147.306015</v>
      </c>
      <c r="L246">
        <v>152.34046900000001</v>
      </c>
      <c r="M246">
        <v>156.239395</v>
      </c>
      <c r="N246">
        <v>159.975357</v>
      </c>
      <c r="O246">
        <v>163.19773900000001</v>
      </c>
      <c r="P246">
        <v>165.568085</v>
      </c>
      <c r="Q246">
        <v>167.91790800000001</v>
      </c>
      <c r="R246">
        <v>170.270218</v>
      </c>
      <c r="S246">
        <v>172.59960899999999</v>
      </c>
      <c r="T246">
        <v>174.98753400000001</v>
      </c>
      <c r="U246">
        <v>177.488541</v>
      </c>
      <c r="V246">
        <v>180.11563100000001</v>
      </c>
      <c r="W246">
        <v>182.86473100000001</v>
      </c>
      <c r="X246">
        <v>185.54518100000001</v>
      </c>
      <c r="Y246">
        <v>188.11949200000001</v>
      </c>
      <c r="Z246">
        <v>190.94824199999999</v>
      </c>
      <c r="AA246">
        <v>193.95942700000001</v>
      </c>
      <c r="AB246">
        <v>197.024719</v>
      </c>
      <c r="AC246">
        <v>200.15832499999999</v>
      </c>
      <c r="AD246">
        <v>203.33165</v>
      </c>
      <c r="AE246">
        <v>206.593491</v>
      </c>
      <c r="AF246">
        <v>209.972916</v>
      </c>
      <c r="AG246">
        <v>213.53128100000001</v>
      </c>
      <c r="AH246">
        <v>217.14962800000001</v>
      </c>
      <c r="AI246" s="22">
        <v>3.9E-2</v>
      </c>
    </row>
    <row r="247" spans="1:36">
      <c r="A247" t="s">
        <v>214</v>
      </c>
      <c r="B247" t="s">
        <v>1644</v>
      </c>
      <c r="C247" t="s">
        <v>1645</v>
      </c>
      <c r="D247" t="s">
        <v>201</v>
      </c>
      <c r="F247">
        <v>1451.1182859999999</v>
      </c>
      <c r="G247">
        <v>1448.4776609999999</v>
      </c>
      <c r="H247">
        <v>1460.338379</v>
      </c>
      <c r="I247">
        <v>1552.7242429999999</v>
      </c>
      <c r="J247">
        <v>1648.0225829999999</v>
      </c>
      <c r="K247">
        <v>1734.6660159999999</v>
      </c>
      <c r="L247">
        <v>1815.9964600000001</v>
      </c>
      <c r="M247">
        <v>1896.059448</v>
      </c>
      <c r="N247">
        <v>1974.168091</v>
      </c>
      <c r="O247">
        <v>2049.9370119999999</v>
      </c>
      <c r="P247">
        <v>2125.3466800000001</v>
      </c>
      <c r="Q247">
        <v>2198.2224120000001</v>
      </c>
      <c r="R247">
        <v>2269.7983399999998</v>
      </c>
      <c r="S247">
        <v>2340.0966800000001</v>
      </c>
      <c r="T247">
        <v>2409.6188959999999</v>
      </c>
      <c r="U247">
        <v>2477.8977049999999</v>
      </c>
      <c r="V247">
        <v>2545.1379390000002</v>
      </c>
      <c r="W247">
        <v>2612.1066890000002</v>
      </c>
      <c r="X247">
        <v>2678.4179690000001</v>
      </c>
      <c r="Y247">
        <v>2744.9497070000002</v>
      </c>
      <c r="Z247">
        <v>2813.2739259999998</v>
      </c>
      <c r="AA247">
        <v>2881.1601559999999</v>
      </c>
      <c r="AB247">
        <v>2947.9079590000001</v>
      </c>
      <c r="AC247">
        <v>3013.438721</v>
      </c>
      <c r="AD247">
        <v>3077.5346679999998</v>
      </c>
      <c r="AE247">
        <v>3140.7070309999999</v>
      </c>
      <c r="AF247">
        <v>3203.1733399999998</v>
      </c>
      <c r="AG247">
        <v>3264.3950199999999</v>
      </c>
      <c r="AH247">
        <v>3322.8706050000001</v>
      </c>
      <c r="AI247" s="22">
        <v>0.03</v>
      </c>
    </row>
    <row r="248" spans="1:36">
      <c r="A248" t="s">
        <v>1279</v>
      </c>
      <c r="B248" t="s">
        <v>1646</v>
      </c>
      <c r="C248" t="s">
        <v>1647</v>
      </c>
      <c r="D248" t="s">
        <v>201</v>
      </c>
      <c r="F248">
        <v>208.97879</v>
      </c>
      <c r="G248">
        <v>254.292068</v>
      </c>
      <c r="H248">
        <v>286.61102299999999</v>
      </c>
      <c r="I248">
        <v>309.37872299999998</v>
      </c>
      <c r="J248">
        <v>342.33682299999998</v>
      </c>
      <c r="K248">
        <v>370.96890300000001</v>
      </c>
      <c r="L248">
        <v>398.87280299999998</v>
      </c>
      <c r="M248">
        <v>428.155731</v>
      </c>
      <c r="N248">
        <v>457.75784299999998</v>
      </c>
      <c r="O248">
        <v>487.02401700000001</v>
      </c>
      <c r="P248">
        <v>515.97143600000004</v>
      </c>
      <c r="Q248">
        <v>544.28241000000003</v>
      </c>
      <c r="R248">
        <v>571.83215299999995</v>
      </c>
      <c r="S248">
        <v>598.52832000000001</v>
      </c>
      <c r="T248">
        <v>624.42962599999998</v>
      </c>
      <c r="U248">
        <v>650.14923099999999</v>
      </c>
      <c r="V248">
        <v>675.95190400000001</v>
      </c>
      <c r="W248">
        <v>702.09271200000001</v>
      </c>
      <c r="X248">
        <v>728.36053500000003</v>
      </c>
      <c r="Y248">
        <v>754.63989300000003</v>
      </c>
      <c r="Z248">
        <v>780.98950200000002</v>
      </c>
      <c r="AA248">
        <v>807.26147500000002</v>
      </c>
      <c r="AB248">
        <v>833.47289999999998</v>
      </c>
      <c r="AC248">
        <v>859.46899399999995</v>
      </c>
      <c r="AD248">
        <v>885.26336700000002</v>
      </c>
      <c r="AE248">
        <v>910.78649900000005</v>
      </c>
      <c r="AF248">
        <v>935.97699</v>
      </c>
      <c r="AG248">
        <v>960.82641599999999</v>
      </c>
      <c r="AH248">
        <v>985.28186000000005</v>
      </c>
      <c r="AI248" s="22">
        <v>5.7000000000000002E-2</v>
      </c>
    </row>
    <row r="249" spans="1:36">
      <c r="A249" t="s">
        <v>1282</v>
      </c>
      <c r="B249" t="s">
        <v>1648</v>
      </c>
      <c r="C249" t="s">
        <v>1649</v>
      </c>
      <c r="D249" t="s">
        <v>201</v>
      </c>
      <c r="F249">
        <v>867.03515600000003</v>
      </c>
      <c r="G249">
        <v>1072.595703</v>
      </c>
      <c r="H249">
        <v>1236.2861330000001</v>
      </c>
      <c r="I249">
        <v>1338.03772</v>
      </c>
      <c r="J249">
        <v>1461.0483400000001</v>
      </c>
      <c r="K249">
        <v>1545.8792719999999</v>
      </c>
      <c r="L249">
        <v>1622.678467</v>
      </c>
      <c r="M249">
        <v>1683.805298</v>
      </c>
      <c r="N249">
        <v>1743.7689210000001</v>
      </c>
      <c r="O249">
        <v>1802.757202</v>
      </c>
      <c r="P249">
        <v>1861.040039</v>
      </c>
      <c r="Q249">
        <v>1918.223389</v>
      </c>
      <c r="R249">
        <v>1974.3983149999999</v>
      </c>
      <c r="S249">
        <v>2029.987183</v>
      </c>
      <c r="T249">
        <v>2083.4384770000001</v>
      </c>
      <c r="U249">
        <v>2137.2441410000001</v>
      </c>
      <c r="V249">
        <v>2190.7312010000001</v>
      </c>
      <c r="W249">
        <v>2245.4086910000001</v>
      </c>
      <c r="X249">
        <v>2301.0671390000002</v>
      </c>
      <c r="Y249">
        <v>2356.5280760000001</v>
      </c>
      <c r="Z249">
        <v>2412.4572750000002</v>
      </c>
      <c r="AA249">
        <v>2468.8115229999999</v>
      </c>
      <c r="AB249">
        <v>2525.983154</v>
      </c>
      <c r="AC249">
        <v>2583.9116210000002</v>
      </c>
      <c r="AD249">
        <v>2641.3608399999998</v>
      </c>
      <c r="AE249">
        <v>2699.47876</v>
      </c>
      <c r="AF249">
        <v>2758.8125</v>
      </c>
      <c r="AG249">
        <v>2819.6669919999999</v>
      </c>
      <c r="AH249">
        <v>2881.930664</v>
      </c>
      <c r="AI249" s="22">
        <v>4.3999999999999997E-2</v>
      </c>
    </row>
    <row r="250" spans="1:36">
      <c r="A250" t="s">
        <v>1285</v>
      </c>
      <c r="B250" t="s">
        <v>1650</v>
      </c>
      <c r="C250" t="s">
        <v>1651</v>
      </c>
      <c r="D250" t="s">
        <v>201</v>
      </c>
      <c r="F250">
        <v>346.51025399999997</v>
      </c>
      <c r="G250">
        <v>460.98516799999999</v>
      </c>
      <c r="H250">
        <v>586.89025900000001</v>
      </c>
      <c r="I250">
        <v>680.533997</v>
      </c>
      <c r="J250">
        <v>748.53832999999997</v>
      </c>
      <c r="K250">
        <v>794.39892599999996</v>
      </c>
      <c r="L250">
        <v>837.76019299999996</v>
      </c>
      <c r="M250">
        <v>872.31732199999999</v>
      </c>
      <c r="N250">
        <v>907.20416299999999</v>
      </c>
      <c r="O250">
        <v>941.03716999999995</v>
      </c>
      <c r="P250">
        <v>973.77050799999995</v>
      </c>
      <c r="Q250">
        <v>1006.571594</v>
      </c>
      <c r="R250">
        <v>1039.2143550000001</v>
      </c>
      <c r="S250">
        <v>1072.2879640000001</v>
      </c>
      <c r="T250">
        <v>1105.6850589999999</v>
      </c>
      <c r="U250">
        <v>1138.0900879999999</v>
      </c>
      <c r="V250">
        <v>1171.398682</v>
      </c>
      <c r="W250">
        <v>1205.82251</v>
      </c>
      <c r="X250">
        <v>1241.3045649999999</v>
      </c>
      <c r="Y250">
        <v>1277.2060550000001</v>
      </c>
      <c r="Z250">
        <v>1314.159668</v>
      </c>
      <c r="AA250">
        <v>1352.1051030000001</v>
      </c>
      <c r="AB250">
        <v>1390.8477780000001</v>
      </c>
      <c r="AC250">
        <v>1431.080322</v>
      </c>
      <c r="AD250">
        <v>1472.3236079999999</v>
      </c>
      <c r="AE250">
        <v>1514.3946530000001</v>
      </c>
      <c r="AF250">
        <v>1557.846436</v>
      </c>
      <c r="AG250">
        <v>1603.0229489999999</v>
      </c>
      <c r="AH250">
        <v>1649.9516599999999</v>
      </c>
      <c r="AI250" s="22">
        <v>5.7000000000000002E-2</v>
      </c>
    </row>
    <row r="251" spans="1:36">
      <c r="A251" t="s">
        <v>213</v>
      </c>
      <c r="B251" t="s">
        <v>1652</v>
      </c>
      <c r="C251" t="s">
        <v>1653</v>
      </c>
      <c r="D251" t="s">
        <v>201</v>
      </c>
      <c r="F251">
        <v>238.01660200000001</v>
      </c>
      <c r="G251">
        <v>292.01559400000002</v>
      </c>
      <c r="H251">
        <v>342.62622099999999</v>
      </c>
      <c r="I251">
        <v>371.09878500000002</v>
      </c>
      <c r="J251">
        <v>397.24188199999998</v>
      </c>
      <c r="K251">
        <v>415.29754600000001</v>
      </c>
      <c r="L251">
        <v>430.12527499999999</v>
      </c>
      <c r="M251">
        <v>445.471924</v>
      </c>
      <c r="N251">
        <v>461.20977800000003</v>
      </c>
      <c r="O251">
        <v>477.47970600000002</v>
      </c>
      <c r="P251">
        <v>493.92965700000002</v>
      </c>
      <c r="Q251">
        <v>509.80444299999999</v>
      </c>
      <c r="R251">
        <v>525.89868200000001</v>
      </c>
      <c r="S251">
        <v>542.28320299999996</v>
      </c>
      <c r="T251">
        <v>559.28747599999997</v>
      </c>
      <c r="U251">
        <v>576.76782200000002</v>
      </c>
      <c r="V251">
        <v>594.41863999999998</v>
      </c>
      <c r="W251">
        <v>611.94549600000005</v>
      </c>
      <c r="X251">
        <v>629.67645300000004</v>
      </c>
      <c r="Y251">
        <v>648.33166500000004</v>
      </c>
      <c r="Z251">
        <v>667.59130900000002</v>
      </c>
      <c r="AA251">
        <v>686.76452600000005</v>
      </c>
      <c r="AB251">
        <v>705.953125</v>
      </c>
      <c r="AC251">
        <v>725.06225600000005</v>
      </c>
      <c r="AD251">
        <v>745.34143100000006</v>
      </c>
      <c r="AE251">
        <v>766.22436500000003</v>
      </c>
      <c r="AF251">
        <v>786.81048599999997</v>
      </c>
      <c r="AG251">
        <v>807.81488000000002</v>
      </c>
      <c r="AH251">
        <v>829.29736300000002</v>
      </c>
      <c r="AI251" s="22">
        <v>4.5999999999999999E-2</v>
      </c>
    </row>
    <row r="252" spans="1:36">
      <c r="A252" t="s">
        <v>1290</v>
      </c>
      <c r="B252" t="s">
        <v>1654</v>
      </c>
      <c r="C252" t="s">
        <v>1655</v>
      </c>
      <c r="D252" t="s">
        <v>201</v>
      </c>
      <c r="F252">
        <v>177.623413</v>
      </c>
      <c r="G252">
        <v>195.50058000000001</v>
      </c>
      <c r="H252">
        <v>207.707291</v>
      </c>
      <c r="I252">
        <v>217.55487099999999</v>
      </c>
      <c r="J252">
        <v>226.44786099999999</v>
      </c>
      <c r="K252">
        <v>232.75968900000001</v>
      </c>
      <c r="L252">
        <v>237.95294200000001</v>
      </c>
      <c r="M252">
        <v>242.19709800000001</v>
      </c>
      <c r="N252">
        <v>245.968491</v>
      </c>
      <c r="O252">
        <v>248.83398399999999</v>
      </c>
      <c r="P252">
        <v>251.384018</v>
      </c>
      <c r="Q252">
        <v>253.604691</v>
      </c>
      <c r="R252">
        <v>255.25396699999999</v>
      </c>
      <c r="S252">
        <v>256.37383999999997</v>
      </c>
      <c r="T252">
        <v>256.94958500000001</v>
      </c>
      <c r="U252">
        <v>257.154877</v>
      </c>
      <c r="V252">
        <v>257.03921500000001</v>
      </c>
      <c r="W252">
        <v>257.08990499999999</v>
      </c>
      <c r="X252">
        <v>256.81127900000001</v>
      </c>
      <c r="Y252">
        <v>256.21752900000001</v>
      </c>
      <c r="Z252">
        <v>255.38690199999999</v>
      </c>
      <c r="AA252">
        <v>254.49252300000001</v>
      </c>
      <c r="AB252">
        <v>253.54028299999999</v>
      </c>
      <c r="AC252">
        <v>252.629974</v>
      </c>
      <c r="AD252">
        <v>251.59161399999999</v>
      </c>
      <c r="AE252">
        <v>250.509827</v>
      </c>
      <c r="AF252">
        <v>249.387283</v>
      </c>
      <c r="AG252">
        <v>248.32836900000001</v>
      </c>
      <c r="AH252">
        <v>247.25846899999999</v>
      </c>
      <c r="AI252" s="22">
        <v>1.2E-2</v>
      </c>
    </row>
    <row r="253" spans="1:36">
      <c r="A253" t="s">
        <v>1293</v>
      </c>
      <c r="B253" t="s">
        <v>1656</v>
      </c>
      <c r="C253" t="s">
        <v>1657</v>
      </c>
      <c r="D253" t="s">
        <v>201</v>
      </c>
      <c r="F253">
        <v>150.97995</v>
      </c>
      <c r="G253">
        <v>189.41577100000001</v>
      </c>
      <c r="H253">
        <v>218.397324</v>
      </c>
      <c r="I253">
        <v>236.57075499999999</v>
      </c>
      <c r="J253">
        <v>251.664703</v>
      </c>
      <c r="K253">
        <v>261.595215</v>
      </c>
      <c r="L253">
        <v>269.52786300000002</v>
      </c>
      <c r="M253">
        <v>276.52914399999997</v>
      </c>
      <c r="N253">
        <v>283.311218</v>
      </c>
      <c r="O253">
        <v>289.19650300000001</v>
      </c>
      <c r="P253">
        <v>295.22125199999999</v>
      </c>
      <c r="Q253">
        <v>301.240814</v>
      </c>
      <c r="R253">
        <v>307.54827899999998</v>
      </c>
      <c r="S253">
        <v>314.18032799999997</v>
      </c>
      <c r="T253">
        <v>320.89300500000002</v>
      </c>
      <c r="U253">
        <v>328.12811299999998</v>
      </c>
      <c r="V253">
        <v>335.20141599999999</v>
      </c>
      <c r="W253">
        <v>342.67227200000002</v>
      </c>
      <c r="X253">
        <v>350.03781099999998</v>
      </c>
      <c r="Y253">
        <v>357.897919</v>
      </c>
      <c r="Z253">
        <v>365.842804</v>
      </c>
      <c r="AA253">
        <v>373.88610799999998</v>
      </c>
      <c r="AB253">
        <v>382.03723100000002</v>
      </c>
      <c r="AC253">
        <v>389.91238399999997</v>
      </c>
      <c r="AD253">
        <v>398.19494600000002</v>
      </c>
      <c r="AE253">
        <v>406.56213400000001</v>
      </c>
      <c r="AF253">
        <v>415.03152499999999</v>
      </c>
      <c r="AG253">
        <v>423.346497</v>
      </c>
      <c r="AH253">
        <v>431.970215</v>
      </c>
      <c r="AI253" s="22">
        <v>3.7999999999999999E-2</v>
      </c>
    </row>
    <row r="254" spans="1:36">
      <c r="A254" t="s">
        <v>112</v>
      </c>
      <c r="B254" t="s">
        <v>1658</v>
      </c>
      <c r="C254" t="s">
        <v>1659</v>
      </c>
      <c r="D254" t="s">
        <v>201</v>
      </c>
      <c r="F254">
        <v>9529.5566409999992</v>
      </c>
      <c r="G254">
        <v>10986.282227</v>
      </c>
      <c r="H254">
        <v>11967.020508</v>
      </c>
      <c r="I254">
        <v>12588.454102</v>
      </c>
      <c r="J254">
        <v>13240.217773</v>
      </c>
      <c r="K254">
        <v>13676.613281</v>
      </c>
      <c r="L254">
        <v>14066.682617</v>
      </c>
      <c r="M254">
        <v>14393.651367</v>
      </c>
      <c r="N254">
        <v>14706.369140999999</v>
      </c>
      <c r="O254">
        <v>15010.652344</v>
      </c>
      <c r="P254">
        <v>15316.361328000001</v>
      </c>
      <c r="Q254">
        <v>15605.654296999999</v>
      </c>
      <c r="R254">
        <v>15876.280273</v>
      </c>
      <c r="S254">
        <v>16141.133789</v>
      </c>
      <c r="T254">
        <v>16412.056640999999</v>
      </c>
      <c r="U254">
        <v>16690.138672000001</v>
      </c>
      <c r="V254">
        <v>16972.623047000001</v>
      </c>
      <c r="W254">
        <v>17265.216797000001</v>
      </c>
      <c r="X254">
        <v>17565.425781000002</v>
      </c>
      <c r="Y254">
        <v>17865.064452999999</v>
      </c>
      <c r="Z254">
        <v>18170.033202999999</v>
      </c>
      <c r="AA254">
        <v>18475.460938</v>
      </c>
      <c r="AB254">
        <v>18784.84375</v>
      </c>
      <c r="AC254">
        <v>19095.335938</v>
      </c>
      <c r="AD254">
        <v>19410.033202999999</v>
      </c>
      <c r="AE254">
        <v>19729.21875</v>
      </c>
      <c r="AF254">
        <v>20055.128906000002</v>
      </c>
      <c r="AG254">
        <v>20386.632812</v>
      </c>
      <c r="AH254">
        <v>20725.53125</v>
      </c>
      <c r="AI254" s="22">
        <v>2.8000000000000001E-2</v>
      </c>
    </row>
    <row r="255" spans="1:36">
      <c r="A255" t="s">
        <v>225</v>
      </c>
      <c r="B255" t="s">
        <v>226</v>
      </c>
      <c r="C255" t="s">
        <v>1660</v>
      </c>
      <c r="D255" t="s">
        <v>1661</v>
      </c>
      <c r="E255" t="s">
        <v>201</v>
      </c>
      <c r="G255">
        <v>22.421617999999999</v>
      </c>
      <c r="H255">
        <v>22.410634999999999</v>
      </c>
      <c r="I255">
        <v>22.401547999999998</v>
      </c>
      <c r="J255">
        <v>22.394031999999999</v>
      </c>
      <c r="K255">
        <v>22.387812</v>
      </c>
      <c r="L255">
        <v>22.382666</v>
      </c>
      <c r="M255">
        <v>22.378406999999999</v>
      </c>
      <c r="N255">
        <v>22.374884000000002</v>
      </c>
      <c r="O255">
        <v>22.371969</v>
      </c>
      <c r="P255">
        <v>22.369558000000001</v>
      </c>
      <c r="Q255">
        <v>22.367563000000001</v>
      </c>
      <c r="R255">
        <v>22.365911000000001</v>
      </c>
      <c r="S255">
        <v>22.364546000000001</v>
      </c>
      <c r="T255">
        <v>22.363416999999998</v>
      </c>
      <c r="U255">
        <v>22.362480000000001</v>
      </c>
      <c r="V255">
        <v>22.361708</v>
      </c>
      <c r="W255">
        <v>22.361066999999998</v>
      </c>
      <c r="X255">
        <v>22.360537999999998</v>
      </c>
      <c r="Y255">
        <v>22.360099999999999</v>
      </c>
      <c r="Z255">
        <v>22.359736999999999</v>
      </c>
      <c r="AA255">
        <v>22.359438000000001</v>
      </c>
      <c r="AB255">
        <v>22.359190000000002</v>
      </c>
      <c r="AC255">
        <v>22.358984</v>
      </c>
      <c r="AD255">
        <v>22.358813999999999</v>
      </c>
      <c r="AE255">
        <v>22.358673</v>
      </c>
      <c r="AF255">
        <v>22.358557000000001</v>
      </c>
      <c r="AG255">
        <v>22.358460999999998</v>
      </c>
      <c r="AH255">
        <v>22.358381000000001</v>
      </c>
      <c r="AI255">
        <v>22.358315000000001</v>
      </c>
      <c r="AJ255" s="22">
        <v>0</v>
      </c>
    </row>
    <row r="256" spans="1:36">
      <c r="A256" t="s">
        <v>227</v>
      </c>
      <c r="B256" t="s">
        <v>226</v>
      </c>
      <c r="C256" t="s">
        <v>1662</v>
      </c>
      <c r="D256" t="s">
        <v>1663</v>
      </c>
      <c r="E256" t="s">
        <v>201</v>
      </c>
      <c r="G256">
        <v>334.58492999999999</v>
      </c>
      <c r="H256">
        <v>336.67889400000001</v>
      </c>
      <c r="I256">
        <v>337.57522599999999</v>
      </c>
      <c r="J256">
        <v>338.34670999999997</v>
      </c>
      <c r="K256">
        <v>339.014679</v>
      </c>
      <c r="L256">
        <v>339.86090100000001</v>
      </c>
      <c r="M256">
        <v>340.826843</v>
      </c>
      <c r="N256">
        <v>341.81625400000001</v>
      </c>
      <c r="O256">
        <v>342.787781</v>
      </c>
      <c r="P256">
        <v>343.68756100000002</v>
      </c>
      <c r="Q256">
        <v>344.56802399999998</v>
      </c>
      <c r="R256">
        <v>345.41265900000002</v>
      </c>
      <c r="S256">
        <v>346.25213600000001</v>
      </c>
      <c r="T256">
        <v>347.118042</v>
      </c>
      <c r="U256">
        <v>348.09832799999998</v>
      </c>
      <c r="V256">
        <v>349.18218999999999</v>
      </c>
      <c r="W256">
        <v>350.30291699999998</v>
      </c>
      <c r="X256">
        <v>351.45941199999999</v>
      </c>
      <c r="Y256">
        <v>352.65063500000002</v>
      </c>
      <c r="Z256">
        <v>353.87274200000002</v>
      </c>
      <c r="AA256">
        <v>355.12023900000003</v>
      </c>
      <c r="AB256">
        <v>356.39163200000002</v>
      </c>
      <c r="AC256">
        <v>357.68722500000001</v>
      </c>
      <c r="AD256">
        <v>359.00518799999998</v>
      </c>
      <c r="AE256">
        <v>360.33642600000002</v>
      </c>
      <c r="AF256">
        <v>361.67889400000001</v>
      </c>
      <c r="AG256">
        <v>363.03057899999999</v>
      </c>
      <c r="AH256">
        <v>364.39047199999999</v>
      </c>
      <c r="AI256">
        <v>365.75665300000003</v>
      </c>
      <c r="AJ256" s="22">
        <v>3.0000000000000001E-3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G4409"/>
  <sheetViews>
    <sheetView topLeftCell="B1" workbookViewId="0"/>
  </sheetViews>
  <sheetFormatPr defaultColWidth="8.7265625" defaultRowHeight="14.5"/>
  <cols>
    <col min="1" max="1" width="21.453125" hidden="1" customWidth="1"/>
    <col min="2" max="2" width="46.726562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504</v>
      </c>
      <c r="B10" s="14" t="s">
        <v>505</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506</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A15" s="7" t="s">
        <v>507</v>
      </c>
      <c r="B15" s="15" t="s">
        <v>118</v>
      </c>
      <c r="C15" s="28">
        <f>'AEO 2023 Table 47 Raw'!F6</f>
        <v>12.017455999999999</v>
      </c>
      <c r="D15" s="28">
        <f>'AEO 2023 Table 47 Raw'!G6</f>
        <v>10.142488999999999</v>
      </c>
      <c r="E15" s="28">
        <f>'AEO 2023 Table 47 Raw'!H6</f>
        <v>9.6291329999999995</v>
      </c>
      <c r="F15" s="28">
        <f>'AEO 2023 Table 47 Raw'!I6</f>
        <v>8.8153430000000004</v>
      </c>
      <c r="G15" s="28">
        <f>'AEO 2023 Table 47 Raw'!J6</f>
        <v>8.6369710000000008</v>
      </c>
      <c r="H15" s="28">
        <f>'AEO 2023 Table 47 Raw'!K6</f>
        <v>8.5386919999999993</v>
      </c>
      <c r="I15" s="28">
        <f>'AEO 2023 Table 47 Raw'!L6</f>
        <v>8.4677810000000004</v>
      </c>
      <c r="J15" s="28">
        <f>'AEO 2023 Table 47 Raw'!M6</f>
        <v>8.5231809999999992</v>
      </c>
      <c r="K15" s="28">
        <f>'AEO 2023 Table 47 Raw'!N6</f>
        <v>8.5248640000000009</v>
      </c>
      <c r="L15" s="28">
        <f>'AEO 2023 Table 47 Raw'!O6</f>
        <v>8.6209439999999997</v>
      </c>
      <c r="M15" s="28">
        <f>'AEO 2023 Table 47 Raw'!P6</f>
        <v>8.6936859999999996</v>
      </c>
      <c r="N15" s="28">
        <f>'AEO 2023 Table 47 Raw'!Q6</f>
        <v>8.7233520000000002</v>
      </c>
      <c r="O15" s="28">
        <f>'AEO 2023 Table 47 Raw'!R6</f>
        <v>8.768338</v>
      </c>
      <c r="P15" s="28">
        <f>'AEO 2023 Table 47 Raw'!S6</f>
        <v>8.8004990000000003</v>
      </c>
      <c r="Q15" s="28">
        <f>'AEO 2023 Table 47 Raw'!T6</f>
        <v>8.8639519999999994</v>
      </c>
      <c r="R15" s="28">
        <f>'AEO 2023 Table 47 Raw'!U6</f>
        <v>8.9274159999999991</v>
      </c>
      <c r="S15" s="28">
        <f>'AEO 2023 Table 47 Raw'!V6</f>
        <v>8.9745659999999994</v>
      </c>
      <c r="T15" s="28">
        <f>'AEO 2023 Table 47 Raw'!W6</f>
        <v>9.0225600000000004</v>
      </c>
      <c r="U15" s="28">
        <f>'AEO 2023 Table 47 Raw'!X6</f>
        <v>9.0468820000000001</v>
      </c>
      <c r="V15" s="28">
        <f>'AEO 2023 Table 47 Raw'!Y6</f>
        <v>9.1106800000000003</v>
      </c>
      <c r="W15" s="28">
        <f>'AEO 2023 Table 47 Raw'!Z6</f>
        <v>9.1524070000000002</v>
      </c>
      <c r="X15" s="28">
        <f>'AEO 2023 Table 47 Raw'!AA6</f>
        <v>9.2163819999999994</v>
      </c>
      <c r="Y15" s="28">
        <f>'AEO 2023 Table 47 Raw'!AB6</f>
        <v>9.2366349999999997</v>
      </c>
      <c r="Z15" s="28">
        <f>'AEO 2023 Table 47 Raw'!AC6</f>
        <v>9.2684709999999999</v>
      </c>
      <c r="AA15" s="28">
        <f>'AEO 2023 Table 47 Raw'!AD6</f>
        <v>9.2813680000000005</v>
      </c>
      <c r="AB15" s="28">
        <f>'AEO 2023 Table 47 Raw'!AE6</f>
        <v>9.3098810000000007</v>
      </c>
      <c r="AC15" s="28">
        <f>'AEO 2023 Table 47 Raw'!AF6</f>
        <v>9.3955520000000003</v>
      </c>
      <c r="AD15" s="28">
        <f>'AEO 2023 Table 47 Raw'!AG6</f>
        <v>9.359451</v>
      </c>
      <c r="AE15" s="28">
        <f>'AEO 2023 Table 47 Raw'!AH6</f>
        <v>9.3784320000000001</v>
      </c>
      <c r="AF15" s="32">
        <f>'AEO 2023 Table 47 Raw'!AI6</f>
        <v>-8.9999999999999993E-3</v>
      </c>
    </row>
    <row r="16" spans="1:32" ht="15" customHeight="1">
      <c r="AF16" s="33"/>
    </row>
    <row r="17" spans="1:32" ht="15" customHeight="1">
      <c r="B17" s="15" t="s">
        <v>117</v>
      </c>
      <c r="C17">
        <f>'AEO 2023 Table 47 Raw'!F8</f>
        <v>0.83399999999999996</v>
      </c>
      <c r="D17">
        <f>'AEO 2023 Table 47 Raw'!G8</f>
        <v>0.84161200000000003</v>
      </c>
      <c r="E17">
        <f>'AEO 2023 Table 47 Raw'!H8</f>
        <v>0.84922399999999998</v>
      </c>
      <c r="F17">
        <f>'AEO 2023 Table 47 Raw'!I8</f>
        <v>0.85819500000000004</v>
      </c>
      <c r="G17">
        <f>'AEO 2023 Table 47 Raw'!J8</f>
        <v>0.85914699999999999</v>
      </c>
      <c r="H17">
        <f>'AEO 2023 Table 47 Raw'!K8</f>
        <v>0.85999800000000004</v>
      </c>
      <c r="I17">
        <f>'AEO 2023 Table 47 Raw'!L8</f>
        <v>0.86075900000000005</v>
      </c>
      <c r="J17">
        <f>'AEO 2023 Table 47 Raw'!M8</f>
        <v>0.86144100000000001</v>
      </c>
      <c r="K17">
        <f>'AEO 2023 Table 47 Raw'!N8</f>
        <v>0.86205399999999999</v>
      </c>
      <c r="L17">
        <f>'AEO 2023 Table 47 Raw'!O8</f>
        <v>0.86260499999999996</v>
      </c>
      <c r="M17">
        <f>'AEO 2023 Table 47 Raw'!P8</f>
        <v>0.86310500000000001</v>
      </c>
      <c r="N17">
        <f>'AEO 2023 Table 47 Raw'!Q8</f>
        <v>0.86355800000000005</v>
      </c>
      <c r="O17">
        <f>'AEO 2023 Table 47 Raw'!R8</f>
        <v>0.86397199999999996</v>
      </c>
      <c r="P17">
        <f>'AEO 2023 Table 47 Raw'!S8</f>
        <v>0.86434999999999995</v>
      </c>
      <c r="Q17">
        <f>'AEO 2023 Table 47 Raw'!T8</f>
        <v>0.86469700000000005</v>
      </c>
      <c r="R17">
        <f>'AEO 2023 Table 47 Raw'!U8</f>
        <v>0.86501700000000004</v>
      </c>
      <c r="S17">
        <f>'AEO 2023 Table 47 Raw'!V8</f>
        <v>0.86531199999999997</v>
      </c>
      <c r="T17">
        <f>'AEO 2023 Table 47 Raw'!W8</f>
        <v>0.86558500000000005</v>
      </c>
      <c r="U17">
        <f>'AEO 2023 Table 47 Raw'!X8</f>
        <v>0.86587999999999998</v>
      </c>
      <c r="V17">
        <f>'AEO 2023 Table 47 Raw'!Y8</f>
        <v>0.86617599999999995</v>
      </c>
      <c r="W17">
        <f>'AEO 2023 Table 47 Raw'!Z8</f>
        <v>0.86647099999999999</v>
      </c>
      <c r="X17">
        <f>'AEO 2023 Table 47 Raw'!AA8</f>
        <v>0.86676699999999995</v>
      </c>
      <c r="Y17">
        <f>'AEO 2023 Table 47 Raw'!AB8</f>
        <v>0.867062</v>
      </c>
      <c r="Z17">
        <f>'AEO 2023 Table 47 Raw'!AC8</f>
        <v>0.86735799999999996</v>
      </c>
      <c r="AA17">
        <f>'AEO 2023 Table 47 Raw'!AD8</f>
        <v>0.86765400000000004</v>
      </c>
      <c r="AB17">
        <f>'AEO 2023 Table 47 Raw'!AE8</f>
        <v>0.86795</v>
      </c>
      <c r="AC17">
        <f>'AEO 2023 Table 47 Raw'!AF8</f>
        <v>0.86824599999999996</v>
      </c>
      <c r="AD17">
        <f>'AEO 2023 Table 47 Raw'!AG8</f>
        <v>0.86854200000000004</v>
      </c>
      <c r="AE17">
        <f>'AEO 2023 Table 47 Raw'!AH8</f>
        <v>0.868838</v>
      </c>
      <c r="AF17" s="33">
        <f>'AEO 2023 Table 47 Raw'!AI8</f>
        <v>1E-3</v>
      </c>
    </row>
    <row r="18" spans="1:32" ht="15" customHeight="1">
      <c r="A18" s="7" t="s">
        <v>508</v>
      </c>
      <c r="B18" s="16" t="s">
        <v>509</v>
      </c>
      <c r="C18" s="18">
        <f>'AEO 2023 Table 47 Raw'!F9</f>
        <v>0.75600000000000001</v>
      </c>
      <c r="D18" s="18">
        <f>'AEO 2023 Table 47 Raw'!G9</f>
        <v>0.77562600000000004</v>
      </c>
      <c r="E18" s="18">
        <f>'AEO 2023 Table 47 Raw'!H9</f>
        <v>0.79525100000000004</v>
      </c>
      <c r="F18" s="18">
        <f>'AEO 2023 Table 47 Raw'!I9</f>
        <v>0.81487699999999996</v>
      </c>
      <c r="G18" s="18">
        <f>'AEO 2023 Table 47 Raw'!J9</f>
        <v>0.81492500000000001</v>
      </c>
      <c r="H18" s="18">
        <f>'AEO 2023 Table 47 Raw'!K9</f>
        <v>0.81497399999999998</v>
      </c>
      <c r="I18" s="18">
        <f>'AEO 2023 Table 47 Raw'!L9</f>
        <v>0.81501900000000005</v>
      </c>
      <c r="J18" s="18">
        <f>'AEO 2023 Table 47 Raw'!M9</f>
        <v>0.81506400000000001</v>
      </c>
      <c r="K18" s="18">
        <f>'AEO 2023 Table 47 Raw'!N9</f>
        <v>0.81510800000000005</v>
      </c>
      <c r="L18" s="18">
        <f>'AEO 2023 Table 47 Raw'!O9</f>
        <v>0.81515000000000004</v>
      </c>
      <c r="M18" s="18">
        <f>'AEO 2023 Table 47 Raw'!P9</f>
        <v>0.81519399999999997</v>
      </c>
      <c r="N18" s="18">
        <f>'AEO 2023 Table 47 Raw'!Q9</f>
        <v>0.81523599999999996</v>
      </c>
      <c r="O18" s="18">
        <f>'AEO 2023 Table 47 Raw'!R9</f>
        <v>0.81527899999999998</v>
      </c>
      <c r="P18" s="18">
        <f>'AEO 2023 Table 47 Raw'!S9</f>
        <v>0.81532099999999996</v>
      </c>
      <c r="Q18" s="18">
        <f>'AEO 2023 Table 47 Raw'!T9</f>
        <v>0.81536399999999998</v>
      </c>
      <c r="R18" s="18">
        <f>'AEO 2023 Table 47 Raw'!U9</f>
        <v>0.81540500000000005</v>
      </c>
      <c r="S18" s="18">
        <f>'AEO 2023 Table 47 Raw'!V9</f>
        <v>0.81544499999999998</v>
      </c>
      <c r="T18" s="18">
        <f>'AEO 2023 Table 47 Raw'!W9</f>
        <v>0.81548399999999999</v>
      </c>
      <c r="U18" s="18">
        <f>'AEO 2023 Table 47 Raw'!X9</f>
        <v>0.81552400000000003</v>
      </c>
      <c r="V18" s="18">
        <f>'AEO 2023 Table 47 Raw'!Y9</f>
        <v>0.81556399999999996</v>
      </c>
      <c r="W18" s="18">
        <f>'AEO 2023 Table 47 Raw'!Z9</f>
        <v>0.815604</v>
      </c>
      <c r="X18" s="18">
        <f>'AEO 2023 Table 47 Raw'!AA9</f>
        <v>0.81564499999999995</v>
      </c>
      <c r="Y18" s="18">
        <f>'AEO 2023 Table 47 Raw'!AB9</f>
        <v>0.81568499999999999</v>
      </c>
      <c r="Z18" s="18">
        <f>'AEO 2023 Table 47 Raw'!AC9</f>
        <v>0.81572500000000003</v>
      </c>
      <c r="AA18" s="18">
        <f>'AEO 2023 Table 47 Raw'!AD9</f>
        <v>0.81576499999999996</v>
      </c>
      <c r="AB18" s="18">
        <f>'AEO 2023 Table 47 Raw'!AE9</f>
        <v>0.815805</v>
      </c>
      <c r="AC18" s="18">
        <f>'AEO 2023 Table 47 Raw'!AF9</f>
        <v>0.81584500000000004</v>
      </c>
      <c r="AD18" s="18">
        <f>'AEO 2023 Table 47 Raw'!AG9</f>
        <v>0.81588499999999997</v>
      </c>
      <c r="AE18" s="18">
        <f>'AEO 2023 Table 47 Raw'!AH9</f>
        <v>0.81592600000000004</v>
      </c>
      <c r="AF18" s="30">
        <f>'AEO 2023 Table 47 Raw'!AI9</f>
        <v>3.0000000000000001E-3</v>
      </c>
    </row>
    <row r="19" spans="1:32" ht="15" customHeight="1">
      <c r="A19" s="7" t="s">
        <v>510</v>
      </c>
      <c r="B19" s="16" t="s">
        <v>511</v>
      </c>
      <c r="C19" s="18">
        <f>'AEO 2023 Table 47 Raw'!F10</f>
        <v>0</v>
      </c>
      <c r="D19" s="18">
        <f>'AEO 2023 Table 47 Raw'!G10</f>
        <v>0</v>
      </c>
      <c r="E19" s="18">
        <f>'AEO 2023 Table 47 Raw'!H10</f>
        <v>0</v>
      </c>
      <c r="F19" s="18">
        <f>'AEO 2023 Table 47 Raw'!I10</f>
        <v>0</v>
      </c>
      <c r="G19" s="18">
        <f>'AEO 2023 Table 47 Raw'!J10</f>
        <v>0</v>
      </c>
      <c r="H19" s="18">
        <f>'AEO 2023 Table 47 Raw'!K10</f>
        <v>0</v>
      </c>
      <c r="I19" s="18">
        <f>'AEO 2023 Table 47 Raw'!L10</f>
        <v>0</v>
      </c>
      <c r="J19" s="18">
        <f>'AEO 2023 Table 47 Raw'!M10</f>
        <v>0</v>
      </c>
      <c r="K19" s="18">
        <f>'AEO 2023 Table 47 Raw'!N10</f>
        <v>0</v>
      </c>
      <c r="L19" s="18">
        <f>'AEO 2023 Table 47 Raw'!O10</f>
        <v>0</v>
      </c>
      <c r="M19" s="18">
        <f>'AEO 2023 Table 47 Raw'!P10</f>
        <v>0</v>
      </c>
      <c r="N19" s="18">
        <f>'AEO 2023 Table 47 Raw'!Q10</f>
        <v>0</v>
      </c>
      <c r="O19" s="18">
        <f>'AEO 2023 Table 47 Raw'!R10</f>
        <v>0</v>
      </c>
      <c r="P19" s="18">
        <f>'AEO 2023 Table 47 Raw'!S10</f>
        <v>0</v>
      </c>
      <c r="Q19" s="18">
        <f>'AEO 2023 Table 47 Raw'!T10</f>
        <v>0</v>
      </c>
      <c r="R19" s="18">
        <f>'AEO 2023 Table 47 Raw'!U10</f>
        <v>0</v>
      </c>
      <c r="S19" s="18">
        <f>'AEO 2023 Table 47 Raw'!V10</f>
        <v>0</v>
      </c>
      <c r="T19" s="18">
        <f>'AEO 2023 Table 47 Raw'!W10</f>
        <v>0</v>
      </c>
      <c r="U19" s="18">
        <f>'AEO 2023 Table 47 Raw'!X10</f>
        <v>0</v>
      </c>
      <c r="V19" s="18">
        <f>'AEO 2023 Table 47 Raw'!Y10</f>
        <v>0</v>
      </c>
      <c r="W19" s="18">
        <f>'AEO 2023 Table 47 Raw'!Z10</f>
        <v>0</v>
      </c>
      <c r="X19" s="18">
        <f>'AEO 2023 Table 47 Raw'!AA10</f>
        <v>0</v>
      </c>
      <c r="Y19" s="18">
        <f>'AEO 2023 Table 47 Raw'!AB10</f>
        <v>0</v>
      </c>
      <c r="Z19" s="18">
        <f>'AEO 2023 Table 47 Raw'!AC10</f>
        <v>0</v>
      </c>
      <c r="AA19" s="18">
        <f>'AEO 2023 Table 47 Raw'!AD10</f>
        <v>0</v>
      </c>
      <c r="AB19" s="18">
        <f>'AEO 2023 Table 47 Raw'!AE10</f>
        <v>0</v>
      </c>
      <c r="AC19" s="18">
        <f>'AEO 2023 Table 47 Raw'!AF10</f>
        <v>0</v>
      </c>
      <c r="AD19" s="18">
        <f>'AEO 2023 Table 47 Raw'!AG10</f>
        <v>0</v>
      </c>
      <c r="AE19" s="18">
        <f>'AEO 2023 Table 47 Raw'!AH10</f>
        <v>0</v>
      </c>
      <c r="AF19" s="30">
        <f>'AEO 2023 Table 47 Raw'!AI10</f>
        <v>0</v>
      </c>
    </row>
    <row r="20" spans="1:32" ht="15" customHeight="1">
      <c r="A20" s="7" t="s">
        <v>512</v>
      </c>
      <c r="B20" s="16" t="s">
        <v>513</v>
      </c>
      <c r="C20" s="18">
        <f>'AEO 2023 Table 47 Raw'!F11</f>
        <v>0</v>
      </c>
      <c r="D20" s="18">
        <f>'AEO 2023 Table 47 Raw'!G11</f>
        <v>0</v>
      </c>
      <c r="E20" s="18">
        <f>'AEO 2023 Table 47 Raw'!H11</f>
        <v>0</v>
      </c>
      <c r="F20" s="18">
        <f>'AEO 2023 Table 47 Raw'!I11</f>
        <v>0</v>
      </c>
      <c r="G20" s="18">
        <f>'AEO 2023 Table 47 Raw'!J11</f>
        <v>0</v>
      </c>
      <c r="H20" s="18">
        <f>'AEO 2023 Table 47 Raw'!K11</f>
        <v>0</v>
      </c>
      <c r="I20" s="18">
        <f>'AEO 2023 Table 47 Raw'!L11</f>
        <v>0</v>
      </c>
      <c r="J20" s="18">
        <f>'AEO 2023 Table 47 Raw'!M11</f>
        <v>0</v>
      </c>
      <c r="K20" s="18">
        <f>'AEO 2023 Table 47 Raw'!N11</f>
        <v>0</v>
      </c>
      <c r="L20" s="18">
        <f>'AEO 2023 Table 47 Raw'!O11</f>
        <v>0</v>
      </c>
      <c r="M20" s="18">
        <f>'AEO 2023 Table 47 Raw'!P11</f>
        <v>0</v>
      </c>
      <c r="N20" s="18">
        <f>'AEO 2023 Table 47 Raw'!Q11</f>
        <v>0</v>
      </c>
      <c r="O20" s="18">
        <f>'AEO 2023 Table 47 Raw'!R11</f>
        <v>0</v>
      </c>
      <c r="P20" s="18">
        <f>'AEO 2023 Table 47 Raw'!S11</f>
        <v>0</v>
      </c>
      <c r="Q20" s="18">
        <f>'AEO 2023 Table 47 Raw'!T11</f>
        <v>0</v>
      </c>
      <c r="R20" s="18">
        <f>'AEO 2023 Table 47 Raw'!U11</f>
        <v>0</v>
      </c>
      <c r="S20" s="18">
        <f>'AEO 2023 Table 47 Raw'!V11</f>
        <v>0</v>
      </c>
      <c r="T20" s="18">
        <f>'AEO 2023 Table 47 Raw'!W11</f>
        <v>0</v>
      </c>
      <c r="U20" s="18">
        <f>'AEO 2023 Table 47 Raw'!X11</f>
        <v>0</v>
      </c>
      <c r="V20" s="18">
        <f>'AEO 2023 Table 47 Raw'!Y11</f>
        <v>0</v>
      </c>
      <c r="W20" s="18">
        <f>'AEO 2023 Table 47 Raw'!Z11</f>
        <v>0</v>
      </c>
      <c r="X20" s="18">
        <f>'AEO 2023 Table 47 Raw'!AA11</f>
        <v>0</v>
      </c>
      <c r="Y20" s="18">
        <f>'AEO 2023 Table 47 Raw'!AB11</f>
        <v>0</v>
      </c>
      <c r="Z20" s="18">
        <f>'AEO 2023 Table 47 Raw'!AC11</f>
        <v>0</v>
      </c>
      <c r="AA20" s="18">
        <f>'AEO 2023 Table 47 Raw'!AD11</f>
        <v>0</v>
      </c>
      <c r="AB20" s="18">
        <f>'AEO 2023 Table 47 Raw'!AE11</f>
        <v>0</v>
      </c>
      <c r="AC20" s="18">
        <f>'AEO 2023 Table 47 Raw'!AF11</f>
        <v>0</v>
      </c>
      <c r="AD20" s="18">
        <f>'AEO 2023 Table 47 Raw'!AG11</f>
        <v>0</v>
      </c>
      <c r="AE20" s="18">
        <f>'AEO 2023 Table 47 Raw'!AH11</f>
        <v>0</v>
      </c>
      <c r="AF20" s="30">
        <f>'AEO 2023 Table 47 Raw'!AI11</f>
        <v>0</v>
      </c>
    </row>
    <row r="21" spans="1:32" ht="15" customHeight="1">
      <c r="AF21" s="33"/>
    </row>
    <row r="22" spans="1:32" ht="15" customHeight="1">
      <c r="B22" s="15" t="s">
        <v>116</v>
      </c>
      <c r="AF22" s="33"/>
    </row>
    <row r="23" spans="1:32" ht="15" customHeight="1">
      <c r="A23" s="7" t="s">
        <v>514</v>
      </c>
      <c r="B23" s="16" t="s">
        <v>515</v>
      </c>
      <c r="C23" s="19">
        <f>'AEO 2023 Table 47 Raw'!F12</f>
        <v>333.07171599999998</v>
      </c>
      <c r="D23" s="19">
        <f>'AEO 2023 Table 47 Raw'!G12</f>
        <v>334.15060399999999</v>
      </c>
      <c r="E23" s="19">
        <f>'AEO 2023 Table 47 Raw'!H12</f>
        <v>335.301514</v>
      </c>
      <c r="F23" s="19">
        <f>'AEO 2023 Table 47 Raw'!I12</f>
        <v>336.492188</v>
      </c>
      <c r="G23" s="19">
        <f>'AEO 2023 Table 47 Raw'!J12</f>
        <v>337.68255599999998</v>
      </c>
      <c r="H23" s="19">
        <f>'AEO 2023 Table 47 Raw'!K12</f>
        <v>338.87805200000003</v>
      </c>
      <c r="I23" s="19">
        <f>'AEO 2023 Table 47 Raw'!L12</f>
        <v>340.07302900000002</v>
      </c>
      <c r="J23" s="19">
        <f>'AEO 2023 Table 47 Raw'!M12</f>
        <v>341.25787400000002</v>
      </c>
      <c r="K23" s="19">
        <f>'AEO 2023 Table 47 Raw'!N12</f>
        <v>342.43310500000001</v>
      </c>
      <c r="L23" s="19">
        <f>'AEO 2023 Table 47 Raw'!O12</f>
        <v>343.56900000000002</v>
      </c>
      <c r="M23" s="19">
        <f>'AEO 2023 Table 47 Raw'!P12</f>
        <v>344.657715</v>
      </c>
      <c r="N23" s="19">
        <f>'AEO 2023 Table 47 Raw'!Q12</f>
        <v>345.69821200000001</v>
      </c>
      <c r="O23" s="19">
        <f>'AEO 2023 Table 47 Raw'!R12</f>
        <v>346.68133499999999</v>
      </c>
      <c r="P23" s="19">
        <f>'AEO 2023 Table 47 Raw'!S12</f>
        <v>347.60263099999997</v>
      </c>
      <c r="Q23" s="19">
        <f>'AEO 2023 Table 47 Raw'!T12</f>
        <v>348.45822099999998</v>
      </c>
      <c r="R23" s="19">
        <f>'AEO 2023 Table 47 Raw'!U12</f>
        <v>349.248199</v>
      </c>
      <c r="S23" s="19">
        <f>'AEO 2023 Table 47 Raw'!V12</f>
        <v>349.97842400000002</v>
      </c>
      <c r="T23" s="19">
        <f>'AEO 2023 Table 47 Raw'!W12</f>
        <v>350.65200800000002</v>
      </c>
      <c r="U23" s="19">
        <f>'AEO 2023 Table 47 Raw'!X12</f>
        <v>351.27362099999999</v>
      </c>
      <c r="V23" s="19">
        <f>'AEO 2023 Table 47 Raw'!Y12</f>
        <v>351.850616</v>
      </c>
      <c r="W23" s="19">
        <f>'AEO 2023 Table 47 Raw'!Z12</f>
        <v>352.390625</v>
      </c>
      <c r="X23" s="19">
        <f>'AEO 2023 Table 47 Raw'!AA12</f>
        <v>352.89798000000002</v>
      </c>
      <c r="Y23" s="19">
        <f>'AEO 2023 Table 47 Raw'!AB12</f>
        <v>353.37573200000003</v>
      </c>
      <c r="Z23" s="19">
        <f>'AEO 2023 Table 47 Raw'!AC12</f>
        <v>353.82507299999997</v>
      </c>
      <c r="AA23" s="19">
        <f>'AEO 2023 Table 47 Raw'!AD12</f>
        <v>354.24816900000002</v>
      </c>
      <c r="AB23" s="19">
        <f>'AEO 2023 Table 47 Raw'!AE12</f>
        <v>354.651794</v>
      </c>
      <c r="AC23" s="19">
        <f>'AEO 2023 Table 47 Raw'!AF12</f>
        <v>355.03872699999999</v>
      </c>
      <c r="AD23" s="19">
        <f>'AEO 2023 Table 47 Raw'!AG12</f>
        <v>355.40960699999999</v>
      </c>
      <c r="AE23" s="19">
        <f>'AEO 2023 Table 47 Raw'!AH12</f>
        <v>355.767944</v>
      </c>
      <c r="AF23" s="30">
        <f>'AEO 2023 Table 47 Raw'!AI12</f>
        <v>2E-3</v>
      </c>
    </row>
    <row r="24" spans="1:32" ht="15" customHeight="1">
      <c r="A24" s="7" t="s">
        <v>516</v>
      </c>
      <c r="B24" s="16" t="s">
        <v>517</v>
      </c>
      <c r="C24" s="19">
        <f>'AEO 2023 Table 47 Raw'!F13</f>
        <v>38.694321000000002</v>
      </c>
      <c r="D24" s="19">
        <f>'AEO 2023 Table 47 Raw'!G13</f>
        <v>39.102600000000002</v>
      </c>
      <c r="E24" s="19">
        <f>'AEO 2023 Table 47 Raw'!H13</f>
        <v>39.509079</v>
      </c>
      <c r="F24" s="19">
        <f>'AEO 2023 Table 47 Raw'!I13</f>
        <v>39.913521000000003</v>
      </c>
      <c r="G24" s="19">
        <f>'AEO 2023 Table 47 Raw'!J13</f>
        <v>40.315201000000002</v>
      </c>
      <c r="H24" s="19">
        <f>'AEO 2023 Table 47 Raw'!K13</f>
        <v>40.713901999999997</v>
      </c>
      <c r="I24" s="19">
        <f>'AEO 2023 Table 47 Raw'!L13</f>
        <v>41.109200000000001</v>
      </c>
      <c r="J24" s="19">
        <f>'AEO 2023 Table 47 Raw'!M13</f>
        <v>41.500670999999997</v>
      </c>
      <c r="K24" s="19">
        <f>'AEO 2023 Table 47 Raw'!N13</f>
        <v>41.888100000000001</v>
      </c>
      <c r="L24" s="19">
        <f>'AEO 2023 Table 47 Raw'!O13</f>
        <v>42.271000000000001</v>
      </c>
      <c r="M24" s="19">
        <f>'AEO 2023 Table 47 Raw'!P13</f>
        <v>42.649299999999997</v>
      </c>
      <c r="N24" s="19">
        <f>'AEO 2023 Table 47 Raw'!Q13</f>
        <v>43.022799999999997</v>
      </c>
      <c r="O24" s="19">
        <f>'AEO 2023 Table 47 Raw'!R13</f>
        <v>43.391499000000003</v>
      </c>
      <c r="P24" s="19">
        <f>'AEO 2023 Table 47 Raw'!S13</f>
        <v>43.755501000000002</v>
      </c>
      <c r="Q24" s="19">
        <f>'AEO 2023 Table 47 Raw'!T13</f>
        <v>44.114730999999999</v>
      </c>
      <c r="R24" s="19">
        <f>'AEO 2023 Table 47 Raw'!U13</f>
        <v>44.469397999999998</v>
      </c>
      <c r="S24" s="19">
        <f>'AEO 2023 Table 47 Raw'!V13</f>
        <v>44.819481000000003</v>
      </c>
      <c r="T24" s="19">
        <f>'AEO 2023 Table 47 Raw'!W13</f>
        <v>45.165298</v>
      </c>
      <c r="U24" s="19">
        <f>'AEO 2023 Table 47 Raw'!X13</f>
        <v>45.506802</v>
      </c>
      <c r="V24" s="19">
        <f>'AEO 2023 Table 47 Raw'!Y13</f>
        <v>45.843879999999999</v>
      </c>
      <c r="W24" s="19">
        <f>'AEO 2023 Table 47 Raw'!Z13</f>
        <v>46.176898999999999</v>
      </c>
      <c r="X24" s="19">
        <f>'AEO 2023 Table 47 Raw'!AA13</f>
        <v>46.505600000000001</v>
      </c>
      <c r="Y24" s="19">
        <f>'AEO 2023 Table 47 Raw'!AB13</f>
        <v>46.831772000000001</v>
      </c>
      <c r="Z24" s="19">
        <f>'AEO 2023 Table 47 Raw'!AC13</f>
        <v>47.156199999999998</v>
      </c>
      <c r="AA24" s="19">
        <f>'AEO 2023 Table 47 Raw'!AD13</f>
        <v>47.479069000000003</v>
      </c>
      <c r="AB24" s="19">
        <f>'AEO 2023 Table 47 Raw'!AE13</f>
        <v>47.800800000000002</v>
      </c>
      <c r="AC24" s="19">
        <f>'AEO 2023 Table 47 Raw'!AF13</f>
        <v>48.121670000000002</v>
      </c>
      <c r="AD24" s="19">
        <f>'AEO 2023 Table 47 Raw'!AG13</f>
        <v>48.442321999999997</v>
      </c>
      <c r="AE24" s="19">
        <f>'AEO 2023 Table 47 Raw'!AH13</f>
        <v>48.763081</v>
      </c>
      <c r="AF24" s="30">
        <f>'AEO 2023 Table 47 Raw'!AI13</f>
        <v>8.0000000000000002E-3</v>
      </c>
    </row>
    <row r="25" spans="1:32" ht="15" customHeight="1">
      <c r="AF25" s="33"/>
    </row>
    <row r="26" spans="1:32" ht="15" customHeight="1">
      <c r="B26" s="15" t="s">
        <v>115</v>
      </c>
      <c r="AF26" s="33"/>
    </row>
    <row r="27" spans="1:32" ht="15" customHeight="1">
      <c r="B27" s="15" t="s">
        <v>518</v>
      </c>
      <c r="AF27" s="33"/>
    </row>
    <row r="28" spans="1:32" ht="15" customHeight="1">
      <c r="A28" s="7" t="s">
        <v>519</v>
      </c>
      <c r="B28" s="16" t="s">
        <v>520</v>
      </c>
      <c r="C28" s="17">
        <f>'AEO 2023 Table 47 Raw'!F16</f>
        <v>125.59050000000001</v>
      </c>
      <c r="D28" s="17">
        <f>'AEO 2023 Table 47 Raw'!G16</f>
        <v>125.10549899999999</v>
      </c>
      <c r="E28" s="17">
        <f>'AEO 2023 Table 47 Raw'!H16</f>
        <v>124.587502</v>
      </c>
      <c r="F28" s="17">
        <f>'AEO 2023 Table 47 Raw'!I16</f>
        <v>124.038498</v>
      </c>
      <c r="G28" s="17">
        <f>'AEO 2023 Table 47 Raw'!J16</f>
        <v>123.461304</v>
      </c>
      <c r="H28" s="17">
        <f>'AEO 2023 Table 47 Raw'!K16</f>
        <v>122.858299</v>
      </c>
      <c r="I28" s="17">
        <f>'AEO 2023 Table 47 Raw'!L16</f>
        <v>122.231796</v>
      </c>
      <c r="J28" s="17">
        <f>'AEO 2023 Table 47 Raw'!M16</f>
        <v>121.584999</v>
      </c>
      <c r="K28" s="17">
        <f>'AEO 2023 Table 47 Raw'!N16</f>
        <v>120.91950199999999</v>
      </c>
      <c r="L28" s="17">
        <f>'AEO 2023 Table 47 Raw'!O16</f>
        <v>120.237801</v>
      </c>
      <c r="M28" s="17">
        <f>'AEO 2023 Table 47 Raw'!P16</f>
        <v>119.54180100000001</v>
      </c>
      <c r="N28" s="17">
        <f>'AEO 2023 Table 47 Raw'!Q16</f>
        <v>118.832497</v>
      </c>
      <c r="O28" s="17">
        <f>'AEO 2023 Table 47 Raw'!R16</f>
        <v>118.113297</v>
      </c>
      <c r="P28" s="17">
        <f>'AEO 2023 Table 47 Raw'!S16</f>
        <v>117.385002</v>
      </c>
      <c r="Q28" s="17">
        <f>'AEO 2023 Table 47 Raw'!T16</f>
        <v>116.648499</v>
      </c>
      <c r="R28" s="17">
        <f>'AEO 2023 Table 47 Raw'!U16</f>
        <v>115.9058</v>
      </c>
      <c r="S28" s="17">
        <f>'AEO 2023 Table 47 Raw'!V16</f>
        <v>115.157799</v>
      </c>
      <c r="T28" s="17">
        <f>'AEO 2023 Table 47 Raw'!W16</f>
        <v>114.4058</v>
      </c>
      <c r="U28" s="17">
        <f>'AEO 2023 Table 47 Raw'!X16</f>
        <v>113.650497</v>
      </c>
      <c r="V28" s="17">
        <f>'AEO 2023 Table 47 Raw'!Y16</f>
        <v>112.893997</v>
      </c>
      <c r="W28" s="17">
        <f>'AEO 2023 Table 47 Raw'!Z16</f>
        <v>112.136803</v>
      </c>
      <c r="X28" s="17">
        <f>'AEO 2023 Table 47 Raw'!AA16</f>
        <v>111.37979900000001</v>
      </c>
      <c r="Y28" s="17">
        <f>'AEO 2023 Table 47 Raw'!AB16</f>
        <v>110.624802</v>
      </c>
      <c r="Z28" s="17">
        <f>'AEO 2023 Table 47 Raw'!AC16</f>
        <v>109.871002</v>
      </c>
      <c r="AA28" s="17">
        <f>'AEO 2023 Table 47 Raw'!AD16</f>
        <v>109.120003</v>
      </c>
      <c r="AB28" s="17">
        <f>'AEO 2023 Table 47 Raw'!AE16</f>
        <v>108.371803</v>
      </c>
      <c r="AC28" s="17">
        <f>'AEO 2023 Table 47 Raw'!AF16</f>
        <v>107.62599899999999</v>
      </c>
      <c r="AD28" s="17">
        <f>'AEO 2023 Table 47 Raw'!AG16</f>
        <v>106.882301</v>
      </c>
      <c r="AE28" s="17">
        <f>'AEO 2023 Table 47 Raw'!AH16</f>
        <v>106.140297</v>
      </c>
      <c r="AF28" s="30">
        <f>'AEO 2023 Table 47 Raw'!AI16</f>
        <v>-6.0000000000000001E-3</v>
      </c>
    </row>
    <row r="29" spans="1:32" ht="15" customHeight="1">
      <c r="A29" s="7" t="s">
        <v>521</v>
      </c>
      <c r="B29" s="16" t="s">
        <v>522</v>
      </c>
      <c r="C29" s="17">
        <f>'AEO 2023 Table 47 Raw'!F17</f>
        <v>31.123239999999999</v>
      </c>
      <c r="D29" s="17">
        <f>'AEO 2023 Table 47 Raw'!G17</f>
        <v>31.552336</v>
      </c>
      <c r="E29" s="17">
        <f>'AEO 2023 Table 47 Raw'!H17</f>
        <v>31.987663000000001</v>
      </c>
      <c r="F29" s="17">
        <f>'AEO 2023 Table 47 Raw'!I17</f>
        <v>32.409657000000003</v>
      </c>
      <c r="G29" s="17">
        <f>'AEO 2023 Table 47 Raw'!J17</f>
        <v>32.829383999999997</v>
      </c>
      <c r="H29" s="17">
        <f>'AEO 2023 Table 47 Raw'!K17</f>
        <v>33.245941000000002</v>
      </c>
      <c r="I29" s="17">
        <f>'AEO 2023 Table 47 Raw'!L17</f>
        <v>33.658962000000002</v>
      </c>
      <c r="J29" s="17">
        <f>'AEO 2023 Table 47 Raw'!M17</f>
        <v>34.068351999999997</v>
      </c>
      <c r="K29" s="17">
        <f>'AEO 2023 Table 47 Raw'!N17</f>
        <v>34.474316000000002</v>
      </c>
      <c r="L29" s="17">
        <f>'AEO 2023 Table 47 Raw'!O17</f>
        <v>34.877040999999998</v>
      </c>
      <c r="M29" s="17">
        <f>'AEO 2023 Table 47 Raw'!P17</f>
        <v>35.276363000000003</v>
      </c>
      <c r="N29" s="17">
        <f>'AEO 2023 Table 47 Raw'!Q17</f>
        <v>35.672787</v>
      </c>
      <c r="O29" s="17">
        <f>'AEO 2023 Table 47 Raw'!R17</f>
        <v>36.066764999999997</v>
      </c>
      <c r="P29" s="17">
        <f>'AEO 2023 Table 47 Raw'!S17</f>
        <v>36.458548999999998</v>
      </c>
      <c r="Q29" s="17">
        <f>'AEO 2023 Table 47 Raw'!T17</f>
        <v>36.848582999999998</v>
      </c>
      <c r="R29" s="17">
        <f>'AEO 2023 Table 47 Raw'!U17</f>
        <v>37.237124999999999</v>
      </c>
      <c r="S29" s="17">
        <f>'AEO 2023 Table 47 Raw'!V17</f>
        <v>37.624454</v>
      </c>
      <c r="T29" s="17">
        <f>'AEO 2023 Table 47 Raw'!W17</f>
        <v>38.010421999999998</v>
      </c>
      <c r="U29" s="17">
        <f>'AEO 2023 Table 47 Raw'!X17</f>
        <v>38.394981000000001</v>
      </c>
      <c r="V29" s="17">
        <f>'AEO 2023 Table 47 Raw'!Y17</f>
        <v>38.777881999999998</v>
      </c>
      <c r="W29" s="17">
        <f>'AEO 2023 Table 47 Raw'!Z17</f>
        <v>39.158962000000002</v>
      </c>
      <c r="X29" s="17">
        <f>'AEO 2023 Table 47 Raw'!AA17</f>
        <v>39.537841999999998</v>
      </c>
      <c r="Y29" s="17">
        <f>'AEO 2023 Table 47 Raw'!AB17</f>
        <v>39.914402000000003</v>
      </c>
      <c r="Z29" s="17">
        <f>'AEO 2023 Table 47 Raw'!AC17</f>
        <v>40.288212000000001</v>
      </c>
      <c r="AA29" s="17">
        <f>'AEO 2023 Table 47 Raw'!AD17</f>
        <v>40.659004000000003</v>
      </c>
      <c r="AB29" s="17">
        <f>'AEO 2023 Table 47 Raw'!AE17</f>
        <v>41.026546000000003</v>
      </c>
      <c r="AC29" s="17">
        <f>'AEO 2023 Table 47 Raw'!AF17</f>
        <v>41.390678000000001</v>
      </c>
      <c r="AD29" s="17">
        <f>'AEO 2023 Table 47 Raw'!AG17</f>
        <v>41.751362</v>
      </c>
      <c r="AE29" s="17">
        <f>'AEO 2023 Table 47 Raw'!AH17</f>
        <v>42.10857</v>
      </c>
      <c r="AF29" s="30">
        <f>'AEO 2023 Table 47 Raw'!AI17</f>
        <v>1.0999999999999999E-2</v>
      </c>
    </row>
    <row r="30" spans="1:32" ht="15" customHeight="1">
      <c r="A30" s="7" t="s">
        <v>523</v>
      </c>
      <c r="B30" s="16" t="s">
        <v>524</v>
      </c>
      <c r="C30" s="17">
        <f>'AEO 2023 Table 47 Raw'!F18</f>
        <v>51.338450999999999</v>
      </c>
      <c r="D30" s="17">
        <f>'AEO 2023 Table 47 Raw'!G18</f>
        <v>51.348171000000001</v>
      </c>
      <c r="E30" s="17">
        <f>'AEO 2023 Table 47 Raw'!H18</f>
        <v>51.347050000000003</v>
      </c>
      <c r="F30" s="17">
        <f>'AEO 2023 Table 47 Raw'!I18</f>
        <v>51.337631000000002</v>
      </c>
      <c r="G30" s="17">
        <f>'AEO 2023 Table 47 Raw'!J18</f>
        <v>51.319881000000002</v>
      </c>
      <c r="H30" s="17">
        <f>'AEO 2023 Table 47 Raw'!K18</f>
        <v>51.29213</v>
      </c>
      <c r="I30" s="17">
        <f>'AEO 2023 Table 47 Raw'!L18</f>
        <v>51.253830000000001</v>
      </c>
      <c r="J30" s="17">
        <f>'AEO 2023 Table 47 Raw'!M18</f>
        <v>51.20438</v>
      </c>
      <c r="K30" s="17">
        <f>'AEO 2023 Table 47 Raw'!N18</f>
        <v>51.143799000000001</v>
      </c>
      <c r="L30" s="17">
        <f>'AEO 2023 Table 47 Raw'!O18</f>
        <v>51.07423</v>
      </c>
      <c r="M30" s="17">
        <f>'AEO 2023 Table 47 Raw'!P18</f>
        <v>50.995398999999999</v>
      </c>
      <c r="N30" s="17">
        <f>'AEO 2023 Table 47 Raw'!Q18</f>
        <v>50.903751</v>
      </c>
      <c r="O30" s="17">
        <f>'AEO 2023 Table 47 Raw'!R18</f>
        <v>50.795448</v>
      </c>
      <c r="P30" s="17">
        <f>'AEO 2023 Table 47 Raw'!S18</f>
        <v>50.667171000000003</v>
      </c>
      <c r="Q30" s="17">
        <f>'AEO 2023 Table 47 Raw'!T18</f>
        <v>50.518929</v>
      </c>
      <c r="R30" s="17">
        <f>'AEO 2023 Table 47 Raw'!U18</f>
        <v>50.352901000000003</v>
      </c>
      <c r="S30" s="17">
        <f>'AEO 2023 Table 47 Raw'!V18</f>
        <v>50.169829999999997</v>
      </c>
      <c r="T30" s="17">
        <f>'AEO 2023 Table 47 Raw'!W18</f>
        <v>49.970500999999999</v>
      </c>
      <c r="U30" s="17">
        <f>'AEO 2023 Table 47 Raw'!X18</f>
        <v>49.755482000000001</v>
      </c>
      <c r="V30" s="17">
        <f>'AEO 2023 Table 47 Raw'!Y18</f>
        <v>49.523800000000001</v>
      </c>
      <c r="W30" s="17">
        <f>'AEO 2023 Table 47 Raw'!Z18</f>
        <v>49.275317999999999</v>
      </c>
      <c r="X30" s="17">
        <f>'AEO 2023 Table 47 Raw'!AA18</f>
        <v>49.011378999999998</v>
      </c>
      <c r="Y30" s="17">
        <f>'AEO 2023 Table 47 Raw'!AB18</f>
        <v>48.733330000000002</v>
      </c>
      <c r="Z30" s="17">
        <f>'AEO 2023 Table 47 Raw'!AC18</f>
        <v>48.442248999999997</v>
      </c>
      <c r="AA30" s="17">
        <f>'AEO 2023 Table 47 Raw'!AD18</f>
        <v>48.137829000000004</v>
      </c>
      <c r="AB30" s="17">
        <f>'AEO 2023 Table 47 Raw'!AE18</f>
        <v>47.819248000000002</v>
      </c>
      <c r="AC30" s="17">
        <f>'AEO 2023 Table 47 Raw'!AF18</f>
        <v>47.487099000000001</v>
      </c>
      <c r="AD30" s="17">
        <f>'AEO 2023 Table 47 Raw'!AG18</f>
        <v>47.141972000000003</v>
      </c>
      <c r="AE30" s="17">
        <f>'AEO 2023 Table 47 Raw'!AH18</f>
        <v>46.783932</v>
      </c>
      <c r="AF30" s="30">
        <f>'AEO 2023 Table 47 Raw'!AI18</f>
        <v>-3.0000000000000001E-3</v>
      </c>
    </row>
    <row r="31" spans="1:32" ht="15" customHeight="1">
      <c r="A31" s="7" t="s">
        <v>525</v>
      </c>
      <c r="B31" s="16" t="s">
        <v>526</v>
      </c>
      <c r="C31" s="17">
        <f>'AEO 2023 Table 47 Raw'!F19</f>
        <v>145.765793</v>
      </c>
      <c r="D31" s="17">
        <f>'AEO 2023 Table 47 Raw'!G19</f>
        <v>145.581299</v>
      </c>
      <c r="E31" s="17">
        <f>'AEO 2023 Table 47 Raw'!H19</f>
        <v>145.35380599999999</v>
      </c>
      <c r="F31" s="17">
        <f>'AEO 2023 Table 47 Raw'!I19</f>
        <v>145.098007</v>
      </c>
      <c r="G31" s="17">
        <f>'AEO 2023 Table 47 Raw'!J19</f>
        <v>144.80479399999999</v>
      </c>
      <c r="H31" s="17">
        <f>'AEO 2023 Table 47 Raw'!K19</f>
        <v>144.464493</v>
      </c>
      <c r="I31" s="17">
        <f>'AEO 2023 Table 47 Raw'!L19</f>
        <v>144.09150700000001</v>
      </c>
      <c r="J31" s="17">
        <f>'AEO 2023 Table 47 Raw'!M19</f>
        <v>143.69850199999999</v>
      </c>
      <c r="K31" s="17">
        <f>'AEO 2023 Table 47 Raw'!N19</f>
        <v>143.296494</v>
      </c>
      <c r="L31" s="17">
        <f>'AEO 2023 Table 47 Raw'!O19</f>
        <v>142.87550400000001</v>
      </c>
      <c r="M31" s="17">
        <f>'AEO 2023 Table 47 Raw'!P19</f>
        <v>142.430801</v>
      </c>
      <c r="N31" s="17">
        <f>'AEO 2023 Table 47 Raw'!Q19</f>
        <v>141.97500600000001</v>
      </c>
      <c r="O31" s="17">
        <f>'AEO 2023 Table 47 Raw'!R19</f>
        <v>141.520996</v>
      </c>
      <c r="P31" s="17">
        <f>'AEO 2023 Table 47 Raw'!S19</f>
        <v>141.079498</v>
      </c>
      <c r="Q31" s="17">
        <f>'AEO 2023 Table 47 Raw'!T19</f>
        <v>140.645996</v>
      </c>
      <c r="R31" s="17">
        <f>'AEO 2023 Table 47 Raw'!U19</f>
        <v>140.21350100000001</v>
      </c>
      <c r="S31" s="17">
        <f>'AEO 2023 Table 47 Raw'!V19</f>
        <v>139.788498</v>
      </c>
      <c r="T31" s="17">
        <f>'AEO 2023 Table 47 Raw'!W19</f>
        <v>139.376801</v>
      </c>
      <c r="U31" s="17">
        <f>'AEO 2023 Table 47 Raw'!X19</f>
        <v>138.984802</v>
      </c>
      <c r="V31" s="17">
        <f>'AEO 2023 Table 47 Raw'!Y19</f>
        <v>138.612503</v>
      </c>
      <c r="W31" s="17">
        <f>'AEO 2023 Table 47 Raw'!Z19</f>
        <v>138.25649999999999</v>
      </c>
      <c r="X31" s="17">
        <f>'AEO 2023 Table 47 Raw'!AA19</f>
        <v>137.91400100000001</v>
      </c>
      <c r="Y31" s="17">
        <f>'AEO 2023 Table 47 Raw'!AB19</f>
        <v>137.58230599999999</v>
      </c>
      <c r="Z31" s="17">
        <f>'AEO 2023 Table 47 Raw'!AC19</f>
        <v>137.25950599999999</v>
      </c>
      <c r="AA31" s="17">
        <f>'AEO 2023 Table 47 Raw'!AD19</f>
        <v>136.95030199999999</v>
      </c>
      <c r="AB31" s="17">
        <f>'AEO 2023 Table 47 Raw'!AE19</f>
        <v>136.65379300000001</v>
      </c>
      <c r="AC31" s="17">
        <f>'AEO 2023 Table 47 Raw'!AF19</f>
        <v>136.36480700000001</v>
      </c>
      <c r="AD31" s="17">
        <f>'AEO 2023 Table 47 Raw'!AG19</f>
        <v>136.078506</v>
      </c>
      <c r="AE31" s="17">
        <f>'AEO 2023 Table 47 Raw'!AH19</f>
        <v>135.788803</v>
      </c>
      <c r="AF31" s="30">
        <f>'AEO 2023 Table 47 Raw'!AI19</f>
        <v>-3.0000000000000001E-3</v>
      </c>
    </row>
    <row r="32" spans="1:32" ht="15" customHeight="1">
      <c r="A32" s="7" t="s">
        <v>527</v>
      </c>
      <c r="B32" s="16" t="s">
        <v>528</v>
      </c>
      <c r="C32" s="17">
        <f>'AEO 2023 Table 47 Raw'!F20</f>
        <v>196.40559400000001</v>
      </c>
      <c r="D32" s="17">
        <f>'AEO 2023 Table 47 Raw'!G20</f>
        <v>196.88909899999999</v>
      </c>
      <c r="E32" s="17">
        <f>'AEO 2023 Table 47 Raw'!H20</f>
        <v>197.34137000000001</v>
      </c>
      <c r="F32" s="17">
        <f>'AEO 2023 Table 47 Raw'!I20</f>
        <v>197.77439899999999</v>
      </c>
      <c r="G32" s="17">
        <f>'AEO 2023 Table 47 Raw'!J20</f>
        <v>198.13687100000001</v>
      </c>
      <c r="H32" s="17">
        <f>'AEO 2023 Table 47 Raw'!K20</f>
        <v>198.47818000000001</v>
      </c>
      <c r="I32" s="17">
        <f>'AEO 2023 Table 47 Raw'!L20</f>
        <v>198.80619799999999</v>
      </c>
      <c r="J32" s="17">
        <f>'AEO 2023 Table 47 Raw'!M20</f>
        <v>199.13061500000001</v>
      </c>
      <c r="K32" s="17">
        <f>'AEO 2023 Table 47 Raw'!N20</f>
        <v>199.45709199999999</v>
      </c>
      <c r="L32" s="17">
        <f>'AEO 2023 Table 47 Raw'!O20</f>
        <v>199.80789200000001</v>
      </c>
      <c r="M32" s="17">
        <f>'AEO 2023 Table 47 Raw'!P20</f>
        <v>200.15795900000001</v>
      </c>
      <c r="N32" s="17">
        <f>'AEO 2023 Table 47 Raw'!Q20</f>
        <v>200.50091599999999</v>
      </c>
      <c r="O32" s="17">
        <f>'AEO 2023 Table 47 Raw'!R20</f>
        <v>200.82986500000001</v>
      </c>
      <c r="P32" s="17">
        <f>'AEO 2023 Table 47 Raw'!S20</f>
        <v>201.143112</v>
      </c>
      <c r="Q32" s="17">
        <f>'AEO 2023 Table 47 Raw'!T20</f>
        <v>201.48429899999999</v>
      </c>
      <c r="R32" s="17">
        <f>'AEO 2023 Table 47 Raw'!U20</f>
        <v>201.810699</v>
      </c>
      <c r="S32" s="17">
        <f>'AEO 2023 Table 47 Raw'!V20</f>
        <v>202.12439000000001</v>
      </c>
      <c r="T32" s="17">
        <f>'AEO 2023 Table 47 Raw'!W20</f>
        <v>202.427155</v>
      </c>
      <c r="U32" s="17">
        <f>'AEO 2023 Table 47 Raw'!X20</f>
        <v>202.71910099999999</v>
      </c>
      <c r="V32" s="17">
        <f>'AEO 2023 Table 47 Raw'!Y20</f>
        <v>202.99388099999999</v>
      </c>
      <c r="W32" s="17">
        <f>'AEO 2023 Table 47 Raw'!Z20</f>
        <v>203.25671399999999</v>
      </c>
      <c r="X32" s="17">
        <f>'AEO 2023 Table 47 Raw'!AA20</f>
        <v>203.50079299999999</v>
      </c>
      <c r="Y32" s="17">
        <f>'AEO 2023 Table 47 Raw'!AB20</f>
        <v>203.71812399999999</v>
      </c>
      <c r="Z32" s="17">
        <f>'AEO 2023 Table 47 Raw'!AC20</f>
        <v>203.905441</v>
      </c>
      <c r="AA32" s="17">
        <f>'AEO 2023 Table 47 Raw'!AD20</f>
        <v>204.02444499999999</v>
      </c>
      <c r="AB32" s="17">
        <f>'AEO 2023 Table 47 Raw'!AE20</f>
        <v>204.116028</v>
      </c>
      <c r="AC32" s="17">
        <f>'AEO 2023 Table 47 Raw'!AF20</f>
        <v>204.18514999999999</v>
      </c>
      <c r="AD32" s="17">
        <f>'AEO 2023 Table 47 Raw'!AG20</f>
        <v>204.23820499999999</v>
      </c>
      <c r="AE32" s="17">
        <f>'AEO 2023 Table 47 Raw'!AH20</f>
        <v>204.278717</v>
      </c>
      <c r="AF32" s="30">
        <f>'AEO 2023 Table 47 Raw'!AI20</f>
        <v>1E-3</v>
      </c>
    </row>
    <row r="33" spans="1:32" ht="15" customHeight="1">
      <c r="A33" s="7" t="s">
        <v>529</v>
      </c>
      <c r="B33" s="16" t="s">
        <v>530</v>
      </c>
      <c r="C33" s="17">
        <f>'AEO 2023 Table 47 Raw'!F21</f>
        <v>1448.8129879999999</v>
      </c>
      <c r="D33" s="17">
        <f>'AEO 2023 Table 47 Raw'!G21</f>
        <v>1452.4229740000001</v>
      </c>
      <c r="E33" s="17">
        <f>'AEO 2023 Table 47 Raw'!H21</f>
        <v>1455.5429690000001</v>
      </c>
      <c r="F33" s="17">
        <f>'AEO 2023 Table 47 Raw'!I21</f>
        <v>1458.1979980000001</v>
      </c>
      <c r="G33" s="17">
        <f>'AEO 2023 Table 47 Raw'!J21</f>
        <v>1460.3530270000001</v>
      </c>
      <c r="H33" s="17">
        <f>'AEO 2023 Table 47 Raw'!K21</f>
        <v>1461.9849850000001</v>
      </c>
      <c r="I33" s="17">
        <f>'AEO 2023 Table 47 Raw'!L21</f>
        <v>1463.160034</v>
      </c>
      <c r="J33" s="17">
        <f>'AEO 2023 Table 47 Raw'!M21</f>
        <v>1463.9399410000001</v>
      </c>
      <c r="K33" s="17">
        <f>'AEO 2023 Table 47 Raw'!N21</f>
        <v>1464.36499</v>
      </c>
      <c r="L33" s="17">
        <f>'AEO 2023 Table 47 Raw'!O21</f>
        <v>1464.4229740000001</v>
      </c>
      <c r="M33" s="17">
        <f>'AEO 2023 Table 47 Raw'!P21</f>
        <v>1464.084961</v>
      </c>
      <c r="N33" s="17">
        <f>'AEO 2023 Table 47 Raw'!Q21</f>
        <v>1463.36499</v>
      </c>
      <c r="O33" s="17">
        <f>'AEO 2023 Table 47 Raw'!R21</f>
        <v>1462.290039</v>
      </c>
      <c r="P33" s="17">
        <f>'AEO 2023 Table 47 Raw'!S21</f>
        <v>1460.878052</v>
      </c>
      <c r="Q33" s="17">
        <f>'AEO 2023 Table 47 Raw'!T21</f>
        <v>1459.1080320000001</v>
      </c>
      <c r="R33" s="17">
        <f>'AEO 2023 Table 47 Raw'!U21</f>
        <v>1456.968018</v>
      </c>
      <c r="S33" s="17">
        <f>'AEO 2023 Table 47 Raw'!V21</f>
        <v>1454.4930420000001</v>
      </c>
      <c r="T33" s="17">
        <f>'AEO 2023 Table 47 Raw'!W21</f>
        <v>1451.7030030000001</v>
      </c>
      <c r="U33" s="17">
        <f>'AEO 2023 Table 47 Raw'!X21</f>
        <v>1448.623047</v>
      </c>
      <c r="V33" s="17">
        <f>'AEO 2023 Table 47 Raw'!Y21</f>
        <v>1445.244995</v>
      </c>
      <c r="W33" s="17">
        <f>'AEO 2023 Table 47 Raw'!Z21</f>
        <v>1441.5550539999999</v>
      </c>
      <c r="X33" s="17">
        <f>'AEO 2023 Table 47 Raw'!AA21</f>
        <v>1437.5629879999999</v>
      </c>
      <c r="Y33" s="17">
        <f>'AEO 2023 Table 47 Raw'!AB21</f>
        <v>1433.2829589999999</v>
      </c>
      <c r="Z33" s="17">
        <f>'AEO 2023 Table 47 Raw'!AC21</f>
        <v>1428.718018</v>
      </c>
      <c r="AA33" s="17">
        <f>'AEO 2023 Table 47 Raw'!AD21</f>
        <v>1423.849976</v>
      </c>
      <c r="AB33" s="17">
        <f>'AEO 2023 Table 47 Raw'!AE21</f>
        <v>1418.6829829999999</v>
      </c>
      <c r="AC33" s="17">
        <f>'AEO 2023 Table 47 Raw'!AF21</f>
        <v>1413.23999</v>
      </c>
      <c r="AD33" s="17">
        <f>'AEO 2023 Table 47 Raw'!AG21</f>
        <v>1407.5550539999999</v>
      </c>
      <c r="AE33" s="17">
        <f>'AEO 2023 Table 47 Raw'!AH21</f>
        <v>1401.650024</v>
      </c>
      <c r="AF33" s="30">
        <f>'AEO 2023 Table 47 Raw'!AI21</f>
        <v>-1E-3</v>
      </c>
    </row>
    <row r="34" spans="1:32" ht="15" customHeight="1">
      <c r="A34" s="7" t="s">
        <v>531</v>
      </c>
      <c r="B34" s="16" t="s">
        <v>532</v>
      </c>
      <c r="C34" s="17">
        <f>'AEO 2023 Table 47 Raw'!F22</f>
        <v>1408.3000489999999</v>
      </c>
      <c r="D34" s="17">
        <f>'AEO 2023 Table 47 Raw'!G22</f>
        <v>1421.3079829999999</v>
      </c>
      <c r="E34" s="17">
        <f>'AEO 2023 Table 47 Raw'!H22</f>
        <v>1434.0699460000001</v>
      </c>
      <c r="F34" s="17">
        <f>'AEO 2023 Table 47 Raw'!I22</f>
        <v>1446.5550539999999</v>
      </c>
      <c r="G34" s="17">
        <f>'AEO 2023 Table 47 Raw'!J22</f>
        <v>1458.8000489999999</v>
      </c>
      <c r="H34" s="17">
        <f>'AEO 2023 Table 47 Raw'!K22</f>
        <v>1470.8129879999999</v>
      </c>
      <c r="I34" s="17">
        <f>'AEO 2023 Table 47 Raw'!L22</f>
        <v>1482.5529790000001</v>
      </c>
      <c r="J34" s="17">
        <f>'AEO 2023 Table 47 Raw'!M22</f>
        <v>1493.959961</v>
      </c>
      <c r="K34" s="17">
        <f>'AEO 2023 Table 47 Raw'!N22</f>
        <v>1504.9930420000001</v>
      </c>
      <c r="L34" s="17">
        <f>'AEO 2023 Table 47 Raw'!O22</f>
        <v>1515.6979980000001</v>
      </c>
      <c r="M34" s="17">
        <f>'AEO 2023 Table 47 Raw'!P22</f>
        <v>1526.094971</v>
      </c>
      <c r="N34" s="17">
        <f>'AEO 2023 Table 47 Raw'!Q22</f>
        <v>1536.123047</v>
      </c>
      <c r="O34" s="17">
        <f>'AEO 2023 Table 47 Raw'!R22</f>
        <v>1545.714966</v>
      </c>
      <c r="P34" s="17">
        <f>'AEO 2023 Table 47 Raw'!S22</f>
        <v>1554.8199460000001</v>
      </c>
      <c r="Q34" s="17">
        <f>'AEO 2023 Table 47 Raw'!T22</f>
        <v>1563.4499510000001</v>
      </c>
      <c r="R34" s="17">
        <f>'AEO 2023 Table 47 Raw'!U22</f>
        <v>1571.625</v>
      </c>
      <c r="S34" s="17">
        <f>'AEO 2023 Table 47 Raw'!V22</f>
        <v>1579.3630370000001</v>
      </c>
      <c r="T34" s="17">
        <f>'AEO 2023 Table 47 Raw'!W22</f>
        <v>1586.6579589999999</v>
      </c>
      <c r="U34" s="17">
        <f>'AEO 2023 Table 47 Raw'!X22</f>
        <v>1593.51001</v>
      </c>
      <c r="V34" s="17">
        <f>'AEO 2023 Table 47 Raw'!Y22</f>
        <v>1599.8929439999999</v>
      </c>
      <c r="W34" s="17">
        <f>'AEO 2023 Table 47 Raw'!Z22</f>
        <v>1605.8129879999999</v>
      </c>
      <c r="X34" s="17">
        <f>'AEO 2023 Table 47 Raw'!AA22</f>
        <v>1611.3079829999999</v>
      </c>
      <c r="Y34" s="17">
        <f>'AEO 2023 Table 47 Raw'!AB22</f>
        <v>1616.420044</v>
      </c>
      <c r="Z34" s="17">
        <f>'AEO 2023 Table 47 Raw'!AC22</f>
        <v>1621.1850589999999</v>
      </c>
      <c r="AA34" s="17">
        <f>'AEO 2023 Table 47 Raw'!AD22</f>
        <v>1625.5830080000001</v>
      </c>
      <c r="AB34" s="17">
        <f>'AEO 2023 Table 47 Raw'!AE22</f>
        <v>1629.593018</v>
      </c>
      <c r="AC34" s="17">
        <f>'AEO 2023 Table 47 Raw'!AF22</f>
        <v>1633.2380370000001</v>
      </c>
      <c r="AD34" s="17">
        <f>'AEO 2023 Table 47 Raw'!AG22</f>
        <v>1636.5429690000001</v>
      </c>
      <c r="AE34" s="17">
        <f>'AEO 2023 Table 47 Raw'!AH22</f>
        <v>1639.525024</v>
      </c>
      <c r="AF34" s="30">
        <f>'AEO 2023 Table 47 Raw'!AI22</f>
        <v>5.0000000000000001E-3</v>
      </c>
    </row>
    <row r="35" spans="1:32" ht="15" customHeight="1">
      <c r="A35" s="7" t="s">
        <v>533</v>
      </c>
      <c r="B35" s="16" t="s">
        <v>534</v>
      </c>
      <c r="C35" s="17">
        <f>'AEO 2023 Table 47 Raw'!F23</f>
        <v>1245.615967</v>
      </c>
      <c r="D35" s="17">
        <f>'AEO 2023 Table 47 Raw'!G23</f>
        <v>1259.7116699999999</v>
      </c>
      <c r="E35" s="17">
        <f>'AEO 2023 Table 47 Raw'!H23</f>
        <v>1273.62915</v>
      </c>
      <c r="F35" s="17">
        <f>'AEO 2023 Table 47 Raw'!I23</f>
        <v>1287.3408199999999</v>
      </c>
      <c r="G35" s="17">
        <f>'AEO 2023 Table 47 Raw'!J23</f>
        <v>1300.336182</v>
      </c>
      <c r="H35" s="17">
        <f>'AEO 2023 Table 47 Raw'!K23</f>
        <v>1313.135254</v>
      </c>
      <c r="I35" s="17">
        <f>'AEO 2023 Table 47 Raw'!L23</f>
        <v>1325.7388920000001</v>
      </c>
      <c r="J35" s="17">
        <f>'AEO 2023 Table 47 Raw'!M23</f>
        <v>1338.14978</v>
      </c>
      <c r="K35" s="17">
        <f>'AEO 2023 Table 47 Raw'!N23</f>
        <v>1350.362183</v>
      </c>
      <c r="L35" s="17">
        <f>'AEO 2023 Table 47 Raw'!O23</f>
        <v>1361.7928469999999</v>
      </c>
      <c r="M35" s="17">
        <f>'AEO 2023 Table 47 Raw'!P23</f>
        <v>1373.0439449999999</v>
      </c>
      <c r="N35" s="17">
        <f>'AEO 2023 Table 47 Raw'!Q23</f>
        <v>1384.1104740000001</v>
      </c>
      <c r="O35" s="17">
        <f>'AEO 2023 Table 47 Raw'!R23</f>
        <v>1394.9650879999999</v>
      </c>
      <c r="P35" s="17">
        <f>'AEO 2023 Table 47 Raw'!S23</f>
        <v>1405.6123050000001</v>
      </c>
      <c r="Q35" s="17">
        <f>'AEO 2023 Table 47 Raw'!T23</f>
        <v>1415.5485839999999</v>
      </c>
      <c r="R35" s="17">
        <f>'AEO 2023 Table 47 Raw'!U23</f>
        <v>1425.296143</v>
      </c>
      <c r="S35" s="17">
        <f>'AEO 2023 Table 47 Raw'!V23</f>
        <v>1434.834351</v>
      </c>
      <c r="T35" s="17">
        <f>'AEO 2023 Table 47 Raw'!W23</f>
        <v>1444.1679690000001</v>
      </c>
      <c r="U35" s="17">
        <f>'AEO 2023 Table 47 Raw'!X23</f>
        <v>1453.3126219999999</v>
      </c>
      <c r="V35" s="17">
        <f>'AEO 2023 Table 47 Raw'!Y23</f>
        <v>1461.786987</v>
      </c>
      <c r="W35" s="17">
        <f>'AEO 2023 Table 47 Raw'!Z23</f>
        <v>1470.0507809999999</v>
      </c>
      <c r="X35" s="17">
        <f>'AEO 2023 Table 47 Raw'!AA23</f>
        <v>1478.1164550000001</v>
      </c>
      <c r="Y35" s="17">
        <f>'AEO 2023 Table 47 Raw'!AB23</f>
        <v>1485.9938959999999</v>
      </c>
      <c r="Z35" s="17">
        <f>'AEO 2023 Table 47 Raw'!AC23</f>
        <v>1493.684814</v>
      </c>
      <c r="AA35" s="17">
        <f>'AEO 2023 Table 47 Raw'!AD23</f>
        <v>1500.5679929999999</v>
      </c>
      <c r="AB35" s="17">
        <f>'AEO 2023 Table 47 Raw'!AE23</f>
        <v>1507.2523189999999</v>
      </c>
      <c r="AC35" s="17">
        <f>'AEO 2023 Table 47 Raw'!AF23</f>
        <v>1513.752197</v>
      </c>
      <c r="AD35" s="17">
        <f>'AEO 2023 Table 47 Raw'!AG23</f>
        <v>1520.0760499999999</v>
      </c>
      <c r="AE35" s="17">
        <f>'AEO 2023 Table 47 Raw'!AH23</f>
        <v>1526.2166749999999</v>
      </c>
      <c r="AF35" s="30">
        <f>'AEO 2023 Table 47 Raw'!AI23</f>
        <v>7.0000000000000001E-3</v>
      </c>
    </row>
    <row r="36" spans="1:32" ht="15" customHeight="1">
      <c r="A36" s="7" t="s">
        <v>535</v>
      </c>
      <c r="B36" s="16" t="s">
        <v>536</v>
      </c>
      <c r="C36" s="17">
        <f>'AEO 2023 Table 47 Raw'!F24</f>
        <v>261.10183699999999</v>
      </c>
      <c r="D36" s="17">
        <f>'AEO 2023 Table 47 Raw'!G24</f>
        <v>266.300995</v>
      </c>
      <c r="E36" s="17">
        <f>'AEO 2023 Table 47 Raw'!H24</f>
        <v>271.39819299999999</v>
      </c>
      <c r="F36" s="17">
        <f>'AEO 2023 Table 47 Raw'!I24</f>
        <v>276.418274</v>
      </c>
      <c r="G36" s="17">
        <f>'AEO 2023 Table 47 Raw'!J24</f>
        <v>280.84103399999998</v>
      </c>
      <c r="H36" s="17">
        <f>'AEO 2023 Table 47 Raw'!K24</f>
        <v>285.21560699999998</v>
      </c>
      <c r="I36" s="17">
        <f>'AEO 2023 Table 47 Raw'!L24</f>
        <v>289.57656900000001</v>
      </c>
      <c r="J36" s="17">
        <f>'AEO 2023 Table 47 Raw'!M24</f>
        <v>293.90484600000002</v>
      </c>
      <c r="K36" s="17">
        <f>'AEO 2023 Table 47 Raw'!N24</f>
        <v>298.09335299999998</v>
      </c>
      <c r="L36" s="17">
        <f>'AEO 2023 Table 47 Raw'!O24</f>
        <v>301.73696899999999</v>
      </c>
      <c r="M36" s="17">
        <f>'AEO 2023 Table 47 Raw'!P24</f>
        <v>305.35867300000001</v>
      </c>
      <c r="N36" s="17">
        <f>'AEO 2023 Table 47 Raw'!Q24</f>
        <v>308.96170000000001</v>
      </c>
      <c r="O36" s="17">
        <f>'AEO 2023 Table 47 Raw'!R24</f>
        <v>312.54541</v>
      </c>
      <c r="P36" s="17">
        <f>'AEO 2023 Table 47 Raw'!S24</f>
        <v>316.10913099999999</v>
      </c>
      <c r="Q36" s="17">
        <f>'AEO 2023 Table 47 Raw'!T24</f>
        <v>319.498199</v>
      </c>
      <c r="R36" s="17">
        <f>'AEO 2023 Table 47 Raw'!U24</f>
        <v>322.86215199999998</v>
      </c>
      <c r="S36" s="17">
        <f>'AEO 2023 Table 47 Raw'!V24</f>
        <v>326.19833399999999</v>
      </c>
      <c r="T36" s="17">
        <f>'AEO 2023 Table 47 Raw'!W24</f>
        <v>329.50210600000003</v>
      </c>
      <c r="U36" s="17">
        <f>'AEO 2023 Table 47 Raw'!X24</f>
        <v>332.77383400000002</v>
      </c>
      <c r="V36" s="17">
        <f>'AEO 2023 Table 47 Raw'!Y24</f>
        <v>335.88980099999998</v>
      </c>
      <c r="W36" s="17">
        <f>'AEO 2023 Table 47 Raw'!Z24</f>
        <v>338.96798699999999</v>
      </c>
      <c r="X36" s="17">
        <f>'AEO 2023 Table 47 Raw'!AA24</f>
        <v>342.00610399999999</v>
      </c>
      <c r="Y36" s="17">
        <f>'AEO 2023 Table 47 Raw'!AB24</f>
        <v>345.00186200000002</v>
      </c>
      <c r="Z36" s="17">
        <f>'AEO 2023 Table 47 Raw'!AC24</f>
        <v>347.957672</v>
      </c>
      <c r="AA36" s="17">
        <f>'AEO 2023 Table 47 Raw'!AD24</f>
        <v>350.72204599999998</v>
      </c>
      <c r="AB36" s="17">
        <f>'AEO 2023 Table 47 Raw'!AE24</f>
        <v>353.440674</v>
      </c>
      <c r="AC36" s="17">
        <f>'AEO 2023 Table 47 Raw'!AF24</f>
        <v>356.113495</v>
      </c>
      <c r="AD36" s="17">
        <f>'AEO 2023 Table 47 Raw'!AG24</f>
        <v>358.73825099999999</v>
      </c>
      <c r="AE36" s="17">
        <f>'AEO 2023 Table 47 Raw'!AH24</f>
        <v>361.31408699999997</v>
      </c>
      <c r="AF36" s="30">
        <f>'AEO 2023 Table 47 Raw'!AI24</f>
        <v>1.2E-2</v>
      </c>
    </row>
    <row r="37" spans="1:32" ht="15" customHeight="1">
      <c r="A37" s="7" t="s">
        <v>537</v>
      </c>
      <c r="B37" s="16" t="s">
        <v>538</v>
      </c>
      <c r="C37" s="17">
        <f>'AEO 2023 Table 47 Raw'!F25</f>
        <v>1406.816284</v>
      </c>
      <c r="D37" s="17">
        <f>'AEO 2023 Table 47 Raw'!G25</f>
        <v>1440.4285890000001</v>
      </c>
      <c r="E37" s="17">
        <f>'AEO 2023 Table 47 Raw'!H25</f>
        <v>1474.159302</v>
      </c>
      <c r="F37" s="17">
        <f>'AEO 2023 Table 47 Raw'!I25</f>
        <v>1508.036865</v>
      </c>
      <c r="G37" s="17">
        <f>'AEO 2023 Table 47 Raw'!J25</f>
        <v>1543.6094969999999</v>
      </c>
      <c r="H37" s="17">
        <f>'AEO 2023 Table 47 Raw'!K25</f>
        <v>1579.3232419999999</v>
      </c>
      <c r="I37" s="17">
        <f>'AEO 2023 Table 47 Raw'!L25</f>
        <v>1615.1782229999999</v>
      </c>
      <c r="J37" s="17">
        <f>'AEO 2023 Table 47 Raw'!M25</f>
        <v>1651.1739500000001</v>
      </c>
      <c r="K37" s="17">
        <f>'AEO 2023 Table 47 Raw'!N25</f>
        <v>1687.309937</v>
      </c>
      <c r="L37" s="17">
        <f>'AEO 2023 Table 47 Raw'!O25</f>
        <v>1725.00647</v>
      </c>
      <c r="M37" s="17">
        <f>'AEO 2023 Table 47 Raw'!P25</f>
        <v>1762.836914</v>
      </c>
      <c r="N37" s="17">
        <f>'AEO 2023 Table 47 Raw'!Q25</f>
        <v>1800.7958980000001</v>
      </c>
      <c r="O37" s="17">
        <f>'AEO 2023 Table 47 Raw'!R25</f>
        <v>1838.8767089999999</v>
      </c>
      <c r="P37" s="17">
        <f>'AEO 2023 Table 47 Raw'!S25</f>
        <v>1877.0699460000001</v>
      </c>
      <c r="Q37" s="17">
        <f>'AEO 2023 Table 47 Raw'!T25</f>
        <v>1916.586182</v>
      </c>
      <c r="R37" s="17">
        <f>'AEO 2023 Table 47 Raw'!U25</f>
        <v>1956.201904</v>
      </c>
      <c r="S37" s="17">
        <f>'AEO 2023 Table 47 Raw'!V25</f>
        <v>1995.9060059999999</v>
      </c>
      <c r="T37" s="17">
        <f>'AEO 2023 Table 47 Raw'!W25</f>
        <v>2035.682129</v>
      </c>
      <c r="U37" s="17">
        <f>'AEO 2023 Table 47 Raw'!X25</f>
        <v>2075.5166020000001</v>
      </c>
      <c r="V37" s="17">
        <f>'AEO 2023 Table 47 Raw'!Y25</f>
        <v>2116.3789059999999</v>
      </c>
      <c r="W37" s="17">
        <f>'AEO 2023 Table 47 Raw'!Z25</f>
        <v>2157.2849120000001</v>
      </c>
      <c r="X37" s="17">
        <f>'AEO 2023 Table 47 Raw'!AA25</f>
        <v>2198.218018</v>
      </c>
      <c r="Y37" s="17">
        <f>'AEO 2023 Table 47 Raw'!AB25</f>
        <v>2239.1657709999999</v>
      </c>
      <c r="Z37" s="17">
        <f>'AEO 2023 Table 47 Raw'!AC25</f>
        <v>2280.1120609999998</v>
      </c>
      <c r="AA37" s="17">
        <f>'AEO 2023 Table 47 Raw'!AD25</f>
        <v>2321.6833499999998</v>
      </c>
      <c r="AB37" s="17">
        <f>'AEO 2023 Table 47 Raw'!AE25</f>
        <v>2363.233643</v>
      </c>
      <c r="AC37" s="17">
        <f>'AEO 2023 Table 47 Raw'!AF25</f>
        <v>2404.77124</v>
      </c>
      <c r="AD37" s="17">
        <f>'AEO 2023 Table 47 Raw'!AG25</f>
        <v>2446.304932</v>
      </c>
      <c r="AE37" s="17">
        <f>'AEO 2023 Table 47 Raw'!AH25</f>
        <v>2487.8393550000001</v>
      </c>
      <c r="AF37" s="30">
        <f>'AEO 2023 Table 47 Raw'!AI25</f>
        <v>2.1000000000000001E-2</v>
      </c>
    </row>
    <row r="38" spans="1:32" ht="15" customHeight="1">
      <c r="A38" s="7" t="s">
        <v>539</v>
      </c>
      <c r="B38" s="16" t="s">
        <v>540</v>
      </c>
      <c r="C38" s="17">
        <f>'AEO 2023 Table 47 Raw'!F26</f>
        <v>215.50250199999999</v>
      </c>
      <c r="D38" s="17">
        <f>'AEO 2023 Table 47 Raw'!G26</f>
        <v>216.787003</v>
      </c>
      <c r="E38" s="17">
        <f>'AEO 2023 Table 47 Raw'!H26</f>
        <v>218.005798</v>
      </c>
      <c r="F38" s="17">
        <f>'AEO 2023 Table 47 Raw'!I26</f>
        <v>219.15980500000001</v>
      </c>
      <c r="G38" s="17">
        <f>'AEO 2023 Table 47 Raw'!J26</f>
        <v>220.245499</v>
      </c>
      <c r="H38" s="17">
        <f>'AEO 2023 Table 47 Raw'!K26</f>
        <v>221.26480100000001</v>
      </c>
      <c r="I38" s="17">
        <f>'AEO 2023 Table 47 Raw'!L26</f>
        <v>222.22030599999999</v>
      </c>
      <c r="J38" s="17">
        <f>'AEO 2023 Table 47 Raw'!M26</f>
        <v>223.115005</v>
      </c>
      <c r="K38" s="17">
        <f>'AEO 2023 Table 47 Raw'!N26</f>
        <v>223.951797</v>
      </c>
      <c r="L38" s="17">
        <f>'AEO 2023 Table 47 Raw'!O26</f>
        <v>224.729996</v>
      </c>
      <c r="M38" s="17">
        <f>'AEO 2023 Table 47 Raw'!P26</f>
        <v>225.447495</v>
      </c>
      <c r="N38" s="17">
        <f>'AEO 2023 Table 47 Raw'!Q26</f>
        <v>226.105301</v>
      </c>
      <c r="O38" s="17">
        <f>'AEO 2023 Table 47 Raw'!R26</f>
        <v>226.704498</v>
      </c>
      <c r="P38" s="17">
        <f>'AEO 2023 Table 47 Raw'!S26</f>
        <v>227.24650600000001</v>
      </c>
      <c r="Q38" s="17">
        <f>'AEO 2023 Table 47 Raw'!T26</f>
        <v>227.72830200000001</v>
      </c>
      <c r="R38" s="17">
        <f>'AEO 2023 Table 47 Raw'!U26</f>
        <v>228.15029899999999</v>
      </c>
      <c r="S38" s="17">
        <f>'AEO 2023 Table 47 Raw'!V26</f>
        <v>228.515503</v>
      </c>
      <c r="T38" s="17">
        <f>'AEO 2023 Table 47 Raw'!W26</f>
        <v>228.82730100000001</v>
      </c>
      <c r="U38" s="17">
        <f>'AEO 2023 Table 47 Raw'!X26</f>
        <v>229.087006</v>
      </c>
      <c r="V38" s="17">
        <f>'AEO 2023 Table 47 Raw'!Y26</f>
        <v>229.29299900000001</v>
      </c>
      <c r="W38" s="17">
        <f>'AEO 2023 Table 47 Raw'!Z26</f>
        <v>229.44380200000001</v>
      </c>
      <c r="X38" s="17">
        <f>'AEO 2023 Table 47 Raw'!AA26</f>
        <v>229.54299900000001</v>
      </c>
      <c r="Y38" s="17">
        <f>'AEO 2023 Table 47 Raw'!AB26</f>
        <v>229.59530599999999</v>
      </c>
      <c r="Z38" s="17">
        <f>'AEO 2023 Table 47 Raw'!AC26</f>
        <v>229.60000600000001</v>
      </c>
      <c r="AA38" s="17">
        <f>'AEO 2023 Table 47 Raw'!AD26</f>
        <v>229.541</v>
      </c>
      <c r="AB38" s="17">
        <f>'AEO 2023 Table 47 Raw'!AE26</f>
        <v>229.420807</v>
      </c>
      <c r="AC38" s="17">
        <f>'AEO 2023 Table 47 Raw'!AF26</f>
        <v>229.26629600000001</v>
      </c>
      <c r="AD38" s="17">
        <f>'AEO 2023 Table 47 Raw'!AG26</f>
        <v>229.10699500000001</v>
      </c>
      <c r="AE38" s="17">
        <f>'AEO 2023 Table 47 Raw'!AH26</f>
        <v>228.962997</v>
      </c>
      <c r="AF38" s="30">
        <f>'AEO 2023 Table 47 Raw'!AI26</f>
        <v>2E-3</v>
      </c>
    </row>
    <row r="39" spans="1:32" ht="12" customHeight="1">
      <c r="A39" s="7" t="s">
        <v>541</v>
      </c>
      <c r="B39" s="16" t="s">
        <v>542</v>
      </c>
      <c r="C39" s="17">
        <f>'AEO 2023 Table 47 Raw'!F27</f>
        <v>239.305511</v>
      </c>
      <c r="D39" s="17">
        <f>'AEO 2023 Table 47 Raw'!G27</f>
        <v>242.13305700000001</v>
      </c>
      <c r="E39" s="17">
        <f>'AEO 2023 Table 47 Raw'!H27</f>
        <v>244.95889299999999</v>
      </c>
      <c r="F39" s="17">
        <f>'AEO 2023 Table 47 Raw'!I27</f>
        <v>247.68708799999999</v>
      </c>
      <c r="G39" s="17">
        <f>'AEO 2023 Table 47 Raw'!J27</f>
        <v>250.28230300000001</v>
      </c>
      <c r="H39" s="17">
        <f>'AEO 2023 Table 47 Raw'!K27</f>
        <v>252.77761799999999</v>
      </c>
      <c r="I39" s="17">
        <f>'AEO 2023 Table 47 Raw'!L27</f>
        <v>255.17982499999999</v>
      </c>
      <c r="J39" s="17">
        <f>'AEO 2023 Table 47 Raw'!M27</f>
        <v>257.50900300000001</v>
      </c>
      <c r="K39" s="17">
        <f>'AEO 2023 Table 47 Raw'!N27</f>
        <v>259.78024299999998</v>
      </c>
      <c r="L39" s="17">
        <f>'AEO 2023 Table 47 Raw'!O27</f>
        <v>261.96649200000002</v>
      </c>
      <c r="M39" s="17">
        <f>'AEO 2023 Table 47 Raw'!P27</f>
        <v>264.080872</v>
      </c>
      <c r="N39" s="17">
        <f>'AEO 2023 Table 47 Raw'!Q27</f>
        <v>266.13140900000002</v>
      </c>
      <c r="O39" s="17">
        <f>'AEO 2023 Table 47 Raw'!R27</f>
        <v>268.12866200000002</v>
      </c>
      <c r="P39" s="17">
        <f>'AEO 2023 Table 47 Raw'!S27</f>
        <v>270.08139</v>
      </c>
      <c r="Q39" s="17">
        <f>'AEO 2023 Table 47 Raw'!T27</f>
        <v>271.964966</v>
      </c>
      <c r="R39" s="17">
        <f>'AEO 2023 Table 47 Raw'!U27</f>
        <v>273.805634</v>
      </c>
      <c r="S39" s="17">
        <f>'AEO 2023 Table 47 Raw'!V27</f>
        <v>275.60214200000001</v>
      </c>
      <c r="T39" s="17">
        <f>'AEO 2023 Table 47 Raw'!W27</f>
        <v>277.35290500000002</v>
      </c>
      <c r="U39" s="17">
        <f>'AEO 2023 Table 47 Raw'!X27</f>
        <v>279.05569500000001</v>
      </c>
      <c r="V39" s="17">
        <f>'AEO 2023 Table 47 Raw'!Y27</f>
        <v>280.68167099999999</v>
      </c>
      <c r="W39" s="17">
        <f>'AEO 2023 Table 47 Raw'!Z27</f>
        <v>282.26147500000002</v>
      </c>
      <c r="X39" s="17">
        <f>'AEO 2023 Table 47 Raw'!AA27</f>
        <v>283.79553199999998</v>
      </c>
      <c r="Y39" s="17">
        <f>'AEO 2023 Table 47 Raw'!AB27</f>
        <v>285.28445399999998</v>
      </c>
      <c r="Z39" s="17">
        <f>'AEO 2023 Table 47 Raw'!AC27</f>
        <v>286.727417</v>
      </c>
      <c r="AA39" s="17">
        <f>'AEO 2023 Table 47 Raw'!AD27</f>
        <v>288.09207199999997</v>
      </c>
      <c r="AB39" s="17">
        <f>'AEO 2023 Table 47 Raw'!AE27</f>
        <v>289.408478</v>
      </c>
      <c r="AC39" s="17">
        <f>'AEO 2023 Table 47 Raw'!AF27</f>
        <v>290.681061</v>
      </c>
      <c r="AD39" s="17">
        <f>'AEO 2023 Table 47 Raw'!AG27</f>
        <v>291.913025</v>
      </c>
      <c r="AE39" s="17">
        <f>'AEO 2023 Table 47 Raw'!AH27</f>
        <v>293.10772700000001</v>
      </c>
      <c r="AF39" s="30">
        <f>'AEO 2023 Table 47 Raw'!AI27</f>
        <v>7.0000000000000001E-3</v>
      </c>
    </row>
    <row r="40" spans="1:32" ht="12" customHeight="1">
      <c r="A40" s="7" t="s">
        <v>543</v>
      </c>
      <c r="B40" s="16" t="s">
        <v>544</v>
      </c>
      <c r="C40" s="17">
        <f>'AEO 2023 Table 47 Raw'!F28</f>
        <v>0</v>
      </c>
      <c r="D40" s="17">
        <f>'AEO 2023 Table 47 Raw'!G28</f>
        <v>0</v>
      </c>
      <c r="E40" s="17">
        <f>'AEO 2023 Table 47 Raw'!H28</f>
        <v>0</v>
      </c>
      <c r="F40" s="17">
        <f>'AEO 2023 Table 47 Raw'!I28</f>
        <v>0</v>
      </c>
      <c r="G40" s="17">
        <f>'AEO 2023 Table 47 Raw'!J28</f>
        <v>0</v>
      </c>
      <c r="H40" s="17">
        <f>'AEO 2023 Table 47 Raw'!K28</f>
        <v>0</v>
      </c>
      <c r="I40" s="17">
        <f>'AEO 2023 Table 47 Raw'!L28</f>
        <v>0</v>
      </c>
      <c r="J40" s="17">
        <f>'AEO 2023 Table 47 Raw'!M28</f>
        <v>0</v>
      </c>
      <c r="K40" s="17">
        <f>'AEO 2023 Table 47 Raw'!N28</f>
        <v>0</v>
      </c>
      <c r="L40" s="17">
        <f>'AEO 2023 Table 47 Raw'!O28</f>
        <v>0</v>
      </c>
      <c r="M40" s="17">
        <f>'AEO 2023 Table 47 Raw'!P28</f>
        <v>0</v>
      </c>
      <c r="N40" s="17">
        <f>'AEO 2023 Table 47 Raw'!Q28</f>
        <v>0</v>
      </c>
      <c r="O40" s="17">
        <f>'AEO 2023 Table 47 Raw'!R28</f>
        <v>0</v>
      </c>
      <c r="P40" s="17">
        <f>'AEO 2023 Table 47 Raw'!S28</f>
        <v>0</v>
      </c>
      <c r="Q40" s="17">
        <f>'AEO 2023 Table 47 Raw'!T28</f>
        <v>0</v>
      </c>
      <c r="R40" s="17">
        <f>'AEO 2023 Table 47 Raw'!U28</f>
        <v>0</v>
      </c>
      <c r="S40" s="17">
        <f>'AEO 2023 Table 47 Raw'!V28</f>
        <v>0</v>
      </c>
      <c r="T40" s="17">
        <f>'AEO 2023 Table 47 Raw'!W28</f>
        <v>0</v>
      </c>
      <c r="U40" s="17">
        <f>'AEO 2023 Table 47 Raw'!X28</f>
        <v>0</v>
      </c>
      <c r="V40" s="17">
        <f>'AEO 2023 Table 47 Raw'!Y28</f>
        <v>0</v>
      </c>
      <c r="W40" s="17">
        <f>'AEO 2023 Table 47 Raw'!Z28</f>
        <v>0</v>
      </c>
      <c r="X40" s="17">
        <f>'AEO 2023 Table 47 Raw'!AA28</f>
        <v>0</v>
      </c>
      <c r="Y40" s="17">
        <f>'AEO 2023 Table 47 Raw'!AB28</f>
        <v>0</v>
      </c>
      <c r="Z40" s="17">
        <f>'AEO 2023 Table 47 Raw'!AC28</f>
        <v>0</v>
      </c>
      <c r="AA40" s="17">
        <f>'AEO 2023 Table 47 Raw'!AD28</f>
        <v>0</v>
      </c>
      <c r="AB40" s="17">
        <f>'AEO 2023 Table 47 Raw'!AE28</f>
        <v>0</v>
      </c>
      <c r="AC40" s="17">
        <f>'AEO 2023 Table 47 Raw'!AF28</f>
        <v>0</v>
      </c>
      <c r="AD40" s="17">
        <f>'AEO 2023 Table 47 Raw'!AG28</f>
        <v>0</v>
      </c>
      <c r="AE40" s="17">
        <f>'AEO 2023 Table 47 Raw'!AH28</f>
        <v>0</v>
      </c>
      <c r="AF40" s="30">
        <f>'AEO 2023 Table 47 Raw'!AI28</f>
        <v>0</v>
      </c>
    </row>
    <row r="41" spans="1:32" ht="12" customHeight="1">
      <c r="AF41" s="33"/>
    </row>
    <row r="42" spans="1:32" ht="12" customHeight="1">
      <c r="B42" s="15" t="s">
        <v>114</v>
      </c>
      <c r="AF42" s="33"/>
    </row>
    <row r="43" spans="1:32" ht="12" customHeight="1">
      <c r="B43" s="15" t="s">
        <v>545</v>
      </c>
      <c r="AF43" s="33"/>
    </row>
    <row r="44" spans="1:32" ht="12" customHeight="1">
      <c r="B44" s="15" t="s">
        <v>546</v>
      </c>
      <c r="AF44" s="33"/>
    </row>
    <row r="45" spans="1:32" ht="12" customHeight="1">
      <c r="A45" s="7" t="s">
        <v>547</v>
      </c>
      <c r="B45" s="16" t="s">
        <v>548</v>
      </c>
      <c r="C45" s="17">
        <f>'AEO 2023 Table 47 Raw'!F32</f>
        <v>33.891998000000001</v>
      </c>
      <c r="D45" s="17">
        <f>'AEO 2023 Table 47 Raw'!G32</f>
        <v>36.630001</v>
      </c>
      <c r="E45" s="17">
        <f>'AEO 2023 Table 47 Raw'!H32</f>
        <v>37.250919000000003</v>
      </c>
      <c r="F45" s="17">
        <f>'AEO 2023 Table 47 Raw'!I32</f>
        <v>37.928448000000003</v>
      </c>
      <c r="G45" s="17">
        <f>'AEO 2023 Table 47 Raw'!J32</f>
        <v>38.582844000000001</v>
      </c>
      <c r="H45" s="17">
        <f>'AEO 2023 Table 47 Raw'!K32</f>
        <v>39.201327999999997</v>
      </c>
      <c r="I45" s="17">
        <f>'AEO 2023 Table 47 Raw'!L32</f>
        <v>39.822952000000001</v>
      </c>
      <c r="J45" s="17">
        <f>'AEO 2023 Table 47 Raw'!M32</f>
        <v>40.457236999999999</v>
      </c>
      <c r="K45" s="17">
        <f>'AEO 2023 Table 47 Raw'!N32</f>
        <v>41.099151999999997</v>
      </c>
      <c r="L45" s="17">
        <f>'AEO 2023 Table 47 Raw'!O32</f>
        <v>41.750576000000002</v>
      </c>
      <c r="M45" s="17">
        <f>'AEO 2023 Table 47 Raw'!P32</f>
        <v>42.408977999999998</v>
      </c>
      <c r="N45" s="17">
        <f>'AEO 2023 Table 47 Raw'!Q32</f>
        <v>43.071007000000002</v>
      </c>
      <c r="O45" s="17">
        <f>'AEO 2023 Table 47 Raw'!R32</f>
        <v>43.736645000000003</v>
      </c>
      <c r="P45" s="17">
        <f>'AEO 2023 Table 47 Raw'!S32</f>
        <v>44.405921999999997</v>
      </c>
      <c r="Q45" s="17">
        <f>'AEO 2023 Table 47 Raw'!T32</f>
        <v>45.078777000000002</v>
      </c>
      <c r="R45" s="17">
        <f>'AEO 2023 Table 47 Raw'!U32</f>
        <v>45.755299000000001</v>
      </c>
      <c r="S45" s="17">
        <f>'AEO 2023 Table 47 Raw'!V32</f>
        <v>46.435478000000003</v>
      </c>
      <c r="T45" s="17">
        <f>'AEO 2023 Table 47 Raw'!W32</f>
        <v>47.119484</v>
      </c>
      <c r="U45" s="17">
        <f>'AEO 2023 Table 47 Raw'!X32</f>
        <v>47.807274</v>
      </c>
      <c r="V45" s="17">
        <f>'AEO 2023 Table 47 Raw'!Y32</f>
        <v>48.498725999999998</v>
      </c>
      <c r="W45" s="17">
        <f>'AEO 2023 Table 47 Raw'!Z32</f>
        <v>49.194065000000002</v>
      </c>
      <c r="X45" s="17">
        <f>'AEO 2023 Table 47 Raw'!AA32</f>
        <v>49.893104999999998</v>
      </c>
      <c r="Y45" s="17">
        <f>'AEO 2023 Table 47 Raw'!AB32</f>
        <v>50.597079999999998</v>
      </c>
      <c r="Z45" s="17">
        <f>'AEO 2023 Table 47 Raw'!AC32</f>
        <v>51.306601999999998</v>
      </c>
      <c r="AA45" s="17">
        <f>'AEO 2023 Table 47 Raw'!AD32</f>
        <v>52.021793000000002</v>
      </c>
      <c r="AB45" s="17">
        <f>'AEO 2023 Table 47 Raw'!AE32</f>
        <v>52.742984999999997</v>
      </c>
      <c r="AC45" s="17">
        <f>'AEO 2023 Table 47 Raw'!AF32</f>
        <v>53.470382999999998</v>
      </c>
      <c r="AD45" s="17">
        <f>'AEO 2023 Table 47 Raw'!AG32</f>
        <v>54.204514000000003</v>
      </c>
      <c r="AE45" s="17">
        <f>'AEO 2023 Table 47 Raw'!AH32</f>
        <v>54.945633000000001</v>
      </c>
      <c r="AF45" s="30">
        <f>'AEO 2023 Table 47 Raw'!AI32</f>
        <v>1.7000000000000001E-2</v>
      </c>
    </row>
    <row r="46" spans="1:32" ht="12" customHeight="1">
      <c r="A46" s="7" t="s">
        <v>549</v>
      </c>
      <c r="B46" s="16" t="s">
        <v>550</v>
      </c>
      <c r="C46" s="17">
        <f>'AEO 2023 Table 47 Raw'!F33</f>
        <v>50.740718999999999</v>
      </c>
      <c r="D46" s="17">
        <f>'AEO 2023 Table 47 Raw'!G33</f>
        <v>56.534430999999998</v>
      </c>
      <c r="E46" s="17">
        <f>'AEO 2023 Table 47 Raw'!H33</f>
        <v>60.376579</v>
      </c>
      <c r="F46" s="17">
        <f>'AEO 2023 Table 47 Raw'!I33</f>
        <v>62.836734999999997</v>
      </c>
      <c r="G46" s="17">
        <f>'AEO 2023 Table 47 Raw'!J33</f>
        <v>65.337990000000005</v>
      </c>
      <c r="H46" s="17">
        <f>'AEO 2023 Table 47 Raw'!K33</f>
        <v>67.897064</v>
      </c>
      <c r="I46" s="17">
        <f>'AEO 2023 Table 47 Raw'!L33</f>
        <v>70.512161000000006</v>
      </c>
      <c r="J46" s="17">
        <f>'AEO 2023 Table 47 Raw'!M33</f>
        <v>73.204375999999996</v>
      </c>
      <c r="K46" s="17">
        <f>'AEO 2023 Table 47 Raw'!N33</f>
        <v>75.988669999999999</v>
      </c>
      <c r="L46" s="17">
        <f>'AEO 2023 Table 47 Raw'!O33</f>
        <v>78.861144999999993</v>
      </c>
      <c r="M46" s="17">
        <f>'AEO 2023 Table 47 Raw'!P33</f>
        <v>81.841094999999996</v>
      </c>
      <c r="N46" s="17">
        <f>'AEO 2023 Table 47 Raw'!Q33</f>
        <v>84.912086000000002</v>
      </c>
      <c r="O46" s="17">
        <f>'AEO 2023 Table 47 Raw'!R33</f>
        <v>88.077208999999996</v>
      </c>
      <c r="P46" s="17">
        <f>'AEO 2023 Table 47 Raw'!S33</f>
        <v>91.337661999999995</v>
      </c>
      <c r="Q46" s="17">
        <f>'AEO 2023 Table 47 Raw'!T33</f>
        <v>94.683143999999999</v>
      </c>
      <c r="R46" s="17">
        <f>'AEO 2023 Table 47 Raw'!U33</f>
        <v>98.125945999999999</v>
      </c>
      <c r="S46" s="17">
        <f>'AEO 2023 Table 47 Raw'!V33</f>
        <v>101.669319</v>
      </c>
      <c r="T46" s="17">
        <f>'AEO 2023 Table 47 Raw'!W33</f>
        <v>105.31547500000001</v>
      </c>
      <c r="U46" s="17">
        <f>'AEO 2023 Table 47 Raw'!X33</f>
        <v>109.06652099999999</v>
      </c>
      <c r="V46" s="17">
        <f>'AEO 2023 Table 47 Raw'!Y33</f>
        <v>112.89244100000001</v>
      </c>
      <c r="W46" s="17">
        <f>'AEO 2023 Table 47 Raw'!Z33</f>
        <v>116.824089</v>
      </c>
      <c r="X46" s="17">
        <f>'AEO 2023 Table 47 Raw'!AA33</f>
        <v>120.86422</v>
      </c>
      <c r="Y46" s="17">
        <f>'AEO 2023 Table 47 Raw'!AB33</f>
        <v>125.015038</v>
      </c>
      <c r="Z46" s="17">
        <f>'AEO 2023 Table 47 Raw'!AC33</f>
        <v>129.27801500000001</v>
      </c>
      <c r="AA46" s="17">
        <f>'AEO 2023 Table 47 Raw'!AD33</f>
        <v>133.62089499999999</v>
      </c>
      <c r="AB46" s="17">
        <f>'AEO 2023 Table 47 Raw'!AE33</f>
        <v>138.07399000000001</v>
      </c>
      <c r="AC46" s="17">
        <f>'AEO 2023 Table 47 Raw'!AF33</f>
        <v>142.646118</v>
      </c>
      <c r="AD46" s="17">
        <f>'AEO 2023 Table 47 Raw'!AG33</f>
        <v>147.34742700000001</v>
      </c>
      <c r="AE46" s="17">
        <f>'AEO 2023 Table 47 Raw'!AH33</f>
        <v>152.18673699999999</v>
      </c>
      <c r="AF46" s="30">
        <f>'AEO 2023 Table 47 Raw'!AI33</f>
        <v>0.04</v>
      </c>
    </row>
    <row r="47" spans="1:32" ht="12" customHeight="1">
      <c r="A47" s="7" t="s">
        <v>551</v>
      </c>
      <c r="B47" s="16" t="s">
        <v>552</v>
      </c>
      <c r="C47" s="17">
        <f>'AEO 2023 Table 47 Raw'!F34</f>
        <v>315.62841800000001</v>
      </c>
      <c r="D47" s="17">
        <f>'AEO 2023 Table 47 Raw'!G34</f>
        <v>422.74731400000002</v>
      </c>
      <c r="E47" s="17">
        <f>'AEO 2023 Table 47 Raw'!H34</f>
        <v>501.79760700000003</v>
      </c>
      <c r="F47" s="17">
        <f>'AEO 2023 Table 47 Raw'!I34</f>
        <v>547.62390100000005</v>
      </c>
      <c r="G47" s="17">
        <f>'AEO 2023 Table 47 Raw'!J34</f>
        <v>567.10003700000004</v>
      </c>
      <c r="H47" s="17">
        <f>'AEO 2023 Table 47 Raw'!K34</f>
        <v>580.01007100000004</v>
      </c>
      <c r="I47" s="17">
        <f>'AEO 2023 Table 47 Raw'!L34</f>
        <v>593.03802499999995</v>
      </c>
      <c r="J47" s="17">
        <f>'AEO 2023 Table 47 Raw'!M34</f>
        <v>606.25683600000002</v>
      </c>
      <c r="K47" s="17">
        <f>'AEO 2023 Table 47 Raw'!N34</f>
        <v>619.70391800000004</v>
      </c>
      <c r="L47" s="17">
        <f>'AEO 2023 Table 47 Raw'!O34</f>
        <v>633.394226</v>
      </c>
      <c r="M47" s="17">
        <f>'AEO 2023 Table 47 Raw'!P34</f>
        <v>647.34759499999996</v>
      </c>
      <c r="N47" s="17">
        <f>'AEO 2023 Table 47 Raw'!Q34</f>
        <v>661.58007799999996</v>
      </c>
      <c r="O47" s="17">
        <f>'AEO 2023 Table 47 Raw'!R34</f>
        <v>676.07147199999997</v>
      </c>
      <c r="P47" s="17">
        <f>'AEO 2023 Table 47 Raw'!S34</f>
        <v>690.78887899999995</v>
      </c>
      <c r="Q47" s="17">
        <f>'AEO 2023 Table 47 Raw'!T34</f>
        <v>705.776794</v>
      </c>
      <c r="R47" s="17">
        <f>'AEO 2023 Table 47 Raw'!U34</f>
        <v>721.07025099999998</v>
      </c>
      <c r="S47" s="17">
        <f>'AEO 2023 Table 47 Raw'!V34</f>
        <v>736.65130599999998</v>
      </c>
      <c r="T47" s="17">
        <f>'AEO 2023 Table 47 Raw'!W34</f>
        <v>752.51965299999995</v>
      </c>
      <c r="U47" s="17">
        <f>'AEO 2023 Table 47 Raw'!X34</f>
        <v>768.69628899999998</v>
      </c>
      <c r="V47" s="17">
        <f>'AEO 2023 Table 47 Raw'!Y34</f>
        <v>785.15838599999995</v>
      </c>
      <c r="W47" s="17">
        <f>'AEO 2023 Table 47 Raw'!Z34</f>
        <v>801.90203899999995</v>
      </c>
      <c r="X47" s="17">
        <f>'AEO 2023 Table 47 Raw'!AA34</f>
        <v>818.92358400000001</v>
      </c>
      <c r="Y47" s="17">
        <f>'AEO 2023 Table 47 Raw'!AB34</f>
        <v>836.21734600000002</v>
      </c>
      <c r="Z47" s="17">
        <f>'AEO 2023 Table 47 Raw'!AC34</f>
        <v>853.78289800000005</v>
      </c>
      <c r="AA47" s="17">
        <f>'AEO 2023 Table 47 Raw'!AD34</f>
        <v>871.62298599999997</v>
      </c>
      <c r="AB47" s="17">
        <f>'AEO 2023 Table 47 Raw'!AE34</f>
        <v>889.74096699999996</v>
      </c>
      <c r="AC47" s="17">
        <f>'AEO 2023 Table 47 Raw'!AF34</f>
        <v>908.15856900000006</v>
      </c>
      <c r="AD47" s="17">
        <f>'AEO 2023 Table 47 Raw'!AG34</f>
        <v>926.90478499999995</v>
      </c>
      <c r="AE47" s="17">
        <f>'AEO 2023 Table 47 Raw'!AH34</f>
        <v>945.99829099999999</v>
      </c>
      <c r="AF47" s="30">
        <f>'AEO 2023 Table 47 Raw'!AI34</f>
        <v>0.04</v>
      </c>
    </row>
    <row r="48" spans="1:32" ht="12" customHeight="1">
      <c r="A48" s="7" t="s">
        <v>553</v>
      </c>
      <c r="B48" s="16" t="s">
        <v>554</v>
      </c>
      <c r="C48" s="17">
        <f>'AEO 2023 Table 47 Raw'!F35</f>
        <v>26.969999000000001</v>
      </c>
      <c r="D48" s="17">
        <f>'AEO 2023 Table 47 Raw'!G35</f>
        <v>47.43</v>
      </c>
      <c r="E48" s="17">
        <f>'AEO 2023 Table 47 Raw'!H35</f>
        <v>59.271999000000001</v>
      </c>
      <c r="F48" s="17">
        <f>'AEO 2023 Table 47 Raw'!I35</f>
        <v>61.380001</v>
      </c>
      <c r="G48" s="17">
        <f>'AEO 2023 Table 47 Raw'!J35</f>
        <v>61.920161999999998</v>
      </c>
      <c r="H48" s="17">
        <f>'AEO 2023 Table 47 Raw'!K35</f>
        <v>62.41534</v>
      </c>
      <c r="I48" s="17">
        <f>'AEO 2023 Table 47 Raw'!L35</f>
        <v>62.870857000000001</v>
      </c>
      <c r="J48" s="17">
        <f>'AEO 2023 Table 47 Raw'!M35</f>
        <v>63.294476000000003</v>
      </c>
      <c r="K48" s="17">
        <f>'AEO 2023 Table 47 Raw'!N35</f>
        <v>63.689357999999999</v>
      </c>
      <c r="L48" s="17">
        <f>'AEO 2023 Table 47 Raw'!O35</f>
        <v>64.061240999999995</v>
      </c>
      <c r="M48" s="17">
        <f>'AEO 2023 Table 47 Raw'!P35</f>
        <v>64.419899000000001</v>
      </c>
      <c r="N48" s="17">
        <f>'AEO 2023 Table 47 Raw'!Q35</f>
        <v>64.773528999999996</v>
      </c>
      <c r="O48" s="17">
        <f>'AEO 2023 Table 47 Raw'!R35</f>
        <v>65.123833000000005</v>
      </c>
      <c r="P48" s="17">
        <f>'AEO 2023 Table 47 Raw'!S35</f>
        <v>65.470909000000006</v>
      </c>
      <c r="Q48" s="17">
        <f>'AEO 2023 Table 47 Raw'!T35</f>
        <v>65.814910999999995</v>
      </c>
      <c r="R48" s="17">
        <f>'AEO 2023 Table 47 Raw'!U35</f>
        <v>66.156433000000007</v>
      </c>
      <c r="S48" s="17">
        <f>'AEO 2023 Table 47 Raw'!V35</f>
        <v>66.495697000000007</v>
      </c>
      <c r="T48" s="17">
        <f>'AEO 2023 Table 47 Raw'!W35</f>
        <v>66.832970000000003</v>
      </c>
      <c r="U48" s="17">
        <f>'AEO 2023 Table 47 Raw'!X35</f>
        <v>67.168334999999999</v>
      </c>
      <c r="V48" s="17">
        <f>'AEO 2023 Table 47 Raw'!Y35</f>
        <v>67.502707999999998</v>
      </c>
      <c r="W48" s="17">
        <f>'AEO 2023 Table 47 Raw'!Z35</f>
        <v>67.836005999999998</v>
      </c>
      <c r="X48" s="17">
        <f>'AEO 2023 Table 47 Raw'!AA35</f>
        <v>68.168655000000001</v>
      </c>
      <c r="Y48" s="17">
        <f>'AEO 2023 Table 47 Raw'!AB35</f>
        <v>68.502373000000006</v>
      </c>
      <c r="Z48" s="17">
        <f>'AEO 2023 Table 47 Raw'!AC35</f>
        <v>68.839500000000001</v>
      </c>
      <c r="AA48" s="17">
        <f>'AEO 2023 Table 47 Raw'!AD35</f>
        <v>69.182654999999997</v>
      </c>
      <c r="AB48" s="17">
        <f>'AEO 2023 Table 47 Raw'!AE35</f>
        <v>69.532364000000001</v>
      </c>
      <c r="AC48" s="17">
        <f>'AEO 2023 Table 47 Raw'!AF35</f>
        <v>69.888549999999995</v>
      </c>
      <c r="AD48" s="17">
        <f>'AEO 2023 Table 47 Raw'!AG35</f>
        <v>70.251152000000005</v>
      </c>
      <c r="AE48" s="17">
        <f>'AEO 2023 Table 47 Raw'!AH35</f>
        <v>70.620002999999997</v>
      </c>
      <c r="AF48" s="30">
        <f>'AEO 2023 Table 47 Raw'!AI35</f>
        <v>3.5000000000000003E-2</v>
      </c>
    </row>
    <row r="49" spans="1:32" ht="12" customHeight="1">
      <c r="A49" s="7" t="s">
        <v>555</v>
      </c>
      <c r="B49" s="16" t="s">
        <v>556</v>
      </c>
      <c r="C49" s="17">
        <f>'AEO 2023 Table 47 Raw'!F36</f>
        <v>32.485492999999998</v>
      </c>
      <c r="D49" s="17">
        <f>'AEO 2023 Table 47 Raw'!G36</f>
        <v>45.917563999999999</v>
      </c>
      <c r="E49" s="17">
        <f>'AEO 2023 Table 47 Raw'!H36</f>
        <v>54.438347</v>
      </c>
      <c r="F49" s="17">
        <f>'AEO 2023 Table 47 Raw'!I36</f>
        <v>58.580399</v>
      </c>
      <c r="G49" s="17">
        <f>'AEO 2023 Table 47 Raw'!J36</f>
        <v>60.373111999999999</v>
      </c>
      <c r="H49" s="17">
        <f>'AEO 2023 Table 47 Raw'!K36</f>
        <v>62.175818999999997</v>
      </c>
      <c r="I49" s="17">
        <f>'AEO 2023 Table 47 Raw'!L36</f>
        <v>63.987071999999998</v>
      </c>
      <c r="J49" s="17">
        <f>'AEO 2023 Table 47 Raw'!M36</f>
        <v>65.816010000000006</v>
      </c>
      <c r="K49" s="17">
        <f>'AEO 2023 Table 47 Raw'!N36</f>
        <v>67.672150000000002</v>
      </c>
      <c r="L49" s="17">
        <f>'AEO 2023 Table 47 Raw'!O36</f>
        <v>69.540038999999993</v>
      </c>
      <c r="M49" s="17">
        <f>'AEO 2023 Table 47 Raw'!P36</f>
        <v>71.392394999999993</v>
      </c>
      <c r="N49" s="17">
        <f>'AEO 2023 Table 47 Raw'!Q36</f>
        <v>73.242050000000006</v>
      </c>
      <c r="O49" s="17">
        <f>'AEO 2023 Table 47 Raw'!R36</f>
        <v>75.092895999999996</v>
      </c>
      <c r="P49" s="17">
        <f>'AEO 2023 Table 47 Raw'!S36</f>
        <v>76.872742000000002</v>
      </c>
      <c r="Q49" s="17">
        <f>'AEO 2023 Table 47 Raw'!T36</f>
        <v>78.633728000000005</v>
      </c>
      <c r="R49" s="17">
        <f>'AEO 2023 Table 47 Raw'!U36</f>
        <v>80.435424999999995</v>
      </c>
      <c r="S49" s="17">
        <f>'AEO 2023 Table 47 Raw'!V36</f>
        <v>82.260277000000002</v>
      </c>
      <c r="T49" s="17">
        <f>'AEO 2023 Table 47 Raw'!W36</f>
        <v>84.062126000000006</v>
      </c>
      <c r="U49" s="17">
        <f>'AEO 2023 Table 47 Raw'!X36</f>
        <v>85.845725999999999</v>
      </c>
      <c r="V49" s="17">
        <f>'AEO 2023 Table 47 Raw'!Y36</f>
        <v>87.640495000000001</v>
      </c>
      <c r="W49" s="17">
        <f>'AEO 2023 Table 47 Raw'!Z36</f>
        <v>89.452477000000002</v>
      </c>
      <c r="X49" s="17">
        <f>'AEO 2023 Table 47 Raw'!AA36</f>
        <v>91.281104999999997</v>
      </c>
      <c r="Y49" s="17">
        <f>'AEO 2023 Table 47 Raw'!AB36</f>
        <v>93.125473</v>
      </c>
      <c r="Z49" s="17">
        <f>'AEO 2023 Table 47 Raw'!AC36</f>
        <v>94.983176999999998</v>
      </c>
      <c r="AA49" s="17">
        <f>'AEO 2023 Table 47 Raw'!AD36</f>
        <v>96.849968000000004</v>
      </c>
      <c r="AB49" s="17">
        <f>'AEO 2023 Table 47 Raw'!AE36</f>
        <v>98.726249999999993</v>
      </c>
      <c r="AC49" s="17">
        <f>'AEO 2023 Table 47 Raw'!AF36</f>
        <v>100.62426000000001</v>
      </c>
      <c r="AD49" s="17">
        <f>'AEO 2023 Table 47 Raw'!AG36</f>
        <v>102.54549400000001</v>
      </c>
      <c r="AE49" s="17">
        <f>'AEO 2023 Table 47 Raw'!AH36</f>
        <v>104.48915100000001</v>
      </c>
      <c r="AF49" s="30">
        <f>'AEO 2023 Table 47 Raw'!AI36</f>
        <v>4.2999999999999997E-2</v>
      </c>
    </row>
    <row r="50" spans="1:32" ht="15" customHeight="1">
      <c r="A50" s="7" t="s">
        <v>557</v>
      </c>
      <c r="B50" s="16" t="s">
        <v>558</v>
      </c>
      <c r="C50" s="17">
        <f>'AEO 2023 Table 47 Raw'!F37</f>
        <v>7.1724589999999999</v>
      </c>
      <c r="D50" s="17">
        <f>'AEO 2023 Table 47 Raw'!G37</f>
        <v>8.457884</v>
      </c>
      <c r="E50" s="17">
        <f>'AEO 2023 Table 47 Raw'!H37</f>
        <v>9.5488759999999999</v>
      </c>
      <c r="F50" s="17">
        <f>'AEO 2023 Table 47 Raw'!I37</f>
        <v>10.326612000000001</v>
      </c>
      <c r="G50" s="17">
        <f>'AEO 2023 Table 47 Raw'!J37</f>
        <v>10.693877000000001</v>
      </c>
      <c r="H50" s="17">
        <f>'AEO 2023 Table 47 Raw'!K37</f>
        <v>10.870692</v>
      </c>
      <c r="I50" s="17">
        <f>'AEO 2023 Table 47 Raw'!L37</f>
        <v>11.037345</v>
      </c>
      <c r="J50" s="17">
        <f>'AEO 2023 Table 47 Raw'!M37</f>
        <v>11.193871</v>
      </c>
      <c r="K50" s="17">
        <f>'AEO 2023 Table 47 Raw'!N37</f>
        <v>11.34094</v>
      </c>
      <c r="L50" s="17">
        <f>'AEO 2023 Table 47 Raw'!O37</f>
        <v>11.454879</v>
      </c>
      <c r="M50" s="17">
        <f>'AEO 2023 Table 47 Raw'!P37</f>
        <v>11.523292</v>
      </c>
      <c r="N50" s="17">
        <f>'AEO 2023 Table 47 Raw'!Q37</f>
        <v>11.581455</v>
      </c>
      <c r="O50" s="17">
        <f>'AEO 2023 Table 47 Raw'!R37</f>
        <v>11.636729000000001</v>
      </c>
      <c r="P50" s="17">
        <f>'AEO 2023 Table 47 Raw'!S37</f>
        <v>11.687825999999999</v>
      </c>
      <c r="Q50" s="17">
        <f>'AEO 2023 Table 47 Raw'!T37</f>
        <v>11.736679000000001</v>
      </c>
      <c r="R50" s="17">
        <f>'AEO 2023 Table 47 Raw'!U37</f>
        <v>11.776113</v>
      </c>
      <c r="S50" s="17">
        <f>'AEO 2023 Table 47 Raw'!V37</f>
        <v>11.806799</v>
      </c>
      <c r="T50" s="17">
        <f>'AEO 2023 Table 47 Raw'!W37</f>
        <v>11.835800000000001</v>
      </c>
      <c r="U50" s="17">
        <f>'AEO 2023 Table 47 Raw'!X37</f>
        <v>11.867737999999999</v>
      </c>
      <c r="V50" s="17">
        <f>'AEO 2023 Table 47 Raw'!Y37</f>
        <v>11.907171999999999</v>
      </c>
      <c r="W50" s="17">
        <f>'AEO 2023 Table 47 Raw'!Z37</f>
        <v>11.952139000000001</v>
      </c>
      <c r="X50" s="17">
        <f>'AEO 2023 Table 47 Raw'!AA37</f>
        <v>11.998142</v>
      </c>
      <c r="Y50" s="17">
        <f>'AEO 2023 Table 47 Raw'!AB37</f>
        <v>12.043982</v>
      </c>
      <c r="Z50" s="17">
        <f>'AEO 2023 Table 47 Raw'!AC37</f>
        <v>12.087415</v>
      </c>
      <c r="AA50" s="17">
        <f>'AEO 2023 Table 47 Raw'!AD37</f>
        <v>12.125690000000001</v>
      </c>
      <c r="AB50" s="17">
        <f>'AEO 2023 Table 47 Raw'!AE37</f>
        <v>12.1586</v>
      </c>
      <c r="AC50" s="17">
        <f>'AEO 2023 Table 47 Raw'!AF37</f>
        <v>12.189465</v>
      </c>
      <c r="AD50" s="17">
        <f>'AEO 2023 Table 47 Raw'!AG37</f>
        <v>12.221159999999999</v>
      </c>
      <c r="AE50" s="17">
        <f>'AEO 2023 Table 47 Raw'!AH37</f>
        <v>12.255587</v>
      </c>
      <c r="AF50" s="30">
        <f>'AEO 2023 Table 47 Raw'!AI37</f>
        <v>1.9E-2</v>
      </c>
    </row>
    <row r="51" spans="1:32" ht="15" customHeight="1">
      <c r="A51" s="7" t="s">
        <v>559</v>
      </c>
      <c r="B51" s="16" t="s">
        <v>560</v>
      </c>
      <c r="C51" s="17">
        <f>'AEO 2023 Table 47 Raw'!F38</f>
        <v>96.943595999999999</v>
      </c>
      <c r="D51" s="17">
        <f>'AEO 2023 Table 47 Raw'!G38</f>
        <v>96.375838999999999</v>
      </c>
      <c r="E51" s="17">
        <f>'AEO 2023 Table 47 Raw'!H38</f>
        <v>98.188980000000001</v>
      </c>
      <c r="F51" s="17">
        <f>'AEO 2023 Table 47 Raw'!I38</f>
        <v>99.832595999999995</v>
      </c>
      <c r="G51" s="17">
        <f>'AEO 2023 Table 47 Raw'!J38</f>
        <v>101.372215</v>
      </c>
      <c r="H51" s="17">
        <f>'AEO 2023 Table 47 Raw'!K38</f>
        <v>102.851097</v>
      </c>
      <c r="I51" s="17">
        <f>'AEO 2023 Table 47 Raw'!L38</f>
        <v>104.335266</v>
      </c>
      <c r="J51" s="17">
        <f>'AEO 2023 Table 47 Raw'!M38</f>
        <v>105.832863</v>
      </c>
      <c r="K51" s="17">
        <f>'AEO 2023 Table 47 Raw'!N38</f>
        <v>107.348007</v>
      </c>
      <c r="L51" s="17">
        <f>'AEO 2023 Table 47 Raw'!O38</f>
        <v>108.917366</v>
      </c>
      <c r="M51" s="17">
        <f>'AEO 2023 Table 47 Raw'!P38</f>
        <v>110.521828</v>
      </c>
      <c r="N51" s="17">
        <f>'AEO 2023 Table 47 Raw'!Q38</f>
        <v>112.14489</v>
      </c>
      <c r="O51" s="17">
        <f>'AEO 2023 Table 47 Raw'!R38</f>
        <v>113.791878</v>
      </c>
      <c r="P51" s="17">
        <f>'AEO 2023 Table 47 Raw'!S38</f>
        <v>115.46772</v>
      </c>
      <c r="Q51" s="17">
        <f>'AEO 2023 Table 47 Raw'!T38</f>
        <v>117.171211</v>
      </c>
      <c r="R51" s="17">
        <f>'AEO 2023 Table 47 Raw'!U38</f>
        <v>118.89960499999999</v>
      </c>
      <c r="S51" s="17">
        <f>'AEO 2023 Table 47 Raw'!V38</f>
        <v>120.656273</v>
      </c>
      <c r="T51" s="17">
        <f>'AEO 2023 Table 47 Raw'!W38</f>
        <v>122.44444300000001</v>
      </c>
      <c r="U51" s="17">
        <f>'AEO 2023 Table 47 Raw'!X38</f>
        <v>124.26765399999999</v>
      </c>
      <c r="V51" s="17">
        <f>'AEO 2023 Table 47 Raw'!Y38</f>
        <v>126.12685399999999</v>
      </c>
      <c r="W51" s="17">
        <f>'AEO 2023 Table 47 Raw'!Z38</f>
        <v>128.02136200000001</v>
      </c>
      <c r="X51" s="17">
        <f>'AEO 2023 Table 47 Raw'!AA38</f>
        <v>129.95013399999999</v>
      </c>
      <c r="Y51" s="17">
        <f>'AEO 2023 Table 47 Raw'!AB38</f>
        <v>131.91334499999999</v>
      </c>
      <c r="Z51" s="17">
        <f>'AEO 2023 Table 47 Raw'!AC38</f>
        <v>133.910202</v>
      </c>
      <c r="AA51" s="17">
        <f>'AEO 2023 Table 47 Raw'!AD38</f>
        <v>135.94387800000001</v>
      </c>
      <c r="AB51" s="17">
        <f>'AEO 2023 Table 47 Raw'!AE38</f>
        <v>138.014771</v>
      </c>
      <c r="AC51" s="17">
        <f>'AEO 2023 Table 47 Raw'!AF38</f>
        <v>140.12088</v>
      </c>
      <c r="AD51" s="17">
        <f>'AEO 2023 Table 47 Raw'!AG38</f>
        <v>142.26033000000001</v>
      </c>
      <c r="AE51" s="17">
        <f>'AEO 2023 Table 47 Raw'!AH38</f>
        <v>144.430115</v>
      </c>
      <c r="AF51" s="30">
        <f>'AEO 2023 Table 47 Raw'!AI38</f>
        <v>1.4E-2</v>
      </c>
    </row>
    <row r="52" spans="1:32" ht="15" customHeight="1">
      <c r="A52" s="7" t="s">
        <v>561</v>
      </c>
      <c r="B52" s="16" t="s">
        <v>562</v>
      </c>
      <c r="C52" s="17">
        <f>'AEO 2023 Table 47 Raw'!F39</f>
        <v>5.5833570000000003</v>
      </c>
      <c r="D52" s="17">
        <f>'AEO 2023 Table 47 Raw'!G39</f>
        <v>6.899108</v>
      </c>
      <c r="E52" s="17">
        <f>'AEO 2023 Table 47 Raw'!H39</f>
        <v>8.7525999999999993</v>
      </c>
      <c r="F52" s="17">
        <f>'AEO 2023 Table 47 Raw'!I39</f>
        <v>10.320059000000001</v>
      </c>
      <c r="G52" s="17">
        <f>'AEO 2023 Table 47 Raw'!J39</f>
        <v>11.326893999999999</v>
      </c>
      <c r="H52" s="17">
        <f>'AEO 2023 Table 47 Raw'!K39</f>
        <v>11.649971000000001</v>
      </c>
      <c r="I52" s="17">
        <f>'AEO 2023 Table 47 Raw'!L39</f>
        <v>11.976704</v>
      </c>
      <c r="J52" s="17">
        <f>'AEO 2023 Table 47 Raw'!M39</f>
        <v>12.309505</v>
      </c>
      <c r="K52" s="17">
        <f>'AEO 2023 Table 47 Raw'!N39</f>
        <v>12.650805999999999</v>
      </c>
      <c r="L52" s="17">
        <f>'AEO 2023 Table 47 Raw'!O39</f>
        <v>13.010585000000001</v>
      </c>
      <c r="M52" s="17">
        <f>'AEO 2023 Table 47 Raw'!P39</f>
        <v>13.382293000000001</v>
      </c>
      <c r="N52" s="17">
        <f>'AEO 2023 Table 47 Raw'!Q39</f>
        <v>13.763350000000001</v>
      </c>
      <c r="O52" s="17">
        <f>'AEO 2023 Table 47 Raw'!R39</f>
        <v>14.154275999999999</v>
      </c>
      <c r="P52" s="17">
        <f>'AEO 2023 Table 47 Raw'!S39</f>
        <v>14.556096999999999</v>
      </c>
      <c r="Q52" s="17">
        <f>'AEO 2023 Table 47 Raw'!T39</f>
        <v>14.956531</v>
      </c>
      <c r="R52" s="17">
        <f>'AEO 2023 Table 47 Raw'!U39</f>
        <v>15.366565</v>
      </c>
      <c r="S52" s="17">
        <f>'AEO 2023 Table 47 Raw'!V39</f>
        <v>15.786690999999999</v>
      </c>
      <c r="T52" s="17">
        <f>'AEO 2023 Table 47 Raw'!W39</f>
        <v>16.216818</v>
      </c>
      <c r="U52" s="17">
        <f>'AEO 2023 Table 47 Raw'!X39</f>
        <v>16.657633000000001</v>
      </c>
      <c r="V52" s="17">
        <f>'AEO 2023 Table 47 Raw'!Y39</f>
        <v>17.097104999999999</v>
      </c>
      <c r="W52" s="17">
        <f>'AEO 2023 Table 47 Raw'!Z39</f>
        <v>17.546858</v>
      </c>
      <c r="X52" s="17">
        <f>'AEO 2023 Table 47 Raw'!AA39</f>
        <v>18.007286000000001</v>
      </c>
      <c r="Y52" s="17">
        <f>'AEO 2023 Table 47 Raw'!AB39</f>
        <v>18.478339999999999</v>
      </c>
      <c r="Z52" s="17">
        <f>'AEO 2023 Table 47 Raw'!AC39</f>
        <v>18.960153999999999</v>
      </c>
      <c r="AA52" s="17">
        <f>'AEO 2023 Table 47 Raw'!AD39</f>
        <v>19.440370999999999</v>
      </c>
      <c r="AB52" s="17">
        <f>'AEO 2023 Table 47 Raw'!AE39</f>
        <v>19.930873999999999</v>
      </c>
      <c r="AC52" s="17">
        <f>'AEO 2023 Table 47 Raw'!AF39</f>
        <v>20.432293000000001</v>
      </c>
      <c r="AD52" s="17">
        <f>'AEO 2023 Table 47 Raw'!AG39</f>
        <v>20.944868</v>
      </c>
      <c r="AE52" s="17">
        <f>'AEO 2023 Table 47 Raw'!AH39</f>
        <v>21.468855000000001</v>
      </c>
      <c r="AF52" s="30">
        <f>'AEO 2023 Table 47 Raw'!AI39</f>
        <v>4.9000000000000002E-2</v>
      </c>
    </row>
    <row r="53" spans="1:32" ht="15" customHeight="1">
      <c r="A53" s="7" t="s">
        <v>563</v>
      </c>
      <c r="B53" s="16" t="s">
        <v>564</v>
      </c>
      <c r="C53" s="17">
        <f>'AEO 2023 Table 47 Raw'!F40</f>
        <v>445.94699100000003</v>
      </c>
      <c r="D53" s="17">
        <f>'AEO 2023 Table 47 Raw'!G40</f>
        <v>487.20901500000002</v>
      </c>
      <c r="E53" s="17">
        <f>'AEO 2023 Table 47 Raw'!H40</f>
        <v>523.71002199999998</v>
      </c>
      <c r="F53" s="17">
        <f>'AEO 2023 Table 47 Raw'!I40</f>
        <v>560.38824499999998</v>
      </c>
      <c r="G53" s="17">
        <f>'AEO 2023 Table 47 Raw'!J40</f>
        <v>597.47442599999999</v>
      </c>
      <c r="H53" s="17">
        <f>'AEO 2023 Table 47 Raw'!K40</f>
        <v>634.90472399999999</v>
      </c>
      <c r="I53" s="17">
        <f>'AEO 2023 Table 47 Raw'!L40</f>
        <v>672.73303199999998</v>
      </c>
      <c r="J53" s="17">
        <f>'AEO 2023 Table 47 Raw'!M40</f>
        <v>710.81597899999997</v>
      </c>
      <c r="K53" s="17">
        <f>'AEO 2023 Table 47 Raw'!N40</f>
        <v>748.88952600000005</v>
      </c>
      <c r="L53" s="17">
        <f>'AEO 2023 Table 47 Raw'!O40</f>
        <v>787.29797399999995</v>
      </c>
      <c r="M53" s="17">
        <f>'AEO 2023 Table 47 Raw'!P40</f>
        <v>826.023865</v>
      </c>
      <c r="N53" s="17">
        <f>'AEO 2023 Table 47 Raw'!Q40</f>
        <v>864.93164100000001</v>
      </c>
      <c r="O53" s="17">
        <f>'AEO 2023 Table 47 Raw'!R40</f>
        <v>904.114868</v>
      </c>
      <c r="P53" s="17">
        <f>'AEO 2023 Table 47 Raw'!S40</f>
        <v>943.79315199999996</v>
      </c>
      <c r="Q53" s="17">
        <f>'AEO 2023 Table 47 Raw'!T40</f>
        <v>983.87207000000001</v>
      </c>
      <c r="R53" s="17">
        <f>'AEO 2023 Table 47 Raw'!U40</f>
        <v>1024.044312</v>
      </c>
      <c r="S53" s="17">
        <f>'AEO 2023 Table 47 Raw'!V40</f>
        <v>1064.332764</v>
      </c>
      <c r="T53" s="17">
        <f>'AEO 2023 Table 47 Raw'!W40</f>
        <v>1104.986206</v>
      </c>
      <c r="U53" s="17">
        <f>'AEO 2023 Table 47 Raw'!X40</f>
        <v>1146.439697</v>
      </c>
      <c r="V53" s="17">
        <f>'AEO 2023 Table 47 Raw'!Y40</f>
        <v>1189.1207280000001</v>
      </c>
      <c r="W53" s="17">
        <f>'AEO 2023 Table 47 Raw'!Z40</f>
        <v>1232.996216</v>
      </c>
      <c r="X53" s="17">
        <f>'AEO 2023 Table 47 Raw'!AA40</f>
        <v>1277.6727289999999</v>
      </c>
      <c r="Y53" s="17">
        <f>'AEO 2023 Table 47 Raw'!AB40</f>
        <v>1322.664673</v>
      </c>
      <c r="Z53" s="17">
        <f>'AEO 2023 Table 47 Raw'!AC40</f>
        <v>1367.44165</v>
      </c>
      <c r="AA53" s="17">
        <f>'AEO 2023 Table 47 Raw'!AD40</f>
        <v>1411.900024</v>
      </c>
      <c r="AB53" s="17">
        <f>'AEO 2023 Table 47 Raw'!AE40</f>
        <v>1456.2844239999999</v>
      </c>
      <c r="AC53" s="17">
        <f>'AEO 2023 Table 47 Raw'!AF40</f>
        <v>1500.4047849999999</v>
      </c>
      <c r="AD53" s="17">
        <f>'AEO 2023 Table 47 Raw'!AG40</f>
        <v>1543.762573</v>
      </c>
      <c r="AE53" s="17">
        <f>'AEO 2023 Table 47 Raw'!AH40</f>
        <v>1585.8328859999999</v>
      </c>
      <c r="AF53" s="30">
        <f>'AEO 2023 Table 47 Raw'!AI40</f>
        <v>4.5999999999999999E-2</v>
      </c>
    </row>
    <row r="54" spans="1:32" ht="15" customHeight="1">
      <c r="A54" s="7" t="s">
        <v>565</v>
      </c>
      <c r="B54" s="16" t="s">
        <v>566</v>
      </c>
      <c r="C54" s="17">
        <f>'AEO 2023 Table 47 Raw'!F41</f>
        <v>64.328002999999995</v>
      </c>
      <c r="D54" s="17">
        <f>'AEO 2023 Table 47 Raw'!G41</f>
        <v>75.594002000000003</v>
      </c>
      <c r="E54" s="17">
        <f>'AEO 2023 Table 47 Raw'!H41</f>
        <v>81.957999999999998</v>
      </c>
      <c r="F54" s="17">
        <f>'AEO 2023 Table 47 Raw'!I41</f>
        <v>85.139999000000003</v>
      </c>
      <c r="G54" s="17">
        <f>'AEO 2023 Table 47 Raw'!J41</f>
        <v>93.982192999999995</v>
      </c>
      <c r="H54" s="17">
        <f>'AEO 2023 Table 47 Raw'!K41</f>
        <v>103.36318199999999</v>
      </c>
      <c r="I54" s="17">
        <f>'AEO 2023 Table 47 Raw'!L41</f>
        <v>113.16532100000001</v>
      </c>
      <c r="J54" s="17">
        <f>'AEO 2023 Table 47 Raw'!M41</f>
        <v>123.31379699999999</v>
      </c>
      <c r="K54" s="17">
        <f>'AEO 2023 Table 47 Raw'!N41</f>
        <v>133.73538199999999</v>
      </c>
      <c r="L54" s="17">
        <f>'AEO 2023 Table 47 Raw'!O41</f>
        <v>144.346588</v>
      </c>
      <c r="M54" s="17">
        <f>'AEO 2023 Table 47 Raw'!P41</f>
        <v>155.08763099999999</v>
      </c>
      <c r="N54" s="17">
        <f>'AEO 2023 Table 47 Raw'!Q41</f>
        <v>165.88197299999999</v>
      </c>
      <c r="O54" s="17">
        <f>'AEO 2023 Table 47 Raw'!R41</f>
        <v>176.64450099999999</v>
      </c>
      <c r="P54" s="17">
        <f>'AEO 2023 Table 47 Raw'!S41</f>
        <v>187.40939299999999</v>
      </c>
      <c r="Q54" s="17">
        <f>'AEO 2023 Table 47 Raw'!T41</f>
        <v>198.268677</v>
      </c>
      <c r="R54" s="17">
        <f>'AEO 2023 Table 47 Raw'!U41</f>
        <v>209.41423</v>
      </c>
      <c r="S54" s="17">
        <f>'AEO 2023 Table 47 Raw'!V41</f>
        <v>220.845947</v>
      </c>
      <c r="T54" s="17">
        <f>'AEO 2023 Table 47 Raw'!W41</f>
        <v>232.543701</v>
      </c>
      <c r="U54" s="17">
        <f>'AEO 2023 Table 47 Raw'!X41</f>
        <v>244.48284899999999</v>
      </c>
      <c r="V54" s="17">
        <f>'AEO 2023 Table 47 Raw'!Y41</f>
        <v>256.64562999999998</v>
      </c>
      <c r="W54" s="17">
        <f>'AEO 2023 Table 47 Raw'!Z41</f>
        <v>269.010651</v>
      </c>
      <c r="X54" s="17">
        <f>'AEO 2023 Table 47 Raw'!AA41</f>
        <v>281.56417800000003</v>
      </c>
      <c r="Y54" s="17">
        <f>'AEO 2023 Table 47 Raw'!AB41</f>
        <v>294.26825000000002</v>
      </c>
      <c r="Z54" s="17">
        <f>'AEO 2023 Table 47 Raw'!AC41</f>
        <v>307.09204099999999</v>
      </c>
      <c r="AA54" s="17">
        <f>'AEO 2023 Table 47 Raw'!AD41</f>
        <v>320.00271600000002</v>
      </c>
      <c r="AB54" s="17">
        <f>'AEO 2023 Table 47 Raw'!AE41</f>
        <v>332.96649200000002</v>
      </c>
      <c r="AC54" s="17">
        <f>'AEO 2023 Table 47 Raw'!AF41</f>
        <v>345.94287100000003</v>
      </c>
      <c r="AD54" s="17">
        <f>'AEO 2023 Table 47 Raw'!AG41</f>
        <v>358.890961</v>
      </c>
      <c r="AE54" s="17">
        <f>'AEO 2023 Table 47 Raw'!AH41</f>
        <v>371.77322400000003</v>
      </c>
      <c r="AF54" s="30">
        <f>'AEO 2023 Table 47 Raw'!AI41</f>
        <v>6.5000000000000002E-2</v>
      </c>
    </row>
    <row r="55" spans="1:32" ht="15" customHeight="1">
      <c r="A55" s="7" t="s">
        <v>567</v>
      </c>
      <c r="B55" s="16" t="s">
        <v>568</v>
      </c>
      <c r="C55" s="17">
        <f>'AEO 2023 Table 47 Raw'!F42</f>
        <v>121.340279</v>
      </c>
      <c r="D55" s="17">
        <f>'AEO 2023 Table 47 Raw'!G42</f>
        <v>154.57797199999999</v>
      </c>
      <c r="E55" s="17">
        <f>'AEO 2023 Table 47 Raw'!H42</f>
        <v>184.62844799999999</v>
      </c>
      <c r="F55" s="17">
        <f>'AEO 2023 Table 47 Raw'!I42</f>
        <v>208.98757900000001</v>
      </c>
      <c r="G55" s="17">
        <f>'AEO 2023 Table 47 Raw'!J42</f>
        <v>225.37876900000001</v>
      </c>
      <c r="H55" s="17">
        <f>'AEO 2023 Table 47 Raw'!K42</f>
        <v>238.34477200000001</v>
      </c>
      <c r="I55" s="17">
        <f>'AEO 2023 Table 47 Raw'!L42</f>
        <v>251.587997</v>
      </c>
      <c r="J55" s="17">
        <f>'AEO 2023 Table 47 Raw'!M42</f>
        <v>265.00787400000002</v>
      </c>
      <c r="K55" s="17">
        <f>'AEO 2023 Table 47 Raw'!N42</f>
        <v>278.52264400000001</v>
      </c>
      <c r="L55" s="17">
        <f>'AEO 2023 Table 47 Raw'!O42</f>
        <v>292.37914999999998</v>
      </c>
      <c r="M55" s="17">
        <f>'AEO 2023 Table 47 Raw'!P42</f>
        <v>306.63424700000002</v>
      </c>
      <c r="N55" s="17">
        <f>'AEO 2023 Table 47 Raw'!Q42</f>
        <v>321.28695699999997</v>
      </c>
      <c r="O55" s="17">
        <f>'AEO 2023 Table 47 Raw'!R42</f>
        <v>336.38125600000001</v>
      </c>
      <c r="P55" s="17">
        <f>'AEO 2023 Table 47 Raw'!S42</f>
        <v>351.955963</v>
      </c>
      <c r="Q55" s="17">
        <f>'AEO 2023 Table 47 Raw'!T42</f>
        <v>367.83340500000003</v>
      </c>
      <c r="R55" s="17">
        <f>'AEO 2023 Table 47 Raw'!U42</f>
        <v>384.15817299999998</v>
      </c>
      <c r="S55" s="17">
        <f>'AEO 2023 Table 47 Raw'!V42</f>
        <v>400.97872899999999</v>
      </c>
      <c r="T55" s="17">
        <f>'AEO 2023 Table 47 Raw'!W42</f>
        <v>418.281586</v>
      </c>
      <c r="U55" s="17">
        <f>'AEO 2023 Table 47 Raw'!X42</f>
        <v>436.11956800000002</v>
      </c>
      <c r="V55" s="17">
        <f>'AEO 2023 Table 47 Raw'!Y42</f>
        <v>454.223206</v>
      </c>
      <c r="W55" s="17">
        <f>'AEO 2023 Table 47 Raw'!Z42</f>
        <v>472.74136399999998</v>
      </c>
      <c r="X55" s="17">
        <f>'AEO 2023 Table 47 Raw'!AA42</f>
        <v>491.70300300000002</v>
      </c>
      <c r="Y55" s="17">
        <f>'AEO 2023 Table 47 Raw'!AB42</f>
        <v>511.12606799999998</v>
      </c>
      <c r="Z55" s="17">
        <f>'AEO 2023 Table 47 Raw'!AC42</f>
        <v>530.98492399999998</v>
      </c>
      <c r="AA55" s="17">
        <f>'AEO 2023 Table 47 Raw'!AD42</f>
        <v>550.75610400000005</v>
      </c>
      <c r="AB55" s="17">
        <f>'AEO 2023 Table 47 Raw'!AE42</f>
        <v>570.81701699999996</v>
      </c>
      <c r="AC55" s="17">
        <f>'AEO 2023 Table 47 Raw'!AF42</f>
        <v>591.32055700000001</v>
      </c>
      <c r="AD55" s="17">
        <f>'AEO 2023 Table 47 Raw'!AG42</f>
        <v>612.31854199999998</v>
      </c>
      <c r="AE55" s="17">
        <f>'AEO 2023 Table 47 Raw'!AH42</f>
        <v>633.87719700000002</v>
      </c>
      <c r="AF55" s="30">
        <f>'AEO 2023 Table 47 Raw'!AI42</f>
        <v>6.0999999999999999E-2</v>
      </c>
    </row>
    <row r="56" spans="1:32" ht="15" customHeight="1">
      <c r="A56" s="7" t="s">
        <v>569</v>
      </c>
      <c r="B56" s="16" t="s">
        <v>570</v>
      </c>
      <c r="C56" s="17">
        <f>'AEO 2023 Table 47 Raw'!F43</f>
        <v>25.162047999999999</v>
      </c>
      <c r="D56" s="17">
        <f>'AEO 2023 Table 47 Raw'!G43</f>
        <v>33.757781999999999</v>
      </c>
      <c r="E56" s="17">
        <f>'AEO 2023 Table 47 Raw'!H43</f>
        <v>43.291224999999997</v>
      </c>
      <c r="F56" s="17">
        <f>'AEO 2023 Table 47 Raw'!I43</f>
        <v>49.386383000000002</v>
      </c>
      <c r="G56" s="17">
        <f>'AEO 2023 Table 47 Raw'!J43</f>
        <v>51.574387000000002</v>
      </c>
      <c r="H56" s="17">
        <f>'AEO 2023 Table 47 Raw'!K43</f>
        <v>53.530833999999999</v>
      </c>
      <c r="I56" s="17">
        <f>'AEO 2023 Table 47 Raw'!L43</f>
        <v>55.570011000000001</v>
      </c>
      <c r="J56" s="17">
        <f>'AEO 2023 Table 47 Raw'!M43</f>
        <v>57.661495000000002</v>
      </c>
      <c r="K56" s="17">
        <f>'AEO 2023 Table 47 Raw'!N43</f>
        <v>59.811988999999997</v>
      </c>
      <c r="L56" s="17">
        <f>'AEO 2023 Table 47 Raw'!O43</f>
        <v>61.987437999999997</v>
      </c>
      <c r="M56" s="17">
        <f>'AEO 2023 Table 47 Raw'!P43</f>
        <v>64.196487000000005</v>
      </c>
      <c r="N56" s="17">
        <f>'AEO 2023 Table 47 Raw'!Q43</f>
        <v>66.463004999999995</v>
      </c>
      <c r="O56" s="17">
        <f>'AEO 2023 Table 47 Raw'!R43</f>
        <v>68.793846000000002</v>
      </c>
      <c r="P56" s="17">
        <f>'AEO 2023 Table 47 Raw'!S43</f>
        <v>71.198943999999997</v>
      </c>
      <c r="Q56" s="17">
        <f>'AEO 2023 Table 47 Raw'!T43</f>
        <v>73.662277000000003</v>
      </c>
      <c r="R56" s="17">
        <f>'AEO 2023 Table 47 Raw'!U43</f>
        <v>76.193236999999996</v>
      </c>
      <c r="S56" s="17">
        <f>'AEO 2023 Table 47 Raw'!V43</f>
        <v>78.792975999999996</v>
      </c>
      <c r="T56" s="17">
        <f>'AEO 2023 Table 47 Raw'!W43</f>
        <v>81.454643000000004</v>
      </c>
      <c r="U56" s="17">
        <f>'AEO 2023 Table 47 Raw'!X43</f>
        <v>84.179428000000001</v>
      </c>
      <c r="V56" s="17">
        <f>'AEO 2023 Table 47 Raw'!Y43</f>
        <v>86.959701999999993</v>
      </c>
      <c r="W56" s="17">
        <f>'AEO 2023 Table 47 Raw'!Z43</f>
        <v>89.805481</v>
      </c>
      <c r="X56" s="17">
        <f>'AEO 2023 Table 47 Raw'!AA43</f>
        <v>92.720855999999998</v>
      </c>
      <c r="Y56" s="17">
        <f>'AEO 2023 Table 47 Raw'!AB43</f>
        <v>95.706917000000004</v>
      </c>
      <c r="Z56" s="17">
        <f>'AEO 2023 Table 47 Raw'!AC43</f>
        <v>98.766266000000002</v>
      </c>
      <c r="AA56" s="17">
        <f>'AEO 2023 Table 47 Raw'!AD43</f>
        <v>101.88080600000001</v>
      </c>
      <c r="AB56" s="17">
        <f>'AEO 2023 Table 47 Raw'!AE43</f>
        <v>105.06590300000001</v>
      </c>
      <c r="AC56" s="17">
        <f>'AEO 2023 Table 47 Raw'!AF43</f>
        <v>108.32765999999999</v>
      </c>
      <c r="AD56" s="17">
        <f>'AEO 2023 Table 47 Raw'!AG43</f>
        <v>111.667374</v>
      </c>
      <c r="AE56" s="17">
        <f>'AEO 2023 Table 47 Raw'!AH43</f>
        <v>115.087654</v>
      </c>
      <c r="AF56" s="30">
        <f>'AEO 2023 Table 47 Raw'!AI43</f>
        <v>5.6000000000000001E-2</v>
      </c>
    </row>
    <row r="57" spans="1:32" ht="15" customHeight="1">
      <c r="A57" s="7" t="s">
        <v>571</v>
      </c>
      <c r="B57" s="16" t="s">
        <v>572</v>
      </c>
      <c r="C57" s="17">
        <f>'AEO 2023 Table 47 Raw'!F44</f>
        <v>21.436751999999998</v>
      </c>
      <c r="D57" s="17">
        <f>'AEO 2023 Table 47 Raw'!G44</f>
        <v>27.598734</v>
      </c>
      <c r="E57" s="17">
        <f>'AEO 2023 Table 47 Raw'!H44</f>
        <v>35.583275</v>
      </c>
      <c r="F57" s="17">
        <f>'AEO 2023 Table 47 Raw'!I44</f>
        <v>40.530216000000003</v>
      </c>
      <c r="G57" s="17">
        <f>'AEO 2023 Table 47 Raw'!J44</f>
        <v>42.960293</v>
      </c>
      <c r="H57" s="17">
        <f>'AEO 2023 Table 47 Raw'!K44</f>
        <v>45.071503</v>
      </c>
      <c r="I57" s="17">
        <f>'AEO 2023 Table 47 Raw'!L44</f>
        <v>47.258926000000002</v>
      </c>
      <c r="J57" s="17">
        <f>'AEO 2023 Table 47 Raw'!M44</f>
        <v>49.535010999999997</v>
      </c>
      <c r="K57" s="17">
        <f>'AEO 2023 Table 47 Raw'!N44</f>
        <v>51.919395000000002</v>
      </c>
      <c r="L57" s="17">
        <f>'AEO 2023 Table 47 Raw'!O44</f>
        <v>54.415638000000001</v>
      </c>
      <c r="M57" s="17">
        <f>'AEO 2023 Table 47 Raw'!P44</f>
        <v>57.007767000000001</v>
      </c>
      <c r="N57" s="17">
        <f>'AEO 2023 Table 47 Raw'!Q44</f>
        <v>59.691803</v>
      </c>
      <c r="O57" s="17">
        <f>'AEO 2023 Table 47 Raw'!R44</f>
        <v>62.468406999999999</v>
      </c>
      <c r="P57" s="17">
        <f>'AEO 2023 Table 47 Raw'!S44</f>
        <v>65.338493</v>
      </c>
      <c r="Q57" s="17">
        <f>'AEO 2023 Table 47 Raw'!T44</f>
        <v>68.332961999999995</v>
      </c>
      <c r="R57" s="17">
        <f>'AEO 2023 Table 47 Raw'!U44</f>
        <v>71.430465999999996</v>
      </c>
      <c r="S57" s="17">
        <f>'AEO 2023 Table 47 Raw'!V44</f>
        <v>74.628899000000004</v>
      </c>
      <c r="T57" s="17">
        <f>'AEO 2023 Table 47 Raw'!W44</f>
        <v>77.928932000000003</v>
      </c>
      <c r="U57" s="17">
        <f>'AEO 2023 Table 47 Raw'!X44</f>
        <v>81.334746999999993</v>
      </c>
      <c r="V57" s="17">
        <f>'AEO 2023 Table 47 Raw'!Y44</f>
        <v>84.875998999999993</v>
      </c>
      <c r="W57" s="17">
        <f>'AEO 2023 Table 47 Raw'!Z44</f>
        <v>88.529678000000004</v>
      </c>
      <c r="X57" s="17">
        <f>'AEO 2023 Table 47 Raw'!AA44</f>
        <v>92.295119999999997</v>
      </c>
      <c r="Y57" s="17">
        <f>'AEO 2023 Table 47 Raw'!AB44</f>
        <v>96.174530000000004</v>
      </c>
      <c r="Z57" s="17">
        <f>'AEO 2023 Table 47 Raw'!AC44</f>
        <v>100.172386</v>
      </c>
      <c r="AA57" s="17">
        <f>'AEO 2023 Table 47 Raw'!AD44</f>
        <v>104.314087</v>
      </c>
      <c r="AB57" s="17">
        <f>'AEO 2023 Table 47 Raw'!AE44</f>
        <v>108.579628</v>
      </c>
      <c r="AC57" s="17">
        <f>'AEO 2023 Table 47 Raw'!AF44</f>
        <v>112.96938299999999</v>
      </c>
      <c r="AD57" s="17">
        <f>'AEO 2023 Table 47 Raw'!AG44</f>
        <v>117.485657</v>
      </c>
      <c r="AE57" s="17">
        <f>'AEO 2023 Table 47 Raw'!AH44</f>
        <v>122.13298</v>
      </c>
      <c r="AF57" s="30">
        <f>'AEO 2023 Table 47 Raw'!AI44</f>
        <v>6.4000000000000001E-2</v>
      </c>
    </row>
    <row r="58" spans="1:32" ht="15" customHeight="1">
      <c r="B58" s="15" t="s">
        <v>573</v>
      </c>
      <c r="AF58" s="33"/>
    </row>
    <row r="59" spans="1:32" ht="15" customHeight="1">
      <c r="A59" s="7" t="s">
        <v>574</v>
      </c>
      <c r="B59" s="16" t="s">
        <v>548</v>
      </c>
      <c r="C59" s="17">
        <f>'AEO 2023 Table 47 Raw'!F46</f>
        <v>25.34132</v>
      </c>
      <c r="D59" s="17">
        <f>'AEO 2023 Table 47 Raw'!G46</f>
        <v>30.831939999999999</v>
      </c>
      <c r="E59" s="17">
        <f>'AEO 2023 Table 47 Raw'!H46</f>
        <v>34.844315000000002</v>
      </c>
      <c r="F59" s="17">
        <f>'AEO 2023 Table 47 Raw'!I46</f>
        <v>35.958019</v>
      </c>
      <c r="G59" s="17">
        <f>'AEO 2023 Table 47 Raw'!J46</f>
        <v>37.186523000000001</v>
      </c>
      <c r="H59" s="17">
        <f>'AEO 2023 Table 47 Raw'!K46</f>
        <v>38.400398000000003</v>
      </c>
      <c r="I59" s="17">
        <f>'AEO 2023 Table 47 Raw'!L46</f>
        <v>39.597152999999999</v>
      </c>
      <c r="J59" s="17">
        <f>'AEO 2023 Table 47 Raw'!M46</f>
        <v>40.775063000000003</v>
      </c>
      <c r="K59" s="17">
        <f>'AEO 2023 Table 47 Raw'!N46</f>
        <v>41.934654000000002</v>
      </c>
      <c r="L59" s="17">
        <f>'AEO 2023 Table 47 Raw'!O46</f>
        <v>43.060527999999998</v>
      </c>
      <c r="M59" s="17">
        <f>'AEO 2023 Table 47 Raw'!P46</f>
        <v>44.201756000000003</v>
      </c>
      <c r="N59" s="17">
        <f>'AEO 2023 Table 47 Raw'!Q46</f>
        <v>45.363827000000001</v>
      </c>
      <c r="O59" s="17">
        <f>'AEO 2023 Table 47 Raw'!R46</f>
        <v>46.548321000000001</v>
      </c>
      <c r="P59" s="17">
        <f>'AEO 2023 Table 47 Raw'!S46</f>
        <v>47.756633999999998</v>
      </c>
      <c r="Q59" s="17">
        <f>'AEO 2023 Table 47 Raw'!T46</f>
        <v>48.983604</v>
      </c>
      <c r="R59" s="17">
        <f>'AEO 2023 Table 47 Raw'!U46</f>
        <v>50.236697999999997</v>
      </c>
      <c r="S59" s="17">
        <f>'AEO 2023 Table 47 Raw'!V46</f>
        <v>51.516010000000001</v>
      </c>
      <c r="T59" s="17">
        <f>'AEO 2023 Table 47 Raw'!W46</f>
        <v>52.821052999999999</v>
      </c>
      <c r="U59" s="17">
        <f>'AEO 2023 Table 47 Raw'!X46</f>
        <v>54.150795000000002</v>
      </c>
      <c r="V59" s="17">
        <f>'AEO 2023 Table 47 Raw'!Y46</f>
        <v>55.505904999999998</v>
      </c>
      <c r="W59" s="17">
        <f>'AEO 2023 Table 47 Raw'!Z46</f>
        <v>56.886997000000001</v>
      </c>
      <c r="X59" s="17">
        <f>'AEO 2023 Table 47 Raw'!AA46</f>
        <v>58.293770000000002</v>
      </c>
      <c r="Y59" s="17">
        <f>'AEO 2023 Table 47 Raw'!AB46</f>
        <v>59.725966999999997</v>
      </c>
      <c r="Z59" s="17">
        <f>'AEO 2023 Table 47 Raw'!AC46</f>
        <v>61.183010000000003</v>
      </c>
      <c r="AA59" s="17">
        <f>'AEO 2023 Table 47 Raw'!AD46</f>
        <v>62.647793</v>
      </c>
      <c r="AB59" s="17">
        <f>'AEO 2023 Table 47 Raw'!AE46</f>
        <v>64.137566000000007</v>
      </c>
      <c r="AC59" s="17">
        <f>'AEO 2023 Table 47 Raw'!AF46</f>
        <v>65.652901</v>
      </c>
      <c r="AD59" s="17">
        <f>'AEO 2023 Table 47 Raw'!AG46</f>
        <v>67.194282999999999</v>
      </c>
      <c r="AE59" s="17">
        <f>'AEO 2023 Table 47 Raw'!AH46</f>
        <v>68.761512999999994</v>
      </c>
      <c r="AF59" s="30">
        <f>'AEO 2023 Table 47 Raw'!AI46</f>
        <v>3.5999999999999997E-2</v>
      </c>
    </row>
    <row r="60" spans="1:32" ht="15" customHeight="1">
      <c r="A60" s="7" t="s">
        <v>575</v>
      </c>
      <c r="B60" s="16" t="s">
        <v>550</v>
      </c>
      <c r="C60" s="17">
        <f>'AEO 2023 Table 47 Raw'!F47</f>
        <v>2031.443481</v>
      </c>
      <c r="D60" s="17">
        <f>'AEO 2023 Table 47 Raw'!G47</f>
        <v>2328.2434079999998</v>
      </c>
      <c r="E60" s="17">
        <f>'AEO 2023 Table 47 Raw'!H47</f>
        <v>2524.6442870000001</v>
      </c>
      <c r="F60" s="17">
        <f>'AEO 2023 Table 47 Raw'!I47</f>
        <v>2664.3542480000001</v>
      </c>
      <c r="G60" s="17">
        <f>'AEO 2023 Table 47 Raw'!J47</f>
        <v>2771.4008789999998</v>
      </c>
      <c r="H60" s="17">
        <f>'AEO 2023 Table 47 Raw'!K47</f>
        <v>2867.1066890000002</v>
      </c>
      <c r="I60" s="17">
        <f>'AEO 2023 Table 47 Raw'!L47</f>
        <v>2964.1140140000002</v>
      </c>
      <c r="J60" s="17">
        <f>'AEO 2023 Table 47 Raw'!M47</f>
        <v>3060.1589359999998</v>
      </c>
      <c r="K60" s="17">
        <f>'AEO 2023 Table 47 Raw'!N47</f>
        <v>3155.1308589999999</v>
      </c>
      <c r="L60" s="17">
        <f>'AEO 2023 Table 47 Raw'!O47</f>
        <v>3252.639893</v>
      </c>
      <c r="M60" s="17">
        <f>'AEO 2023 Table 47 Raw'!P47</f>
        <v>3355.9975589999999</v>
      </c>
      <c r="N60" s="17">
        <f>'AEO 2023 Table 47 Raw'!Q47</f>
        <v>3460.9008789999998</v>
      </c>
      <c r="O60" s="17">
        <f>'AEO 2023 Table 47 Raw'!R47</f>
        <v>3563.7053219999998</v>
      </c>
      <c r="P60" s="17">
        <f>'AEO 2023 Table 47 Raw'!S47</f>
        <v>3667.5942380000001</v>
      </c>
      <c r="Q60" s="17">
        <f>'AEO 2023 Table 47 Raw'!T47</f>
        <v>3774.619385</v>
      </c>
      <c r="R60" s="17">
        <f>'AEO 2023 Table 47 Raw'!U47</f>
        <v>3885.2897950000001</v>
      </c>
      <c r="S60" s="17">
        <f>'AEO 2023 Table 47 Raw'!V47</f>
        <v>3999.758057</v>
      </c>
      <c r="T60" s="17">
        <f>'AEO 2023 Table 47 Raw'!W47</f>
        <v>4116.8779299999997</v>
      </c>
      <c r="U60" s="17">
        <f>'AEO 2023 Table 47 Raw'!X47</f>
        <v>4238.2216799999997</v>
      </c>
      <c r="V60" s="17">
        <f>'AEO 2023 Table 47 Raw'!Y47</f>
        <v>4361.3129879999997</v>
      </c>
      <c r="W60" s="17">
        <f>'AEO 2023 Table 47 Raw'!Z47</f>
        <v>4487.5444340000004</v>
      </c>
      <c r="X60" s="17">
        <f>'AEO 2023 Table 47 Raw'!AA47</f>
        <v>4616.3706050000001</v>
      </c>
      <c r="Y60" s="17">
        <f>'AEO 2023 Table 47 Raw'!AB47</f>
        <v>4747.2202150000003</v>
      </c>
      <c r="Z60" s="17">
        <f>'AEO 2023 Table 47 Raw'!AC47</f>
        <v>4878.6381840000004</v>
      </c>
      <c r="AA60" s="17">
        <f>'AEO 2023 Table 47 Raw'!AD47</f>
        <v>5011.4672849999997</v>
      </c>
      <c r="AB60" s="17">
        <f>'AEO 2023 Table 47 Raw'!AE47</f>
        <v>5146.673828</v>
      </c>
      <c r="AC60" s="17">
        <f>'AEO 2023 Table 47 Raw'!AF47</f>
        <v>5284.0668949999999</v>
      </c>
      <c r="AD60" s="17">
        <f>'AEO 2023 Table 47 Raw'!AG47</f>
        <v>5423.0380859999996</v>
      </c>
      <c r="AE60" s="17">
        <f>'AEO 2023 Table 47 Raw'!AH47</f>
        <v>5563.5517579999996</v>
      </c>
      <c r="AF60" s="30">
        <f>'AEO 2023 Table 47 Raw'!AI47</f>
        <v>3.6999999999999998E-2</v>
      </c>
    </row>
    <row r="61" spans="1:32" ht="15" customHeight="1">
      <c r="A61" s="7" t="s">
        <v>576</v>
      </c>
      <c r="B61" s="16" t="s">
        <v>552</v>
      </c>
      <c r="C61" s="17">
        <f>'AEO 2023 Table 47 Raw'!F48</f>
        <v>0</v>
      </c>
      <c r="D61" s="17">
        <f>'AEO 2023 Table 47 Raw'!G48</f>
        <v>0</v>
      </c>
      <c r="E61" s="17">
        <f>'AEO 2023 Table 47 Raw'!H48</f>
        <v>0</v>
      </c>
      <c r="F61" s="17">
        <f>'AEO 2023 Table 47 Raw'!I48</f>
        <v>0</v>
      </c>
      <c r="G61" s="17">
        <f>'AEO 2023 Table 47 Raw'!J48</f>
        <v>0</v>
      </c>
      <c r="H61" s="17">
        <f>'AEO 2023 Table 47 Raw'!K48</f>
        <v>0</v>
      </c>
      <c r="I61" s="17">
        <f>'AEO 2023 Table 47 Raw'!L48</f>
        <v>0</v>
      </c>
      <c r="J61" s="17">
        <f>'AEO 2023 Table 47 Raw'!M48</f>
        <v>0</v>
      </c>
      <c r="K61" s="17">
        <f>'AEO 2023 Table 47 Raw'!N48</f>
        <v>0</v>
      </c>
      <c r="L61" s="17">
        <f>'AEO 2023 Table 47 Raw'!O48</f>
        <v>0</v>
      </c>
      <c r="M61" s="17">
        <f>'AEO 2023 Table 47 Raw'!P48</f>
        <v>0</v>
      </c>
      <c r="N61" s="17">
        <f>'AEO 2023 Table 47 Raw'!Q48</f>
        <v>0</v>
      </c>
      <c r="O61" s="17">
        <f>'AEO 2023 Table 47 Raw'!R48</f>
        <v>0</v>
      </c>
      <c r="P61" s="17">
        <f>'AEO 2023 Table 47 Raw'!S48</f>
        <v>0</v>
      </c>
      <c r="Q61" s="17">
        <f>'AEO 2023 Table 47 Raw'!T48</f>
        <v>0</v>
      </c>
      <c r="R61" s="17">
        <f>'AEO 2023 Table 47 Raw'!U48</f>
        <v>0</v>
      </c>
      <c r="S61" s="17">
        <f>'AEO 2023 Table 47 Raw'!V48</f>
        <v>0</v>
      </c>
      <c r="T61" s="17">
        <f>'AEO 2023 Table 47 Raw'!W48</f>
        <v>0</v>
      </c>
      <c r="U61" s="17">
        <f>'AEO 2023 Table 47 Raw'!X48</f>
        <v>0</v>
      </c>
      <c r="V61" s="17">
        <f>'AEO 2023 Table 47 Raw'!Y48</f>
        <v>0</v>
      </c>
      <c r="W61" s="17">
        <f>'AEO 2023 Table 47 Raw'!Z48</f>
        <v>0</v>
      </c>
      <c r="X61" s="17">
        <f>'AEO 2023 Table 47 Raw'!AA48</f>
        <v>0</v>
      </c>
      <c r="Y61" s="17">
        <f>'AEO 2023 Table 47 Raw'!AB48</f>
        <v>0</v>
      </c>
      <c r="Z61" s="17">
        <f>'AEO 2023 Table 47 Raw'!AC48</f>
        <v>0</v>
      </c>
      <c r="AA61" s="17">
        <f>'AEO 2023 Table 47 Raw'!AD48</f>
        <v>0</v>
      </c>
      <c r="AB61" s="17">
        <f>'AEO 2023 Table 47 Raw'!AE48</f>
        <v>0</v>
      </c>
      <c r="AC61" s="17">
        <f>'AEO 2023 Table 47 Raw'!AF48</f>
        <v>0</v>
      </c>
      <c r="AD61" s="17">
        <f>'AEO 2023 Table 47 Raw'!AG48</f>
        <v>0</v>
      </c>
      <c r="AE61" s="17">
        <f>'AEO 2023 Table 47 Raw'!AH48</f>
        <v>0</v>
      </c>
      <c r="AF61" s="30">
        <f>'AEO 2023 Table 47 Raw'!AI48</f>
        <v>0</v>
      </c>
    </row>
    <row r="62" spans="1:32" ht="15" customHeight="1">
      <c r="A62" s="7" t="s">
        <v>577</v>
      </c>
      <c r="B62" s="16" t="s">
        <v>554</v>
      </c>
      <c r="C62" s="17">
        <f>'AEO 2023 Table 47 Raw'!F49</f>
        <v>243.14546200000001</v>
      </c>
      <c r="D62" s="17">
        <f>'AEO 2023 Table 47 Raw'!G49</f>
        <v>335.79156499999999</v>
      </c>
      <c r="E62" s="17">
        <f>'AEO 2023 Table 47 Raw'!H49</f>
        <v>383.935181</v>
      </c>
      <c r="F62" s="17">
        <f>'AEO 2023 Table 47 Raw'!I49</f>
        <v>400.52246100000002</v>
      </c>
      <c r="G62" s="17">
        <f>'AEO 2023 Table 47 Raw'!J49</f>
        <v>407.61910999999998</v>
      </c>
      <c r="H62" s="17">
        <f>'AEO 2023 Table 47 Raw'!K49</f>
        <v>414.49111900000003</v>
      </c>
      <c r="I62" s="17">
        <f>'AEO 2023 Table 47 Raw'!L49</f>
        <v>421.393036</v>
      </c>
      <c r="J62" s="17">
        <f>'AEO 2023 Table 47 Raw'!M49</f>
        <v>427.40426600000001</v>
      </c>
      <c r="K62" s="17">
        <f>'AEO 2023 Table 47 Raw'!N49</f>
        <v>432.63568099999998</v>
      </c>
      <c r="L62" s="17">
        <f>'AEO 2023 Table 47 Raw'!O49</f>
        <v>438.49890099999999</v>
      </c>
      <c r="M62" s="17">
        <f>'AEO 2023 Table 47 Raw'!P49</f>
        <v>446.48907500000001</v>
      </c>
      <c r="N62" s="17">
        <f>'AEO 2023 Table 47 Raw'!Q49</f>
        <v>454.73223899999999</v>
      </c>
      <c r="O62" s="17">
        <f>'AEO 2023 Table 47 Raw'!R49</f>
        <v>461.52075200000002</v>
      </c>
      <c r="P62" s="17">
        <f>'AEO 2023 Table 47 Raw'!S49</f>
        <v>468.21243299999998</v>
      </c>
      <c r="Q62" s="17">
        <f>'AEO 2023 Table 47 Raw'!T49</f>
        <v>475.80575599999997</v>
      </c>
      <c r="R62" s="17">
        <f>'AEO 2023 Table 47 Raw'!U49</f>
        <v>484.48400900000001</v>
      </c>
      <c r="S62" s="17">
        <f>'AEO 2023 Table 47 Raw'!V49</f>
        <v>494.31170700000001</v>
      </c>
      <c r="T62" s="17">
        <f>'AEO 2023 Table 47 Raw'!W49</f>
        <v>504.67654399999998</v>
      </c>
      <c r="U62" s="17">
        <f>'AEO 2023 Table 47 Raw'!X49</f>
        <v>516.08764599999995</v>
      </c>
      <c r="V62" s="17">
        <f>'AEO 2023 Table 47 Raw'!Y49</f>
        <v>527.31774900000005</v>
      </c>
      <c r="W62" s="17">
        <f>'AEO 2023 Table 47 Raw'!Z49</f>
        <v>538.96856700000001</v>
      </c>
      <c r="X62" s="17">
        <f>'AEO 2023 Table 47 Raw'!AA49</f>
        <v>550.96636999999998</v>
      </c>
      <c r="Y62" s="17">
        <f>'AEO 2023 Table 47 Raw'!AB49</f>
        <v>563.28277600000001</v>
      </c>
      <c r="Z62" s="17">
        <f>'AEO 2023 Table 47 Raw'!AC49</f>
        <v>575.50067100000001</v>
      </c>
      <c r="AA62" s="17">
        <f>'AEO 2023 Table 47 Raw'!AD49</f>
        <v>588.36859100000004</v>
      </c>
      <c r="AB62" s="17">
        <f>'AEO 2023 Table 47 Raw'!AE49</f>
        <v>602.04803500000003</v>
      </c>
      <c r="AC62" s="17">
        <f>'AEO 2023 Table 47 Raw'!AF49</f>
        <v>616.46588099999997</v>
      </c>
      <c r="AD62" s="17">
        <f>'AEO 2023 Table 47 Raw'!AG49</f>
        <v>631.54870600000004</v>
      </c>
      <c r="AE62" s="17">
        <f>'AEO 2023 Table 47 Raw'!AH49</f>
        <v>647.51074200000005</v>
      </c>
      <c r="AF62" s="30">
        <f>'AEO 2023 Table 47 Raw'!AI49</f>
        <v>3.5999999999999997E-2</v>
      </c>
    </row>
    <row r="63" spans="1:32" ht="15" customHeight="1">
      <c r="A63" s="7" t="s">
        <v>578</v>
      </c>
      <c r="B63" s="16" t="s">
        <v>556</v>
      </c>
      <c r="C63" s="17">
        <f>'AEO 2023 Table 47 Raw'!F50</f>
        <v>44.242100000000001</v>
      </c>
      <c r="D63" s="17">
        <f>'AEO 2023 Table 47 Raw'!G50</f>
        <v>57.959876999999999</v>
      </c>
      <c r="E63" s="17">
        <f>'AEO 2023 Table 47 Raw'!H50</f>
        <v>69.951576000000003</v>
      </c>
      <c r="F63" s="17">
        <f>'AEO 2023 Table 47 Raw'!I50</f>
        <v>78.945351000000002</v>
      </c>
      <c r="G63" s="17">
        <f>'AEO 2023 Table 47 Raw'!J50</f>
        <v>84.759506000000002</v>
      </c>
      <c r="H63" s="17">
        <f>'AEO 2023 Table 47 Raw'!K50</f>
        <v>89.937743999999995</v>
      </c>
      <c r="I63" s="17">
        <f>'AEO 2023 Table 47 Raw'!L50</f>
        <v>92.223777999999996</v>
      </c>
      <c r="J63" s="17">
        <f>'AEO 2023 Table 47 Raw'!M50</f>
        <v>94.555144999999996</v>
      </c>
      <c r="K63" s="17">
        <f>'AEO 2023 Table 47 Raw'!N50</f>
        <v>96.929855000000003</v>
      </c>
      <c r="L63" s="17">
        <f>'AEO 2023 Table 47 Raw'!O50</f>
        <v>99.348456999999996</v>
      </c>
      <c r="M63" s="17">
        <f>'AEO 2023 Table 47 Raw'!P50</f>
        <v>101.810303</v>
      </c>
      <c r="N63" s="17">
        <f>'AEO 2023 Table 47 Raw'!Q50</f>
        <v>104.31398</v>
      </c>
      <c r="O63" s="17">
        <f>'AEO 2023 Table 47 Raw'!R50</f>
        <v>106.860016</v>
      </c>
      <c r="P63" s="17">
        <f>'AEO 2023 Table 47 Raw'!S50</f>
        <v>109.449196</v>
      </c>
      <c r="Q63" s="17">
        <f>'AEO 2023 Table 47 Raw'!T50</f>
        <v>112.081863</v>
      </c>
      <c r="R63" s="17">
        <f>'AEO 2023 Table 47 Raw'!U50</f>
        <v>114.759064</v>
      </c>
      <c r="S63" s="17">
        <f>'AEO 2023 Table 47 Raw'!V50</f>
        <v>117.48131600000001</v>
      </c>
      <c r="T63" s="17">
        <f>'AEO 2023 Table 47 Raw'!W50</f>
        <v>120.24996899999999</v>
      </c>
      <c r="U63" s="17">
        <f>'AEO 2023 Table 47 Raw'!X50</f>
        <v>123.06551399999999</v>
      </c>
      <c r="V63" s="17">
        <f>'AEO 2023 Table 47 Raw'!Y50</f>
        <v>125.92826100000001</v>
      </c>
      <c r="W63" s="17">
        <f>'AEO 2023 Table 47 Raw'!Z50</f>
        <v>128.839752</v>
      </c>
      <c r="X63" s="17">
        <f>'AEO 2023 Table 47 Raw'!AA50</f>
        <v>131.79995700000001</v>
      </c>
      <c r="Y63" s="17">
        <f>'AEO 2023 Table 47 Raw'!AB50</f>
        <v>134.81431599999999</v>
      </c>
      <c r="Z63" s="17">
        <f>'AEO 2023 Table 47 Raw'!AC50</f>
        <v>137.88580300000001</v>
      </c>
      <c r="AA63" s="17">
        <f>'AEO 2023 Table 47 Raw'!AD50</f>
        <v>141.01591500000001</v>
      </c>
      <c r="AB63" s="17">
        <f>'AEO 2023 Table 47 Raw'!AE50</f>
        <v>144.20684800000001</v>
      </c>
      <c r="AC63" s="17">
        <f>'AEO 2023 Table 47 Raw'!AF50</f>
        <v>147.46043399999999</v>
      </c>
      <c r="AD63" s="17">
        <f>'AEO 2023 Table 47 Raw'!AG50</f>
        <v>150.77969400000001</v>
      </c>
      <c r="AE63" s="17">
        <f>'AEO 2023 Table 47 Raw'!AH50</f>
        <v>154.16679400000001</v>
      </c>
      <c r="AF63" s="30">
        <f>'AEO 2023 Table 47 Raw'!AI50</f>
        <v>4.5999999999999999E-2</v>
      </c>
    </row>
    <row r="64" spans="1:32" ht="15" customHeight="1">
      <c r="A64" s="7" t="s">
        <v>579</v>
      </c>
      <c r="B64" s="16" t="s">
        <v>558</v>
      </c>
      <c r="C64" s="17">
        <f>'AEO 2023 Table 47 Raw'!F51</f>
        <v>29.798960000000001</v>
      </c>
      <c r="D64" s="17">
        <f>'AEO 2023 Table 47 Raw'!G51</f>
        <v>40.311973999999999</v>
      </c>
      <c r="E64" s="17">
        <f>'AEO 2023 Table 47 Raw'!H51</f>
        <v>50.607475000000001</v>
      </c>
      <c r="F64" s="17">
        <f>'AEO 2023 Table 47 Raw'!I51</f>
        <v>59.090389000000002</v>
      </c>
      <c r="G64" s="17">
        <f>'AEO 2023 Table 47 Raw'!J51</f>
        <v>65.108185000000006</v>
      </c>
      <c r="H64" s="17">
        <f>'AEO 2023 Table 47 Raw'!K51</f>
        <v>68.878365000000002</v>
      </c>
      <c r="I64" s="17">
        <f>'AEO 2023 Table 47 Raw'!L51</f>
        <v>71.778519000000003</v>
      </c>
      <c r="J64" s="17">
        <f>'AEO 2023 Table 47 Raw'!M51</f>
        <v>74.124474000000006</v>
      </c>
      <c r="K64" s="17">
        <f>'AEO 2023 Table 47 Raw'!N51</f>
        <v>76.529831000000001</v>
      </c>
      <c r="L64" s="17">
        <f>'AEO 2023 Table 47 Raw'!O51</f>
        <v>78.988663000000003</v>
      </c>
      <c r="M64" s="17">
        <f>'AEO 2023 Table 47 Raw'!P51</f>
        <v>81.514861999999994</v>
      </c>
      <c r="N64" s="17">
        <f>'AEO 2023 Table 47 Raw'!Q51</f>
        <v>84.099945000000005</v>
      </c>
      <c r="O64" s="17">
        <f>'AEO 2023 Table 47 Raw'!R51</f>
        <v>86.744704999999996</v>
      </c>
      <c r="P64" s="17">
        <f>'AEO 2023 Table 47 Raw'!S51</f>
        <v>89.448975000000004</v>
      </c>
      <c r="Q64" s="17">
        <f>'AEO 2023 Table 47 Raw'!T51</f>
        <v>92.207825</v>
      </c>
      <c r="R64" s="17">
        <f>'AEO 2023 Table 47 Raw'!U51</f>
        <v>95.026832999999996</v>
      </c>
      <c r="S64" s="17">
        <f>'AEO 2023 Table 47 Raw'!V51</f>
        <v>97.907409999999999</v>
      </c>
      <c r="T64" s="17">
        <f>'AEO 2023 Table 47 Raw'!W51</f>
        <v>100.85034899999999</v>
      </c>
      <c r="U64" s="17">
        <f>'AEO 2023 Table 47 Raw'!X51</f>
        <v>103.85659800000001</v>
      </c>
      <c r="V64" s="17">
        <f>'AEO 2023 Table 47 Raw'!Y51</f>
        <v>106.912582</v>
      </c>
      <c r="W64" s="17">
        <f>'AEO 2023 Table 47 Raw'!Z51</f>
        <v>110.031853</v>
      </c>
      <c r="X64" s="17">
        <f>'AEO 2023 Table 47 Raw'!AA51</f>
        <v>113.21547700000001</v>
      </c>
      <c r="Y64" s="17">
        <f>'AEO 2023 Table 47 Raw'!AB51</f>
        <v>116.464378</v>
      </c>
      <c r="Z64" s="17">
        <f>'AEO 2023 Table 47 Raw'!AC51</f>
        <v>119.778374</v>
      </c>
      <c r="AA64" s="17">
        <f>'AEO 2023 Table 47 Raw'!AD51</f>
        <v>123.13962600000001</v>
      </c>
      <c r="AB64" s="17">
        <f>'AEO 2023 Table 47 Raw'!AE51</f>
        <v>126.56178300000001</v>
      </c>
      <c r="AC64" s="17">
        <f>'AEO 2023 Table 47 Raw'!AF51</f>
        <v>130.05413799999999</v>
      </c>
      <c r="AD64" s="17">
        <f>'AEO 2023 Table 47 Raw'!AG51</f>
        <v>133.62745699999999</v>
      </c>
      <c r="AE64" s="17">
        <f>'AEO 2023 Table 47 Raw'!AH51</f>
        <v>137.290436</v>
      </c>
      <c r="AF64" s="30">
        <f>'AEO 2023 Table 47 Raw'!AI51</f>
        <v>5.6000000000000001E-2</v>
      </c>
    </row>
    <row r="65" spans="1:32" ht="15" customHeight="1">
      <c r="A65" s="7" t="s">
        <v>580</v>
      </c>
      <c r="B65" s="16" t="s">
        <v>560</v>
      </c>
      <c r="C65" s="17">
        <f>'AEO 2023 Table 47 Raw'!F52</f>
        <v>280.836365</v>
      </c>
      <c r="D65" s="17">
        <f>'AEO 2023 Table 47 Raw'!G52</f>
        <v>391.70883199999997</v>
      </c>
      <c r="E65" s="17">
        <f>'AEO 2023 Table 47 Raw'!H52</f>
        <v>486.74243200000001</v>
      </c>
      <c r="F65" s="17">
        <f>'AEO 2023 Table 47 Raw'!I52</f>
        <v>550.70733600000005</v>
      </c>
      <c r="G65" s="17">
        <f>'AEO 2023 Table 47 Raw'!J52</f>
        <v>603.09759499999996</v>
      </c>
      <c r="H65" s="17">
        <f>'AEO 2023 Table 47 Raw'!K52</f>
        <v>615.40289299999995</v>
      </c>
      <c r="I65" s="17">
        <f>'AEO 2023 Table 47 Raw'!L52</f>
        <v>627.85687299999995</v>
      </c>
      <c r="J65" s="17">
        <f>'AEO 2023 Table 47 Raw'!M52</f>
        <v>640.49560499999995</v>
      </c>
      <c r="K65" s="17">
        <f>'AEO 2023 Table 47 Raw'!N52</f>
        <v>653.34362799999997</v>
      </c>
      <c r="L65" s="17">
        <f>'AEO 2023 Table 47 Raw'!O52</f>
        <v>666.416382</v>
      </c>
      <c r="M65" s="17">
        <f>'AEO 2023 Table 47 Raw'!P52</f>
        <v>679.72045900000001</v>
      </c>
      <c r="N65" s="17">
        <f>'AEO 2023 Table 47 Raw'!Q52</f>
        <v>693.25176999999996</v>
      </c>
      <c r="O65" s="17">
        <f>'AEO 2023 Table 47 Raw'!R52</f>
        <v>706.99322500000005</v>
      </c>
      <c r="P65" s="17">
        <f>'AEO 2023 Table 47 Raw'!S52</f>
        <v>720.92309599999999</v>
      </c>
      <c r="Q65" s="17">
        <f>'AEO 2023 Table 47 Raw'!T52</f>
        <v>735.06103499999995</v>
      </c>
      <c r="R65" s="17">
        <f>'AEO 2023 Table 47 Raw'!U52</f>
        <v>749.42907700000001</v>
      </c>
      <c r="S65" s="17">
        <f>'AEO 2023 Table 47 Raw'!V52</f>
        <v>764.01898200000005</v>
      </c>
      <c r="T65" s="17">
        <f>'AEO 2023 Table 47 Raw'!W52</f>
        <v>778.82794200000001</v>
      </c>
      <c r="U65" s="17">
        <f>'AEO 2023 Table 47 Raw'!X52</f>
        <v>793.86084000000005</v>
      </c>
      <c r="V65" s="17">
        <f>'AEO 2023 Table 47 Raw'!Y52</f>
        <v>809.10955799999999</v>
      </c>
      <c r="W65" s="17">
        <f>'AEO 2023 Table 47 Raw'!Z52</f>
        <v>824.57147199999997</v>
      </c>
      <c r="X65" s="17">
        <f>'AEO 2023 Table 47 Raw'!AA52</f>
        <v>840.24200399999995</v>
      </c>
      <c r="Y65" s="17">
        <f>'AEO 2023 Table 47 Raw'!AB52</f>
        <v>856.11712599999998</v>
      </c>
      <c r="Z65" s="17">
        <f>'AEO 2023 Table 47 Raw'!AC52</f>
        <v>872.19311500000003</v>
      </c>
      <c r="AA65" s="17">
        <f>'AEO 2023 Table 47 Raw'!AD52</f>
        <v>888.45996100000002</v>
      </c>
      <c r="AB65" s="17">
        <f>'AEO 2023 Table 47 Raw'!AE52</f>
        <v>904.91650400000003</v>
      </c>
      <c r="AC65" s="17">
        <f>'AEO 2023 Table 47 Raw'!AF52</f>
        <v>921.58117700000003</v>
      </c>
      <c r="AD65" s="17">
        <f>'AEO 2023 Table 47 Raw'!AG52</f>
        <v>938.47827099999995</v>
      </c>
      <c r="AE65" s="17">
        <f>'AEO 2023 Table 47 Raw'!AH52</f>
        <v>955.62683100000004</v>
      </c>
      <c r="AF65" s="30">
        <f>'AEO 2023 Table 47 Raw'!AI52</f>
        <v>4.4999999999999998E-2</v>
      </c>
    </row>
    <row r="66" spans="1:32" ht="15" customHeight="1">
      <c r="A66" s="7" t="s">
        <v>581</v>
      </c>
      <c r="B66" s="16" t="s">
        <v>562</v>
      </c>
      <c r="C66" s="17">
        <f>'AEO 2023 Table 47 Raw'!F53</f>
        <v>26.796666999999999</v>
      </c>
      <c r="D66" s="17">
        <f>'AEO 2023 Table 47 Raw'!G53</f>
        <v>45.314689999999999</v>
      </c>
      <c r="E66" s="17">
        <f>'AEO 2023 Table 47 Raw'!H53</f>
        <v>64.486289999999997</v>
      </c>
      <c r="F66" s="17">
        <f>'AEO 2023 Table 47 Raw'!I53</f>
        <v>81.043578999999994</v>
      </c>
      <c r="G66" s="17">
        <f>'AEO 2023 Table 47 Raw'!J53</f>
        <v>93.134765999999999</v>
      </c>
      <c r="H66" s="17">
        <f>'AEO 2023 Table 47 Raw'!K53</f>
        <v>100.868759</v>
      </c>
      <c r="I66" s="17">
        <f>'AEO 2023 Table 47 Raw'!L53</f>
        <v>107.840248</v>
      </c>
      <c r="J66" s="17">
        <f>'AEO 2023 Table 47 Raw'!M53</f>
        <v>108.36943100000001</v>
      </c>
      <c r="K66" s="17">
        <f>'AEO 2023 Table 47 Raw'!N53</f>
        <v>108.73043800000001</v>
      </c>
      <c r="L66" s="17">
        <f>'AEO 2023 Table 47 Raw'!O53</f>
        <v>108.962463</v>
      </c>
      <c r="M66" s="17">
        <f>'AEO 2023 Table 47 Raw'!P53</f>
        <v>109.136337</v>
      </c>
      <c r="N66" s="17">
        <f>'AEO 2023 Table 47 Raw'!Q53</f>
        <v>109.31253100000001</v>
      </c>
      <c r="O66" s="17">
        <f>'AEO 2023 Table 47 Raw'!R53</f>
        <v>109.494522</v>
      </c>
      <c r="P66" s="17">
        <f>'AEO 2023 Table 47 Raw'!S53</f>
        <v>109.682007</v>
      </c>
      <c r="Q66" s="17">
        <f>'AEO 2023 Table 47 Raw'!T53</f>
        <v>109.874374</v>
      </c>
      <c r="R66" s="17">
        <f>'AEO 2023 Table 47 Raw'!U53</f>
        <v>110.07062500000001</v>
      </c>
      <c r="S66" s="17">
        <f>'AEO 2023 Table 47 Raw'!V53</f>
        <v>110.27067599999999</v>
      </c>
      <c r="T66" s="17">
        <f>'AEO 2023 Table 47 Raw'!W53</f>
        <v>110.472984</v>
      </c>
      <c r="U66" s="17">
        <f>'AEO 2023 Table 47 Raw'!X53</f>
        <v>110.676666</v>
      </c>
      <c r="V66" s="17">
        <f>'AEO 2023 Table 47 Raw'!Y53</f>
        <v>110.88208</v>
      </c>
      <c r="W66" s="17">
        <f>'AEO 2023 Table 47 Raw'!Z53</f>
        <v>111.08747099999999</v>
      </c>
      <c r="X66" s="17">
        <f>'AEO 2023 Table 47 Raw'!AA53</f>
        <v>111.293312</v>
      </c>
      <c r="Y66" s="17">
        <f>'AEO 2023 Table 47 Raw'!AB53</f>
        <v>111.50631</v>
      </c>
      <c r="Z66" s="17">
        <f>'AEO 2023 Table 47 Raw'!AC53</f>
        <v>111.74614699999999</v>
      </c>
      <c r="AA66" s="17">
        <f>'AEO 2023 Table 47 Raw'!AD53</f>
        <v>112.02600099999999</v>
      </c>
      <c r="AB66" s="17">
        <f>'AEO 2023 Table 47 Raw'!AE53</f>
        <v>112.349495</v>
      </c>
      <c r="AC66" s="17">
        <f>'AEO 2023 Table 47 Raw'!AF53</f>
        <v>112.717384</v>
      </c>
      <c r="AD66" s="17">
        <f>'AEO 2023 Table 47 Raw'!AG53</f>
        <v>113.130196</v>
      </c>
      <c r="AE66" s="17">
        <f>'AEO 2023 Table 47 Raw'!AH53</f>
        <v>113.58820299999999</v>
      </c>
      <c r="AF66" s="30">
        <f>'AEO 2023 Table 47 Raw'!AI53</f>
        <v>5.2999999999999999E-2</v>
      </c>
    </row>
    <row r="67" spans="1:32" ht="15" customHeight="1">
      <c r="A67" s="7" t="s">
        <v>582</v>
      </c>
      <c r="B67" s="16" t="s">
        <v>564</v>
      </c>
      <c r="C67" s="17">
        <f>'AEO 2023 Table 47 Raw'!F54</f>
        <v>25.196525999999999</v>
      </c>
      <c r="D67" s="17">
        <f>'AEO 2023 Table 47 Raw'!G54</f>
        <v>42.608761000000001</v>
      </c>
      <c r="E67" s="17">
        <f>'AEO 2023 Table 47 Raw'!H54</f>
        <v>60.635548</v>
      </c>
      <c r="F67" s="17">
        <f>'AEO 2023 Table 47 Raw'!I54</f>
        <v>76.204123999999993</v>
      </c>
      <c r="G67" s="17">
        <f>'AEO 2023 Table 47 Raw'!J54</f>
        <v>87.573295999999999</v>
      </c>
      <c r="H67" s="17">
        <f>'AEO 2023 Table 47 Raw'!K54</f>
        <v>94.845459000000005</v>
      </c>
      <c r="I67" s="17">
        <f>'AEO 2023 Table 47 Raw'!L54</f>
        <v>101.40065800000001</v>
      </c>
      <c r="J67" s="17">
        <f>'AEO 2023 Table 47 Raw'!M54</f>
        <v>104.595985</v>
      </c>
      <c r="K67" s="17">
        <f>'AEO 2023 Table 47 Raw'!N54</f>
        <v>107.86273199999999</v>
      </c>
      <c r="L67" s="17">
        <f>'AEO 2023 Table 47 Raw'!O54</f>
        <v>111.197243</v>
      </c>
      <c r="M67" s="17">
        <f>'AEO 2023 Table 47 Raw'!P54</f>
        <v>114.59079</v>
      </c>
      <c r="N67" s="17">
        <f>'AEO 2023 Table 47 Raw'!Q54</f>
        <v>118.050285</v>
      </c>
      <c r="O67" s="17">
        <f>'AEO 2023 Table 47 Raw'!R54</f>
        <v>121.579582</v>
      </c>
      <c r="P67" s="17">
        <f>'AEO 2023 Table 47 Raw'!S54</f>
        <v>125.155067</v>
      </c>
      <c r="Q67" s="17">
        <f>'AEO 2023 Table 47 Raw'!T54</f>
        <v>128.797516</v>
      </c>
      <c r="R67" s="17">
        <f>'AEO 2023 Table 47 Raw'!U54</f>
        <v>132.53035</v>
      </c>
      <c r="S67" s="17">
        <f>'AEO 2023 Table 47 Raw'!V54</f>
        <v>136.34974700000001</v>
      </c>
      <c r="T67" s="17">
        <f>'AEO 2023 Table 47 Raw'!W54</f>
        <v>140.240295</v>
      </c>
      <c r="U67" s="17">
        <f>'AEO 2023 Table 47 Raw'!X54</f>
        <v>144.20495600000001</v>
      </c>
      <c r="V67" s="17">
        <f>'AEO 2023 Table 47 Raw'!Y54</f>
        <v>148.25529499999999</v>
      </c>
      <c r="W67" s="17">
        <f>'AEO 2023 Table 47 Raw'!Z54</f>
        <v>152.394699</v>
      </c>
      <c r="X67" s="17">
        <f>'AEO 2023 Table 47 Raw'!AA54</f>
        <v>156.62347399999999</v>
      </c>
      <c r="Y67" s="17">
        <f>'AEO 2023 Table 47 Raw'!AB54</f>
        <v>160.942566</v>
      </c>
      <c r="Z67" s="17">
        <f>'AEO 2023 Table 47 Raw'!AC54</f>
        <v>165.35136399999999</v>
      </c>
      <c r="AA67" s="17">
        <f>'AEO 2023 Table 47 Raw'!AD54</f>
        <v>169.848938</v>
      </c>
      <c r="AB67" s="17">
        <f>'AEO 2023 Table 47 Raw'!AE54</f>
        <v>174.436218</v>
      </c>
      <c r="AC67" s="17">
        <f>'AEO 2023 Table 47 Raw'!AF54</f>
        <v>179.11892700000001</v>
      </c>
      <c r="AD67" s="17">
        <f>'AEO 2023 Table 47 Raw'!AG54</f>
        <v>183.89915500000001</v>
      </c>
      <c r="AE67" s="17">
        <f>'AEO 2023 Table 47 Raw'!AH54</f>
        <v>188.77813699999999</v>
      </c>
      <c r="AF67" s="30">
        <f>'AEO 2023 Table 47 Raw'!AI54</f>
        <v>7.4999999999999997E-2</v>
      </c>
    </row>
    <row r="68" spans="1:32" ht="15" customHeight="1">
      <c r="A68" s="7" t="s">
        <v>583</v>
      </c>
      <c r="B68" s="16" t="s">
        <v>566</v>
      </c>
      <c r="C68" s="17">
        <f>'AEO 2023 Table 47 Raw'!F55</f>
        <v>19.641961999999999</v>
      </c>
      <c r="D68" s="17">
        <f>'AEO 2023 Table 47 Raw'!G55</f>
        <v>33.215679000000002</v>
      </c>
      <c r="E68" s="17">
        <f>'AEO 2023 Table 47 Raw'!H55</f>
        <v>47.268467000000001</v>
      </c>
      <c r="F68" s="17">
        <f>'AEO 2023 Table 47 Raw'!I55</f>
        <v>59.404961</v>
      </c>
      <c r="G68" s="17">
        <f>'AEO 2023 Table 47 Raw'!J55</f>
        <v>68.267807000000005</v>
      </c>
      <c r="H68" s="17">
        <f>'AEO 2023 Table 47 Raw'!K55</f>
        <v>73.936829000000003</v>
      </c>
      <c r="I68" s="17">
        <f>'AEO 2023 Table 47 Raw'!L55</f>
        <v>79.046927999999994</v>
      </c>
      <c r="J68" s="17">
        <f>'AEO 2023 Table 47 Raw'!M55</f>
        <v>81.697327000000001</v>
      </c>
      <c r="K68" s="17">
        <f>'AEO 2023 Table 47 Raw'!N55</f>
        <v>84.197013999999996</v>
      </c>
      <c r="L68" s="17">
        <f>'AEO 2023 Table 47 Raw'!O55</f>
        <v>85.953468000000001</v>
      </c>
      <c r="M68" s="17">
        <f>'AEO 2023 Table 47 Raw'!P55</f>
        <v>86.642052000000007</v>
      </c>
      <c r="N68" s="17">
        <f>'AEO 2023 Table 47 Raw'!Q55</f>
        <v>87.126075999999998</v>
      </c>
      <c r="O68" s="17">
        <f>'AEO 2023 Table 47 Raw'!R55</f>
        <v>87.600150999999997</v>
      </c>
      <c r="P68" s="17">
        <f>'AEO 2023 Table 47 Raw'!S55</f>
        <v>88.047066000000001</v>
      </c>
      <c r="Q68" s="17">
        <f>'AEO 2023 Table 47 Raw'!T55</f>
        <v>88.515472000000003</v>
      </c>
      <c r="R68" s="17">
        <f>'AEO 2023 Table 47 Raw'!U55</f>
        <v>88.823288000000005</v>
      </c>
      <c r="S68" s="17">
        <f>'AEO 2023 Table 47 Raw'!V55</f>
        <v>88.985320999999999</v>
      </c>
      <c r="T68" s="17">
        <f>'AEO 2023 Table 47 Raw'!W55</f>
        <v>89.172111999999998</v>
      </c>
      <c r="U68" s="17">
        <f>'AEO 2023 Table 47 Raw'!X55</f>
        <v>89.495384000000001</v>
      </c>
      <c r="V68" s="17">
        <f>'AEO 2023 Table 47 Raw'!Y55</f>
        <v>90.072411000000002</v>
      </c>
      <c r="W68" s="17">
        <f>'AEO 2023 Table 47 Raw'!Z55</f>
        <v>90.859511999999995</v>
      </c>
      <c r="X68" s="17">
        <f>'AEO 2023 Table 47 Raw'!AA55</f>
        <v>91.744774000000007</v>
      </c>
      <c r="Y68" s="17">
        <f>'AEO 2023 Table 47 Raw'!AB55</f>
        <v>92.696106</v>
      </c>
      <c r="Z68" s="17">
        <f>'AEO 2023 Table 47 Raw'!AC55</f>
        <v>93.655745999999994</v>
      </c>
      <c r="AA68" s="17">
        <f>'AEO 2023 Table 47 Raw'!AD55</f>
        <v>94.557418999999996</v>
      </c>
      <c r="AB68" s="17">
        <f>'AEO 2023 Table 47 Raw'!AE55</f>
        <v>95.400192000000004</v>
      </c>
      <c r="AC68" s="17">
        <f>'AEO 2023 Table 47 Raw'!AF55</f>
        <v>96.266959999999997</v>
      </c>
      <c r="AD68" s="17">
        <f>'AEO 2023 Table 47 Raw'!AG55</f>
        <v>97.231399999999994</v>
      </c>
      <c r="AE68" s="17">
        <f>'AEO 2023 Table 47 Raw'!AH55</f>
        <v>98.346619000000004</v>
      </c>
      <c r="AF68" s="30">
        <f>'AEO 2023 Table 47 Raw'!AI55</f>
        <v>5.8999999999999997E-2</v>
      </c>
    </row>
    <row r="69" spans="1:32" ht="15" customHeight="1">
      <c r="A69" s="7" t="s">
        <v>584</v>
      </c>
      <c r="B69" s="16" t="s">
        <v>568</v>
      </c>
      <c r="C69" s="17">
        <f>'AEO 2023 Table 47 Raw'!F56</f>
        <v>21.804157</v>
      </c>
      <c r="D69" s="17">
        <f>'AEO 2023 Table 47 Raw'!G56</f>
        <v>29.275511000000002</v>
      </c>
      <c r="E69" s="17">
        <f>'AEO 2023 Table 47 Raw'!H56</f>
        <v>36.391086999999999</v>
      </c>
      <c r="F69" s="17">
        <f>'AEO 2023 Table 47 Raw'!I56</f>
        <v>42.134377000000001</v>
      </c>
      <c r="G69" s="17">
        <f>'AEO 2023 Table 47 Raw'!J56</f>
        <v>46.149593000000003</v>
      </c>
      <c r="H69" s="17">
        <f>'AEO 2023 Table 47 Raw'!K56</f>
        <v>48.538395000000001</v>
      </c>
      <c r="I69" s="17">
        <f>'AEO 2023 Table 47 Raw'!L56</f>
        <v>50.317287</v>
      </c>
      <c r="J69" s="17">
        <f>'AEO 2023 Table 47 Raw'!M56</f>
        <v>51.333579999999998</v>
      </c>
      <c r="K69" s="17">
        <f>'AEO 2023 Table 47 Raw'!N56</f>
        <v>52.367713999999999</v>
      </c>
      <c r="L69" s="17">
        <f>'AEO 2023 Table 47 Raw'!O56</f>
        <v>53.428528</v>
      </c>
      <c r="M69" s="17">
        <f>'AEO 2023 Table 47 Raw'!P56</f>
        <v>54.510128000000002</v>
      </c>
      <c r="N69" s="17">
        <f>'AEO 2023 Table 47 Raw'!Q56</f>
        <v>55.610111000000003</v>
      </c>
      <c r="O69" s="17">
        <f>'AEO 2023 Table 47 Raw'!R56</f>
        <v>56.732365000000001</v>
      </c>
      <c r="P69" s="17">
        <f>'AEO 2023 Table 47 Raw'!S56</f>
        <v>57.880558000000001</v>
      </c>
      <c r="Q69" s="17">
        <f>'AEO 2023 Table 47 Raw'!T56</f>
        <v>59.054034999999999</v>
      </c>
      <c r="R69" s="17">
        <f>'AEO 2023 Table 47 Raw'!U56</f>
        <v>60.251175000000003</v>
      </c>
      <c r="S69" s="17">
        <f>'AEO 2023 Table 47 Raw'!V56</f>
        <v>61.474559999999997</v>
      </c>
      <c r="T69" s="17">
        <f>'AEO 2023 Table 47 Raw'!W56</f>
        <v>62.726730000000003</v>
      </c>
      <c r="U69" s="17">
        <f>'AEO 2023 Table 47 Raw'!X56</f>
        <v>64.010589999999993</v>
      </c>
      <c r="V69" s="17">
        <f>'AEO 2023 Table 47 Raw'!Y56</f>
        <v>65.327087000000006</v>
      </c>
      <c r="W69" s="17">
        <f>'AEO 2023 Table 47 Raw'!Z56</f>
        <v>66.676070999999993</v>
      </c>
      <c r="X69" s="17">
        <f>'AEO 2023 Table 47 Raw'!AA56</f>
        <v>68.057311999999996</v>
      </c>
      <c r="Y69" s="17">
        <f>'AEO 2023 Table 47 Raw'!AB56</f>
        <v>69.470946999999995</v>
      </c>
      <c r="Z69" s="17">
        <f>'AEO 2023 Table 47 Raw'!AC56</f>
        <v>70.916954000000004</v>
      </c>
      <c r="AA69" s="17">
        <f>'AEO 2023 Table 47 Raw'!AD56</f>
        <v>72.397980000000004</v>
      </c>
      <c r="AB69" s="17">
        <f>'AEO 2023 Table 47 Raw'!AE56</f>
        <v>73.914649999999995</v>
      </c>
      <c r="AC69" s="17">
        <f>'AEO 2023 Table 47 Raw'!AF56</f>
        <v>75.465866000000005</v>
      </c>
      <c r="AD69" s="17">
        <f>'AEO 2023 Table 47 Raw'!AG56</f>
        <v>77.050514000000007</v>
      </c>
      <c r="AE69" s="17">
        <f>'AEO 2023 Table 47 Raw'!AH56</f>
        <v>78.666718000000003</v>
      </c>
      <c r="AF69" s="30">
        <f>'AEO 2023 Table 47 Raw'!AI56</f>
        <v>4.7E-2</v>
      </c>
    </row>
    <row r="70" spans="1:32" ht="12" customHeight="1">
      <c r="A70" s="7" t="s">
        <v>585</v>
      </c>
      <c r="B70" s="16" t="s">
        <v>570</v>
      </c>
      <c r="C70" s="17">
        <f>'AEO 2023 Table 47 Raw'!F57</f>
        <v>29.001909000000001</v>
      </c>
      <c r="D70" s="17">
        <f>'AEO 2023 Table 47 Raw'!G57</f>
        <v>38.939624999999999</v>
      </c>
      <c r="E70" s="17">
        <f>'AEO 2023 Table 47 Raw'!H57</f>
        <v>48.404114</v>
      </c>
      <c r="F70" s="17">
        <f>'AEO 2023 Table 47 Raw'!I57</f>
        <v>56.043312</v>
      </c>
      <c r="G70" s="17">
        <f>'AEO 2023 Table 47 Raw'!J57</f>
        <v>61.383991000000002</v>
      </c>
      <c r="H70" s="17">
        <f>'AEO 2023 Table 47 Raw'!K57</f>
        <v>64.561356000000004</v>
      </c>
      <c r="I70" s="17">
        <f>'AEO 2023 Table 47 Raw'!L57</f>
        <v>66.927482999999995</v>
      </c>
      <c r="J70" s="17">
        <f>'AEO 2023 Table 47 Raw'!M57</f>
        <v>68.857924999999994</v>
      </c>
      <c r="K70" s="17">
        <f>'AEO 2023 Table 47 Raw'!N57</f>
        <v>70.841437999999997</v>
      </c>
      <c r="L70" s="17">
        <f>'AEO 2023 Table 47 Raw'!O57</f>
        <v>72.918564000000003</v>
      </c>
      <c r="M70" s="17">
        <f>'AEO 2023 Table 47 Raw'!P57</f>
        <v>75.062759</v>
      </c>
      <c r="N70" s="17">
        <f>'AEO 2023 Table 47 Raw'!Q57</f>
        <v>77.264267000000004</v>
      </c>
      <c r="O70" s="17">
        <f>'AEO 2023 Table 47 Raw'!R57</f>
        <v>79.524733999999995</v>
      </c>
      <c r="P70" s="17">
        <f>'AEO 2023 Table 47 Raw'!S57</f>
        <v>81.848335000000006</v>
      </c>
      <c r="Q70" s="17">
        <f>'AEO 2023 Table 47 Raw'!T57</f>
        <v>84.195853999999997</v>
      </c>
      <c r="R70" s="17">
        <f>'AEO 2023 Table 47 Raw'!U57</f>
        <v>86.603179999999995</v>
      </c>
      <c r="S70" s="17">
        <f>'AEO 2023 Table 47 Raw'!V57</f>
        <v>89.073074000000005</v>
      </c>
      <c r="T70" s="17">
        <f>'AEO 2023 Table 47 Raw'!W57</f>
        <v>91.606102000000007</v>
      </c>
      <c r="U70" s="17">
        <f>'AEO 2023 Table 47 Raw'!X57</f>
        <v>94.205521000000005</v>
      </c>
      <c r="V70" s="17">
        <f>'AEO 2023 Table 47 Raw'!Y57</f>
        <v>96.825774999999993</v>
      </c>
      <c r="W70" s="17">
        <f>'AEO 2023 Table 47 Raw'!Z57</f>
        <v>99.511925000000005</v>
      </c>
      <c r="X70" s="17">
        <f>'AEO 2023 Table 47 Raw'!AA57</f>
        <v>102.264999</v>
      </c>
      <c r="Y70" s="17">
        <f>'AEO 2023 Table 47 Raw'!AB57</f>
        <v>105.084068</v>
      </c>
      <c r="Z70" s="17">
        <f>'AEO 2023 Table 47 Raw'!AC57</f>
        <v>107.969559</v>
      </c>
      <c r="AA70" s="17">
        <f>'AEO 2023 Table 47 Raw'!AD57</f>
        <v>110.868172</v>
      </c>
      <c r="AB70" s="17">
        <f>'AEO 2023 Table 47 Raw'!AE57</f>
        <v>113.832314</v>
      </c>
      <c r="AC70" s="17">
        <f>'AEO 2023 Table 47 Raw'!AF57</f>
        <v>116.86582900000001</v>
      </c>
      <c r="AD70" s="17">
        <f>'AEO 2023 Table 47 Raw'!AG57</f>
        <v>119.971458</v>
      </c>
      <c r="AE70" s="17">
        <f>'AEO 2023 Table 47 Raw'!AH57</f>
        <v>123.15158099999999</v>
      </c>
      <c r="AF70" s="30">
        <f>'AEO 2023 Table 47 Raw'!AI57</f>
        <v>5.2999999999999999E-2</v>
      </c>
    </row>
    <row r="71" spans="1:32" ht="15" customHeight="1">
      <c r="A71" s="7" t="s">
        <v>586</v>
      </c>
      <c r="B71" s="16" t="s">
        <v>572</v>
      </c>
      <c r="C71" s="17">
        <f>'AEO 2023 Table 47 Raw'!F58</f>
        <v>43.401493000000002</v>
      </c>
      <c r="D71" s="17">
        <f>'AEO 2023 Table 47 Raw'!G58</f>
        <v>79.040122999999994</v>
      </c>
      <c r="E71" s="17">
        <f>'AEO 2023 Table 47 Raw'!H58</f>
        <v>115.73732800000001</v>
      </c>
      <c r="F71" s="17">
        <f>'AEO 2023 Table 47 Raw'!I58</f>
        <v>144.31880200000001</v>
      </c>
      <c r="G71" s="17">
        <f>'AEO 2023 Table 47 Raw'!J58</f>
        <v>161.96167</v>
      </c>
      <c r="H71" s="17">
        <f>'AEO 2023 Table 47 Raw'!K58</f>
        <v>174.66456600000001</v>
      </c>
      <c r="I71" s="17">
        <f>'AEO 2023 Table 47 Raw'!L58</f>
        <v>184.330566</v>
      </c>
      <c r="J71" s="17">
        <f>'AEO 2023 Table 47 Raw'!M58</f>
        <v>194.21669</v>
      </c>
      <c r="K71" s="17">
        <f>'AEO 2023 Table 47 Raw'!N58</f>
        <v>204.29608200000001</v>
      </c>
      <c r="L71" s="17">
        <f>'AEO 2023 Table 47 Raw'!O58</f>
        <v>214.626465</v>
      </c>
      <c r="M71" s="17">
        <f>'AEO 2023 Table 47 Raw'!P58</f>
        <v>225.21134900000001</v>
      </c>
      <c r="N71" s="17">
        <f>'AEO 2023 Table 47 Raw'!Q58</f>
        <v>236.03950499999999</v>
      </c>
      <c r="O71" s="17">
        <f>'AEO 2023 Table 47 Raw'!R58</f>
        <v>247.13400300000001</v>
      </c>
      <c r="P71" s="17">
        <f>'AEO 2023 Table 47 Raw'!S58</f>
        <v>258.53561400000001</v>
      </c>
      <c r="Q71" s="17">
        <f>'AEO 2023 Table 47 Raw'!T58</f>
        <v>270.23638899999997</v>
      </c>
      <c r="R71" s="17">
        <f>'AEO 2023 Table 47 Raw'!U58</f>
        <v>282.19741800000003</v>
      </c>
      <c r="S71" s="17">
        <f>'AEO 2023 Table 47 Raw'!V58</f>
        <v>294.43173200000001</v>
      </c>
      <c r="T71" s="17">
        <f>'AEO 2023 Table 47 Raw'!W58</f>
        <v>306.98468000000003</v>
      </c>
      <c r="U71" s="17">
        <f>'AEO 2023 Table 47 Raw'!X58</f>
        <v>319.93069500000001</v>
      </c>
      <c r="V71" s="17">
        <f>'AEO 2023 Table 47 Raw'!Y58</f>
        <v>333.34088100000002</v>
      </c>
      <c r="W71" s="17">
        <f>'AEO 2023 Table 47 Raw'!Z58</f>
        <v>347.21804800000001</v>
      </c>
      <c r="X71" s="17">
        <f>'AEO 2023 Table 47 Raw'!AA58</f>
        <v>361.513214</v>
      </c>
      <c r="Y71" s="17">
        <f>'AEO 2023 Table 47 Raw'!AB58</f>
        <v>376.16323899999998</v>
      </c>
      <c r="Z71" s="17">
        <f>'AEO 2023 Table 47 Raw'!AC58</f>
        <v>391.09524499999998</v>
      </c>
      <c r="AA71" s="17">
        <f>'AEO 2023 Table 47 Raw'!AD58</f>
        <v>406.29702800000001</v>
      </c>
      <c r="AB71" s="17">
        <f>'AEO 2023 Table 47 Raw'!AE58</f>
        <v>421.81195100000002</v>
      </c>
      <c r="AC71" s="17">
        <f>'AEO 2023 Table 47 Raw'!AF58</f>
        <v>437.61935399999999</v>
      </c>
      <c r="AD71" s="17">
        <f>'AEO 2023 Table 47 Raw'!AG58</f>
        <v>453.65158100000002</v>
      </c>
      <c r="AE71" s="17">
        <f>'AEO 2023 Table 47 Raw'!AH58</f>
        <v>469.833099</v>
      </c>
      <c r="AF71" s="30">
        <f>'AEO 2023 Table 47 Raw'!AI58</f>
        <v>8.8999999999999996E-2</v>
      </c>
    </row>
    <row r="72" spans="1:32" ht="15" customHeight="1">
      <c r="AF72" s="33"/>
    </row>
    <row r="73" spans="1:32" ht="15" customHeight="1">
      <c r="B73" s="15" t="s">
        <v>587</v>
      </c>
      <c r="AF73" s="33"/>
    </row>
    <row r="74" spans="1:32" ht="15" customHeight="1">
      <c r="A74" s="7" t="s">
        <v>588</v>
      </c>
      <c r="B74" s="16" t="s">
        <v>520</v>
      </c>
      <c r="C74" s="18">
        <f>'AEO 2023 Table 47 Raw'!F60</f>
        <v>91.279387999999997</v>
      </c>
      <c r="D74" s="18">
        <f>'AEO 2023 Table 47 Raw'!G60</f>
        <v>154.35865799999999</v>
      </c>
      <c r="E74" s="18">
        <f>'AEO 2023 Table 47 Raw'!H60</f>
        <v>219.66423</v>
      </c>
      <c r="F74" s="18">
        <f>'AEO 2023 Table 47 Raw'!I60</f>
        <v>276.06451399999997</v>
      </c>
      <c r="G74" s="18">
        <f>'AEO 2023 Table 47 Raw'!J60</f>
        <v>317.25155599999999</v>
      </c>
      <c r="H74" s="18">
        <f>'AEO 2023 Table 47 Raw'!K60</f>
        <v>343.596405</v>
      </c>
      <c r="I74" s="18">
        <f>'AEO 2023 Table 47 Raw'!L60</f>
        <v>367.34390300000001</v>
      </c>
      <c r="J74" s="18">
        <f>'AEO 2023 Table 47 Raw'!M60</f>
        <v>382.82449300000002</v>
      </c>
      <c r="K74" s="18">
        <f>'AEO 2023 Table 47 Raw'!N60</f>
        <v>398.53997800000002</v>
      </c>
      <c r="L74" s="18">
        <f>'AEO 2023 Table 47 Raw'!O60</f>
        <v>414.53860500000002</v>
      </c>
      <c r="M74" s="18">
        <f>'AEO 2023 Table 47 Raw'!P60</f>
        <v>430.96127300000001</v>
      </c>
      <c r="N74" s="18">
        <f>'AEO 2023 Table 47 Raw'!Q60</f>
        <v>447.81228599999997</v>
      </c>
      <c r="O74" s="18">
        <f>'AEO 2023 Table 47 Raw'!R60</f>
        <v>465.11679099999998</v>
      </c>
      <c r="P74" s="18">
        <f>'AEO 2023 Table 47 Raw'!S60</f>
        <v>482.90234400000003</v>
      </c>
      <c r="Q74" s="18">
        <f>'AEO 2023 Table 47 Raw'!T60</f>
        <v>500.96951300000001</v>
      </c>
      <c r="R74" s="18">
        <f>'AEO 2023 Table 47 Raw'!U60</f>
        <v>519.50836200000003</v>
      </c>
      <c r="S74" s="18">
        <f>'AEO 2023 Table 47 Raw'!V60</f>
        <v>538.54644800000005</v>
      </c>
      <c r="T74" s="18">
        <f>'AEO 2023 Table 47 Raw'!W60</f>
        <v>558.08233600000005</v>
      </c>
      <c r="U74" s="18">
        <f>'AEO 2023 Table 47 Raw'!X60</f>
        <v>578.15362500000003</v>
      </c>
      <c r="V74" s="18">
        <f>'AEO 2023 Table 47 Raw'!Y60</f>
        <v>598.50408900000002</v>
      </c>
      <c r="W74" s="18">
        <f>'AEO 2023 Table 47 Raw'!Z60</f>
        <v>619.32586700000002</v>
      </c>
      <c r="X74" s="18">
        <f>'AEO 2023 Table 47 Raw'!AA60</f>
        <v>640.64349400000003</v>
      </c>
      <c r="Y74" s="18">
        <f>'AEO 2023 Table 47 Raw'!AB60</f>
        <v>662.47534199999996</v>
      </c>
      <c r="Z74" s="18">
        <f>'AEO 2023 Table 47 Raw'!AC60</f>
        <v>684.81463599999995</v>
      </c>
      <c r="AA74" s="18">
        <f>'AEO 2023 Table 47 Raw'!AD60</f>
        <v>707.22051999999996</v>
      </c>
      <c r="AB74" s="18">
        <f>'AEO 2023 Table 47 Raw'!AE60</f>
        <v>730.06036400000005</v>
      </c>
      <c r="AC74" s="18">
        <f>'AEO 2023 Table 47 Raw'!AF60</f>
        <v>753.42486599999995</v>
      </c>
      <c r="AD74" s="18">
        <f>'AEO 2023 Table 47 Raw'!AG60</f>
        <v>777.34991500000001</v>
      </c>
      <c r="AE74" s="18">
        <f>'AEO 2023 Table 47 Raw'!AH60</f>
        <v>801.87402299999997</v>
      </c>
      <c r="AF74" s="30">
        <f>'AEO 2023 Table 47 Raw'!AI60</f>
        <v>8.1000000000000003E-2</v>
      </c>
    </row>
    <row r="75" spans="1:32" ht="15" customHeight="1">
      <c r="A75" s="7" t="s">
        <v>589</v>
      </c>
      <c r="B75" s="16" t="s">
        <v>522</v>
      </c>
      <c r="C75" s="18">
        <f>'AEO 2023 Table 47 Raw'!F61</f>
        <v>90.713904999999997</v>
      </c>
      <c r="D75" s="18">
        <f>'AEO 2023 Table 47 Raw'!G61</f>
        <v>125.583687</v>
      </c>
      <c r="E75" s="18">
        <f>'AEO 2023 Table 47 Raw'!H61</f>
        <v>164.386169</v>
      </c>
      <c r="F75" s="18">
        <f>'AEO 2023 Table 47 Raw'!I61</f>
        <v>199.255966</v>
      </c>
      <c r="G75" s="18">
        <f>'AEO 2023 Table 47 Raw'!J61</f>
        <v>225.73603800000001</v>
      </c>
      <c r="H75" s="18">
        <f>'AEO 2023 Table 47 Raw'!K61</f>
        <v>243.039841</v>
      </c>
      <c r="I75" s="18">
        <f>'AEO 2023 Table 47 Raw'!L61</f>
        <v>259.55712899999997</v>
      </c>
      <c r="J75" s="18">
        <f>'AEO 2023 Table 47 Raw'!M61</f>
        <v>272.453125</v>
      </c>
      <c r="K75" s="18">
        <f>'AEO 2023 Table 47 Raw'!N61</f>
        <v>285.794647</v>
      </c>
      <c r="L75" s="18">
        <f>'AEO 2023 Table 47 Raw'!O61</f>
        <v>299.19274899999999</v>
      </c>
      <c r="M75" s="18">
        <f>'AEO 2023 Table 47 Raw'!P61</f>
        <v>313.14953600000001</v>
      </c>
      <c r="N75" s="18">
        <f>'AEO 2023 Table 47 Raw'!Q61</f>
        <v>327.69116200000002</v>
      </c>
      <c r="O75" s="18">
        <f>'AEO 2023 Table 47 Raw'!R61</f>
        <v>342.84011800000002</v>
      </c>
      <c r="P75" s="18">
        <f>'AEO 2023 Table 47 Raw'!S61</f>
        <v>358.61981200000002</v>
      </c>
      <c r="Q75" s="18">
        <f>'AEO 2023 Table 47 Raw'!T61</f>
        <v>374.87417599999998</v>
      </c>
      <c r="R75" s="18">
        <f>'AEO 2023 Table 47 Raw'!U61</f>
        <v>391.79058800000001</v>
      </c>
      <c r="S75" s="18">
        <f>'AEO 2023 Table 47 Raw'!V61</f>
        <v>409.39093000000003</v>
      </c>
      <c r="T75" s="18">
        <f>'AEO 2023 Table 47 Raw'!W61</f>
        <v>427.69464099999999</v>
      </c>
      <c r="U75" s="18">
        <f>'AEO 2023 Table 47 Raw'!X61</f>
        <v>446.72839399999998</v>
      </c>
      <c r="V75" s="18">
        <f>'AEO 2023 Table 47 Raw'!Y61</f>
        <v>466.348389</v>
      </c>
      <c r="W75" s="18">
        <f>'AEO 2023 Table 47 Raw'!Z61</f>
        <v>486.73355099999998</v>
      </c>
      <c r="X75" s="18">
        <f>'AEO 2023 Table 47 Raw'!AA61</f>
        <v>507.90823399999999</v>
      </c>
      <c r="Y75" s="18">
        <f>'AEO 2023 Table 47 Raw'!AB61</f>
        <v>529.89691200000004</v>
      </c>
      <c r="Z75" s="18">
        <f>'AEO 2023 Table 47 Raw'!AC61</f>
        <v>552.73230000000001</v>
      </c>
      <c r="AA75" s="18">
        <f>'AEO 2023 Table 47 Raw'!AD61</f>
        <v>576.19653300000004</v>
      </c>
      <c r="AB75" s="18">
        <f>'AEO 2023 Table 47 Raw'!AE61</f>
        <v>600.54156499999999</v>
      </c>
      <c r="AC75" s="18">
        <f>'AEO 2023 Table 47 Raw'!AF61</f>
        <v>625.79742399999998</v>
      </c>
      <c r="AD75" s="18">
        <f>'AEO 2023 Table 47 Raw'!AG61</f>
        <v>651.99127199999998</v>
      </c>
      <c r="AE75" s="18">
        <f>'AEO 2023 Table 47 Raw'!AH61</f>
        <v>679.15313700000002</v>
      </c>
      <c r="AF75" s="30">
        <f>'AEO 2023 Table 47 Raw'!AI61</f>
        <v>7.4999999999999997E-2</v>
      </c>
    </row>
    <row r="76" spans="1:32" ht="15" customHeight="1">
      <c r="A76" s="7" t="s">
        <v>590</v>
      </c>
      <c r="B76" s="16" t="s">
        <v>524</v>
      </c>
      <c r="C76" s="18">
        <f>'AEO 2023 Table 47 Raw'!F62</f>
        <v>41.477749000000003</v>
      </c>
      <c r="D76" s="18">
        <f>'AEO 2023 Table 47 Raw'!G62</f>
        <v>56.116959000000001</v>
      </c>
      <c r="E76" s="18">
        <f>'AEO 2023 Table 47 Raw'!H62</f>
        <v>70.654503000000005</v>
      </c>
      <c r="F76" s="18">
        <f>'AEO 2023 Table 47 Raw'!I62</f>
        <v>82.650513000000004</v>
      </c>
      <c r="G76" s="18">
        <f>'AEO 2023 Table 47 Raw'!J62</f>
        <v>91.190062999999995</v>
      </c>
      <c r="H76" s="18">
        <f>'AEO 2023 Table 47 Raw'!K62</f>
        <v>96.476439999999997</v>
      </c>
      <c r="I76" s="18">
        <f>'AEO 2023 Table 47 Raw'!L62</f>
        <v>100.644547</v>
      </c>
      <c r="J76" s="18">
        <f>'AEO 2023 Table 47 Raw'!M62</f>
        <v>105.10861199999999</v>
      </c>
      <c r="K76" s="18">
        <f>'AEO 2023 Table 47 Raw'!N62</f>
        <v>109.777794</v>
      </c>
      <c r="L76" s="18">
        <f>'AEO 2023 Table 47 Raw'!O62</f>
        <v>114.634125</v>
      </c>
      <c r="M76" s="18">
        <f>'AEO 2023 Table 47 Raw'!P62</f>
        <v>119.654022</v>
      </c>
      <c r="N76" s="18">
        <f>'AEO 2023 Table 47 Raw'!Q62</f>
        <v>124.82345599999999</v>
      </c>
      <c r="O76" s="18">
        <f>'AEO 2023 Table 47 Raw'!R62</f>
        <v>130.140533</v>
      </c>
      <c r="P76" s="18">
        <f>'AEO 2023 Table 47 Raw'!S62</f>
        <v>135.60420199999999</v>
      </c>
      <c r="Q76" s="18">
        <f>'AEO 2023 Table 47 Raw'!T62</f>
        <v>141.26831100000001</v>
      </c>
      <c r="R76" s="18">
        <f>'AEO 2023 Table 47 Raw'!U62</f>
        <v>147.09477200000001</v>
      </c>
      <c r="S76" s="18">
        <f>'AEO 2023 Table 47 Raw'!V62</f>
        <v>153.074432</v>
      </c>
      <c r="T76" s="18">
        <f>'AEO 2023 Table 47 Raw'!W62</f>
        <v>159.205353</v>
      </c>
      <c r="U76" s="18">
        <f>'AEO 2023 Table 47 Raw'!X62</f>
        <v>165.49443099999999</v>
      </c>
      <c r="V76" s="18">
        <f>'AEO 2023 Table 47 Raw'!Y62</f>
        <v>171.99311800000001</v>
      </c>
      <c r="W76" s="18">
        <f>'AEO 2023 Table 47 Raw'!Z62</f>
        <v>178.657501</v>
      </c>
      <c r="X76" s="18">
        <f>'AEO 2023 Table 47 Raw'!AA62</f>
        <v>185.48194899999999</v>
      </c>
      <c r="Y76" s="18">
        <f>'AEO 2023 Table 47 Raw'!AB62</f>
        <v>192.46803299999999</v>
      </c>
      <c r="Z76" s="18">
        <f>'AEO 2023 Table 47 Raw'!AC62</f>
        <v>199.62287900000001</v>
      </c>
      <c r="AA76" s="18">
        <f>'AEO 2023 Table 47 Raw'!AD62</f>
        <v>206.99113500000001</v>
      </c>
      <c r="AB76" s="18">
        <f>'AEO 2023 Table 47 Raw'!AE62</f>
        <v>214.53208900000001</v>
      </c>
      <c r="AC76" s="18">
        <f>'AEO 2023 Table 47 Raw'!AF62</f>
        <v>222.241882</v>
      </c>
      <c r="AD76" s="18">
        <f>'AEO 2023 Table 47 Raw'!AG62</f>
        <v>230.12132299999999</v>
      </c>
      <c r="AE76" s="18">
        <f>'AEO 2023 Table 47 Raw'!AH62</f>
        <v>238.176727</v>
      </c>
      <c r="AF76" s="30">
        <f>'AEO 2023 Table 47 Raw'!AI62</f>
        <v>6.4000000000000001E-2</v>
      </c>
    </row>
    <row r="77" spans="1:32" ht="15" customHeight="1">
      <c r="A77" s="7" t="s">
        <v>591</v>
      </c>
      <c r="B77" s="16" t="s">
        <v>526</v>
      </c>
      <c r="C77" s="18">
        <f>'AEO 2023 Table 47 Raw'!F63</f>
        <v>18.422384000000001</v>
      </c>
      <c r="D77" s="18">
        <f>'AEO 2023 Table 47 Raw'!G63</f>
        <v>24.921766000000002</v>
      </c>
      <c r="E77" s="18">
        <f>'AEO 2023 Table 47 Raw'!H63</f>
        <v>31.286677999999998</v>
      </c>
      <c r="F77" s="18">
        <f>'AEO 2023 Table 47 Raw'!I63</f>
        <v>36.531010000000002</v>
      </c>
      <c r="G77" s="18">
        <f>'AEO 2023 Table 47 Raw'!J63</f>
        <v>40.251339000000002</v>
      </c>
      <c r="H77" s="18">
        <f>'AEO 2023 Table 47 Raw'!K63</f>
        <v>42.582152999999998</v>
      </c>
      <c r="I77" s="18">
        <f>'AEO 2023 Table 47 Raw'!L63</f>
        <v>44.375087999999998</v>
      </c>
      <c r="J77" s="18">
        <f>'AEO 2023 Table 47 Raw'!M63</f>
        <v>45.552967000000002</v>
      </c>
      <c r="K77" s="18">
        <f>'AEO 2023 Table 47 Raw'!N63</f>
        <v>46.643486000000003</v>
      </c>
      <c r="L77" s="18">
        <f>'AEO 2023 Table 47 Raw'!O63</f>
        <v>47.615417000000001</v>
      </c>
      <c r="M77" s="18">
        <f>'AEO 2023 Table 47 Raw'!P63</f>
        <v>48.534264</v>
      </c>
      <c r="N77" s="18">
        <f>'AEO 2023 Table 47 Raw'!Q63</f>
        <v>49.396385000000002</v>
      </c>
      <c r="O77" s="18">
        <f>'AEO 2023 Table 47 Raw'!R63</f>
        <v>50.197502</v>
      </c>
      <c r="P77" s="18">
        <f>'AEO 2023 Table 47 Raw'!S63</f>
        <v>50.933815000000003</v>
      </c>
      <c r="Q77" s="18">
        <f>'AEO 2023 Table 47 Raw'!T63</f>
        <v>51.605465000000002</v>
      </c>
      <c r="R77" s="18">
        <f>'AEO 2023 Table 47 Raw'!U63</f>
        <v>52.221404999999997</v>
      </c>
      <c r="S77" s="18">
        <f>'AEO 2023 Table 47 Raw'!V63</f>
        <v>52.787604999999999</v>
      </c>
      <c r="T77" s="18">
        <f>'AEO 2023 Table 47 Raw'!W63</f>
        <v>53.310012999999998</v>
      </c>
      <c r="U77" s="18">
        <f>'AEO 2023 Table 47 Raw'!X63</f>
        <v>53.794593999999996</v>
      </c>
      <c r="V77" s="18">
        <f>'AEO 2023 Table 47 Raw'!Y63</f>
        <v>54.246001999999997</v>
      </c>
      <c r="W77" s="18">
        <f>'AEO 2023 Table 47 Raw'!Z63</f>
        <v>54.667313</v>
      </c>
      <c r="X77" s="18">
        <f>'AEO 2023 Table 47 Raw'!AA63</f>
        <v>55.060822000000002</v>
      </c>
      <c r="Y77" s="18">
        <f>'AEO 2023 Table 47 Raw'!AB63</f>
        <v>55.427867999999997</v>
      </c>
      <c r="Z77" s="18">
        <f>'AEO 2023 Table 47 Raw'!AC63</f>
        <v>55.770457999999998</v>
      </c>
      <c r="AA77" s="18">
        <f>'AEO 2023 Table 47 Raw'!AD63</f>
        <v>56.094085999999997</v>
      </c>
      <c r="AB77" s="18">
        <f>'AEO 2023 Table 47 Raw'!AE63</f>
        <v>56.398609</v>
      </c>
      <c r="AC77" s="18">
        <f>'AEO 2023 Table 47 Raw'!AF63</f>
        <v>56.681601999999998</v>
      </c>
      <c r="AD77" s="18">
        <f>'AEO 2023 Table 47 Raw'!AG63</f>
        <v>56.938384999999997</v>
      </c>
      <c r="AE77" s="18">
        <f>'AEO 2023 Table 47 Raw'!AH63</f>
        <v>57.168449000000003</v>
      </c>
      <c r="AF77" s="30">
        <f>'AEO 2023 Table 47 Raw'!AI63</f>
        <v>4.1000000000000002E-2</v>
      </c>
    </row>
    <row r="78" spans="1:32" ht="15" customHeight="1">
      <c r="A78" s="7" t="s">
        <v>592</v>
      </c>
      <c r="B78" s="16" t="s">
        <v>528</v>
      </c>
      <c r="C78" s="18">
        <f>'AEO 2023 Table 47 Raw'!F64</f>
        <v>37.358677</v>
      </c>
      <c r="D78" s="18">
        <f>'AEO 2023 Table 47 Raw'!G64</f>
        <v>50.538738000000002</v>
      </c>
      <c r="E78" s="18">
        <f>'AEO 2023 Table 47 Raw'!H64</f>
        <v>63.446117000000001</v>
      </c>
      <c r="F78" s="18">
        <f>'AEO 2023 Table 47 Raw'!I64</f>
        <v>74.081069999999997</v>
      </c>
      <c r="G78" s="18">
        <f>'AEO 2023 Table 47 Raw'!J64</f>
        <v>81.625525999999994</v>
      </c>
      <c r="H78" s="18">
        <f>'AEO 2023 Table 47 Raw'!K64</f>
        <v>86.352164999999999</v>
      </c>
      <c r="I78" s="18">
        <f>'AEO 2023 Table 47 Raw'!L64</f>
        <v>89.988045</v>
      </c>
      <c r="J78" s="18">
        <f>'AEO 2023 Table 47 Raw'!M64</f>
        <v>93.229279000000005</v>
      </c>
      <c r="K78" s="18">
        <f>'AEO 2023 Table 47 Raw'!N64</f>
        <v>96.518051</v>
      </c>
      <c r="L78" s="18">
        <f>'AEO 2023 Table 47 Raw'!O64</f>
        <v>99.834007</v>
      </c>
      <c r="M78" s="18">
        <f>'AEO 2023 Table 47 Raw'!P64</f>
        <v>103.228836</v>
      </c>
      <c r="N78" s="18">
        <f>'AEO 2023 Table 47 Raw'!Q64</f>
        <v>106.711052</v>
      </c>
      <c r="O78" s="18">
        <f>'AEO 2023 Table 47 Raw'!R64</f>
        <v>110.286186</v>
      </c>
      <c r="P78" s="18">
        <f>'AEO 2023 Table 47 Raw'!S64</f>
        <v>113.95946499999999</v>
      </c>
      <c r="Q78" s="18">
        <f>'AEO 2023 Table 47 Raw'!T64</f>
        <v>117.72137499999999</v>
      </c>
      <c r="R78" s="18">
        <f>'AEO 2023 Table 47 Raw'!U64</f>
        <v>121.58760100000001</v>
      </c>
      <c r="S78" s="18">
        <f>'AEO 2023 Table 47 Raw'!V64</f>
        <v>125.559944</v>
      </c>
      <c r="T78" s="18">
        <f>'AEO 2023 Table 47 Raw'!W64</f>
        <v>129.63948099999999</v>
      </c>
      <c r="U78" s="18">
        <f>'AEO 2023 Table 47 Raw'!X64</f>
        <v>133.82646199999999</v>
      </c>
      <c r="V78" s="18">
        <f>'AEO 2023 Table 47 Raw'!Y64</f>
        <v>138.11544799999999</v>
      </c>
      <c r="W78" s="18">
        <f>'AEO 2023 Table 47 Raw'!Z64</f>
        <v>142.51733400000001</v>
      </c>
      <c r="X78" s="18">
        <f>'AEO 2023 Table 47 Raw'!AA64</f>
        <v>147.03389000000001</v>
      </c>
      <c r="Y78" s="18">
        <f>'AEO 2023 Table 47 Raw'!AB64</f>
        <v>151.667145</v>
      </c>
      <c r="Z78" s="18">
        <f>'AEO 2023 Table 47 Raw'!AC64</f>
        <v>156.41830400000001</v>
      </c>
      <c r="AA78" s="18">
        <f>'AEO 2023 Table 47 Raw'!AD64</f>
        <v>161.26028400000001</v>
      </c>
      <c r="AB78" s="18">
        <f>'AEO 2023 Table 47 Raw'!AE64</f>
        <v>166.222961</v>
      </c>
      <c r="AC78" s="18">
        <f>'AEO 2023 Table 47 Raw'!AF64</f>
        <v>171.310562</v>
      </c>
      <c r="AD78" s="18">
        <f>'AEO 2023 Table 47 Raw'!AG64</f>
        <v>176.52694700000001</v>
      </c>
      <c r="AE78" s="18">
        <f>'AEO 2023 Table 47 Raw'!AH64</f>
        <v>181.87539699999999</v>
      </c>
      <c r="AF78" s="30">
        <f>'AEO 2023 Table 47 Raw'!AI64</f>
        <v>5.8000000000000003E-2</v>
      </c>
    </row>
    <row r="79" spans="1:32" ht="15" customHeight="1">
      <c r="A79" s="7" t="s">
        <v>593</v>
      </c>
      <c r="B79" s="16" t="s">
        <v>530</v>
      </c>
      <c r="C79" s="18">
        <f>'AEO 2023 Table 47 Raw'!F65</f>
        <v>1060.8295900000001</v>
      </c>
      <c r="D79" s="18">
        <f>'AEO 2023 Table 47 Raw'!G65</f>
        <v>1535.6385499999999</v>
      </c>
      <c r="E79" s="18">
        <f>'AEO 2023 Table 47 Raw'!H65</f>
        <v>1956.2210689999999</v>
      </c>
      <c r="F79" s="18">
        <f>'AEO 2023 Table 47 Raw'!I65</f>
        <v>2270.5656739999999</v>
      </c>
      <c r="G79" s="18">
        <f>'AEO 2023 Table 47 Raw'!J65</f>
        <v>2496.6696780000002</v>
      </c>
      <c r="H79" s="18">
        <f>'AEO 2023 Table 47 Raw'!K65</f>
        <v>2624.844482</v>
      </c>
      <c r="I79" s="18">
        <f>'AEO 2023 Table 47 Raw'!L65</f>
        <v>2736.3034670000002</v>
      </c>
      <c r="J79" s="18">
        <f>'AEO 2023 Table 47 Raw'!M65</f>
        <v>2821.4812010000001</v>
      </c>
      <c r="K79" s="18">
        <f>'AEO 2023 Table 47 Raw'!N65</f>
        <v>2907.1589359999998</v>
      </c>
      <c r="L79" s="18">
        <f>'AEO 2023 Table 47 Raw'!O65</f>
        <v>2993.8640140000002</v>
      </c>
      <c r="M79" s="18">
        <f>'AEO 2023 Table 47 Raw'!P65</f>
        <v>3083.5327149999998</v>
      </c>
      <c r="N79" s="18">
        <f>'AEO 2023 Table 47 Raw'!Q65</f>
        <v>3175.1757809999999</v>
      </c>
      <c r="O79" s="18">
        <f>'AEO 2023 Table 47 Raw'!R65</f>
        <v>3267.311279</v>
      </c>
      <c r="P79" s="18">
        <f>'AEO 2023 Table 47 Raw'!S65</f>
        <v>3361.35376</v>
      </c>
      <c r="Q79" s="18">
        <f>'AEO 2023 Table 47 Raw'!T65</f>
        <v>3458.070557</v>
      </c>
      <c r="R79" s="18">
        <f>'AEO 2023 Table 47 Raw'!U65</f>
        <v>3557.9589839999999</v>
      </c>
      <c r="S79" s="18">
        <f>'AEO 2023 Table 47 Raw'!V65</f>
        <v>3661.1564939999998</v>
      </c>
      <c r="T79" s="18">
        <f>'AEO 2023 Table 47 Raw'!W65</f>
        <v>3767.2658689999998</v>
      </c>
      <c r="U79" s="18">
        <f>'AEO 2023 Table 47 Raw'!X65</f>
        <v>3877.064453</v>
      </c>
      <c r="V79" s="18">
        <f>'AEO 2023 Table 47 Raw'!Y65</f>
        <v>3989.1020509999998</v>
      </c>
      <c r="W79" s="18">
        <f>'AEO 2023 Table 47 Raw'!Z65</f>
        <v>4104.3325199999999</v>
      </c>
      <c r="X79" s="18">
        <f>'AEO 2023 Table 47 Raw'!AA65</f>
        <v>4222.5615230000003</v>
      </c>
      <c r="Y79" s="18">
        <f>'AEO 2023 Table 47 Raw'!AB65</f>
        <v>4343.7075199999999</v>
      </c>
      <c r="Z79" s="18">
        <f>'AEO 2023 Table 47 Raw'!AC65</f>
        <v>4467.2685549999997</v>
      </c>
      <c r="AA79" s="18">
        <f>'AEO 2023 Table 47 Raw'!AD65</f>
        <v>4593.1997069999998</v>
      </c>
      <c r="AB79" s="18">
        <f>'AEO 2023 Table 47 Raw'!AE65</f>
        <v>4722.3706050000001</v>
      </c>
      <c r="AC79" s="18">
        <f>'AEO 2023 Table 47 Raw'!AF65</f>
        <v>4854.9150390000004</v>
      </c>
      <c r="AD79" s="18">
        <f>'AEO 2023 Table 47 Raw'!AG65</f>
        <v>4990.8554690000001</v>
      </c>
      <c r="AE79" s="18">
        <f>'AEO 2023 Table 47 Raw'!AH65</f>
        <v>5130.4770509999998</v>
      </c>
      <c r="AF79" s="30">
        <f>'AEO 2023 Table 47 Raw'!AI65</f>
        <v>5.8000000000000003E-2</v>
      </c>
    </row>
    <row r="80" spans="1:32" ht="15" customHeight="1">
      <c r="A80" s="7" t="s">
        <v>594</v>
      </c>
      <c r="B80" s="16" t="s">
        <v>532</v>
      </c>
      <c r="C80" s="18">
        <f>'AEO 2023 Table 47 Raw'!F66</f>
        <v>3092.2739259999998</v>
      </c>
      <c r="D80" s="18">
        <f>'AEO 2023 Table 47 Raw'!G66</f>
        <v>3863.8820799999999</v>
      </c>
      <c r="E80" s="18">
        <f>'AEO 2023 Table 47 Raw'!H66</f>
        <v>4480.8652339999999</v>
      </c>
      <c r="F80" s="18">
        <f>'AEO 2023 Table 47 Raw'!I66</f>
        <v>4934.919922</v>
      </c>
      <c r="G80" s="18">
        <f>'AEO 2023 Table 47 Raw'!J66</f>
        <v>5268.0708009999998</v>
      </c>
      <c r="H80" s="18">
        <f>'AEO 2023 Table 47 Raw'!K66</f>
        <v>5491.9516599999997</v>
      </c>
      <c r="I80" s="18">
        <f>'AEO 2023 Table 47 Raw'!L66</f>
        <v>5700.4174800000001</v>
      </c>
      <c r="J80" s="18">
        <f>'AEO 2023 Table 47 Raw'!M66</f>
        <v>5881.640625</v>
      </c>
      <c r="K80" s="18">
        <f>'AEO 2023 Table 47 Raw'!N66</f>
        <v>6062.2890619999998</v>
      </c>
      <c r="L80" s="18">
        <f>'AEO 2023 Table 47 Raw'!O66</f>
        <v>6246.5034180000002</v>
      </c>
      <c r="M80" s="18">
        <f>'AEO 2023 Table 47 Raw'!P66</f>
        <v>6439.5307620000003</v>
      </c>
      <c r="N80" s="18">
        <f>'AEO 2023 Table 47 Raw'!Q66</f>
        <v>6636.0771480000003</v>
      </c>
      <c r="O80" s="18">
        <f>'AEO 2023 Table 47 Raw'!R66</f>
        <v>6831.0161129999997</v>
      </c>
      <c r="P80" s="18">
        <f>'AEO 2023 Table 47 Raw'!S66</f>
        <v>7028.9487300000001</v>
      </c>
      <c r="Q80" s="18">
        <f>'AEO 2023 Table 47 Raw'!T66</f>
        <v>7232.6904299999997</v>
      </c>
      <c r="R80" s="18">
        <f>'AEO 2023 Table 47 Raw'!U66</f>
        <v>7443.2495120000003</v>
      </c>
      <c r="S80" s="18">
        <f>'AEO 2023 Table 47 Raw'!V66</f>
        <v>7660.9145509999998</v>
      </c>
      <c r="T80" s="18">
        <f>'AEO 2023 Table 47 Raw'!W66</f>
        <v>7884.1440430000002</v>
      </c>
      <c r="U80" s="18">
        <f>'AEO 2023 Table 47 Raw'!X66</f>
        <v>8115.2856449999999</v>
      </c>
      <c r="V80" s="18">
        <f>'AEO 2023 Table 47 Raw'!Y66</f>
        <v>8350.4160159999992</v>
      </c>
      <c r="W80" s="18">
        <f>'AEO 2023 Table 47 Raw'!Z66</f>
        <v>8591.8769530000009</v>
      </c>
      <c r="X80" s="18">
        <f>'AEO 2023 Table 47 Raw'!AA66</f>
        <v>8838.9326170000004</v>
      </c>
      <c r="Y80" s="18">
        <f>'AEO 2023 Table 47 Raw'!AB66</f>
        <v>9090.9277340000008</v>
      </c>
      <c r="Z80" s="18">
        <f>'AEO 2023 Table 47 Raw'!AC66</f>
        <v>9345.90625</v>
      </c>
      <c r="AA80" s="18">
        <f>'AEO 2023 Table 47 Raw'!AD66</f>
        <v>9604.6660159999992</v>
      </c>
      <c r="AB80" s="18">
        <f>'AEO 2023 Table 47 Raw'!AE66</f>
        <v>9869.0458980000003</v>
      </c>
      <c r="AC80" s="18">
        <f>'AEO 2023 Table 47 Raw'!AF66</f>
        <v>10138.983398</v>
      </c>
      <c r="AD80" s="18">
        <f>'AEO 2023 Table 47 Raw'!AG66</f>
        <v>10413.891602</v>
      </c>
      <c r="AE80" s="18">
        <f>'AEO 2023 Table 47 Raw'!AH66</f>
        <v>10694.028319999999</v>
      </c>
      <c r="AF80" s="30">
        <f>'AEO 2023 Table 47 Raw'!AI66</f>
        <v>4.4999999999999998E-2</v>
      </c>
    </row>
    <row r="81" spans="1:32" ht="15" customHeight="1">
      <c r="A81" s="7" t="s">
        <v>595</v>
      </c>
      <c r="B81" s="16" t="s">
        <v>534</v>
      </c>
      <c r="C81" s="18">
        <f>'AEO 2023 Table 47 Raw'!F67</f>
        <v>0</v>
      </c>
      <c r="D81" s="18">
        <f>'AEO 2023 Table 47 Raw'!G67</f>
        <v>0</v>
      </c>
      <c r="E81" s="18">
        <f>'AEO 2023 Table 47 Raw'!H67</f>
        <v>0</v>
      </c>
      <c r="F81" s="18">
        <f>'AEO 2023 Table 47 Raw'!I67</f>
        <v>0</v>
      </c>
      <c r="G81" s="18">
        <f>'AEO 2023 Table 47 Raw'!J67</f>
        <v>0</v>
      </c>
      <c r="H81" s="18">
        <f>'AEO 2023 Table 47 Raw'!K67</f>
        <v>0</v>
      </c>
      <c r="I81" s="18">
        <f>'AEO 2023 Table 47 Raw'!L67</f>
        <v>0</v>
      </c>
      <c r="J81" s="18">
        <f>'AEO 2023 Table 47 Raw'!M67</f>
        <v>0</v>
      </c>
      <c r="K81" s="18">
        <f>'AEO 2023 Table 47 Raw'!N67</f>
        <v>0</v>
      </c>
      <c r="L81" s="18">
        <f>'AEO 2023 Table 47 Raw'!O67</f>
        <v>0</v>
      </c>
      <c r="M81" s="18">
        <f>'AEO 2023 Table 47 Raw'!P67</f>
        <v>0</v>
      </c>
      <c r="N81" s="18">
        <f>'AEO 2023 Table 47 Raw'!Q67</f>
        <v>0</v>
      </c>
      <c r="O81" s="18">
        <f>'AEO 2023 Table 47 Raw'!R67</f>
        <v>0</v>
      </c>
      <c r="P81" s="18">
        <f>'AEO 2023 Table 47 Raw'!S67</f>
        <v>0</v>
      </c>
      <c r="Q81" s="18">
        <f>'AEO 2023 Table 47 Raw'!T67</f>
        <v>0</v>
      </c>
      <c r="R81" s="18">
        <f>'AEO 2023 Table 47 Raw'!U67</f>
        <v>0</v>
      </c>
      <c r="S81" s="18">
        <f>'AEO 2023 Table 47 Raw'!V67</f>
        <v>0</v>
      </c>
      <c r="T81" s="18">
        <f>'AEO 2023 Table 47 Raw'!W67</f>
        <v>0</v>
      </c>
      <c r="U81" s="18">
        <f>'AEO 2023 Table 47 Raw'!X67</f>
        <v>0</v>
      </c>
      <c r="V81" s="18">
        <f>'AEO 2023 Table 47 Raw'!Y67</f>
        <v>0</v>
      </c>
      <c r="W81" s="18">
        <f>'AEO 2023 Table 47 Raw'!Z67</f>
        <v>0</v>
      </c>
      <c r="X81" s="18">
        <f>'AEO 2023 Table 47 Raw'!AA67</f>
        <v>0</v>
      </c>
      <c r="Y81" s="18">
        <f>'AEO 2023 Table 47 Raw'!AB67</f>
        <v>0</v>
      </c>
      <c r="Z81" s="18">
        <f>'AEO 2023 Table 47 Raw'!AC67</f>
        <v>0</v>
      </c>
      <c r="AA81" s="18">
        <f>'AEO 2023 Table 47 Raw'!AD67</f>
        <v>0</v>
      </c>
      <c r="AB81" s="18">
        <f>'AEO 2023 Table 47 Raw'!AE67</f>
        <v>0</v>
      </c>
      <c r="AC81" s="18">
        <f>'AEO 2023 Table 47 Raw'!AF67</f>
        <v>0</v>
      </c>
      <c r="AD81" s="18">
        <f>'AEO 2023 Table 47 Raw'!AG67</f>
        <v>0</v>
      </c>
      <c r="AE81" s="18">
        <f>'AEO 2023 Table 47 Raw'!AH67</f>
        <v>0</v>
      </c>
      <c r="AF81" s="30">
        <f>'AEO 2023 Table 47 Raw'!AI67</f>
        <v>0</v>
      </c>
    </row>
    <row r="82" spans="1:32" ht="15" customHeight="1">
      <c r="A82" s="7" t="s">
        <v>596</v>
      </c>
      <c r="B82" s="16" t="s">
        <v>536</v>
      </c>
      <c r="C82" s="18">
        <f>'AEO 2023 Table 47 Raw'!F68</f>
        <v>47.423141000000001</v>
      </c>
      <c r="D82" s="18">
        <f>'AEO 2023 Table 47 Raw'!G68</f>
        <v>46.367550000000001</v>
      </c>
      <c r="E82" s="18">
        <f>'AEO 2023 Table 47 Raw'!H68</f>
        <v>46.121803</v>
      </c>
      <c r="F82" s="18">
        <f>'AEO 2023 Table 47 Raw'!I68</f>
        <v>46.319042000000003</v>
      </c>
      <c r="G82" s="18">
        <f>'AEO 2023 Table 47 Raw'!J68</f>
        <v>46.842078999999998</v>
      </c>
      <c r="H82" s="18">
        <f>'AEO 2023 Table 47 Raw'!K68</f>
        <v>47.387383</v>
      </c>
      <c r="I82" s="18">
        <f>'AEO 2023 Table 47 Raw'!L68</f>
        <v>47.970078000000001</v>
      </c>
      <c r="J82" s="18">
        <f>'AEO 2023 Table 47 Raw'!M68</f>
        <v>48.509177999999999</v>
      </c>
      <c r="K82" s="18">
        <f>'AEO 2023 Table 47 Raw'!N68</f>
        <v>49.009602000000001</v>
      </c>
      <c r="L82" s="18">
        <f>'AEO 2023 Table 47 Raw'!O68</f>
        <v>49.582680000000003</v>
      </c>
      <c r="M82" s="18">
        <f>'AEO 2023 Table 47 Raw'!P68</f>
        <v>50.348796999999998</v>
      </c>
      <c r="N82" s="18">
        <f>'AEO 2023 Table 47 Raw'!Q68</f>
        <v>51.150725999999999</v>
      </c>
      <c r="O82" s="18">
        <f>'AEO 2023 Table 47 Raw'!R68</f>
        <v>51.844681000000001</v>
      </c>
      <c r="P82" s="18">
        <f>'AEO 2023 Table 47 Raw'!S68</f>
        <v>52.540646000000002</v>
      </c>
      <c r="Q82" s="18">
        <f>'AEO 2023 Table 47 Raw'!T68</f>
        <v>53.319443</v>
      </c>
      <c r="R82" s="18">
        <f>'AEO 2023 Table 47 Raw'!U68</f>
        <v>54.194930999999997</v>
      </c>
      <c r="S82" s="18">
        <f>'AEO 2023 Table 47 Raw'!V68</f>
        <v>55.171546999999997</v>
      </c>
      <c r="T82" s="18">
        <f>'AEO 2023 Table 47 Raw'!W68</f>
        <v>56.197688999999997</v>
      </c>
      <c r="U82" s="18">
        <f>'AEO 2023 Table 47 Raw'!X68</f>
        <v>57.314678000000001</v>
      </c>
      <c r="V82" s="18">
        <f>'AEO 2023 Table 47 Raw'!Y68</f>
        <v>58.420783999999998</v>
      </c>
      <c r="W82" s="18">
        <f>'AEO 2023 Table 47 Raw'!Z68</f>
        <v>59.565468000000003</v>
      </c>
      <c r="X82" s="18">
        <f>'AEO 2023 Table 47 Raw'!AA68</f>
        <v>60.742359</v>
      </c>
      <c r="Y82" s="18">
        <f>'AEO 2023 Table 47 Raw'!AB68</f>
        <v>61.948818000000003</v>
      </c>
      <c r="Z82" s="18">
        <f>'AEO 2023 Table 47 Raw'!AC68</f>
        <v>63.150246000000003</v>
      </c>
      <c r="AA82" s="18">
        <f>'AEO 2023 Table 47 Raw'!AD68</f>
        <v>64.407889999999995</v>
      </c>
      <c r="AB82" s="18">
        <f>'AEO 2023 Table 47 Raw'!AE68</f>
        <v>65.735016000000002</v>
      </c>
      <c r="AC82" s="18">
        <f>'AEO 2023 Table 47 Raw'!AF68</f>
        <v>67.125388999999998</v>
      </c>
      <c r="AD82" s="18">
        <f>'AEO 2023 Table 47 Raw'!AG68</f>
        <v>68.572693000000001</v>
      </c>
      <c r="AE82" s="18">
        <f>'AEO 2023 Table 47 Raw'!AH68</f>
        <v>70.094299000000007</v>
      </c>
      <c r="AF82" s="30">
        <f>'AEO 2023 Table 47 Raw'!AI68</f>
        <v>1.4E-2</v>
      </c>
    </row>
    <row r="83" spans="1:32" ht="15" customHeight="1">
      <c r="A83" s="7" t="s">
        <v>597</v>
      </c>
      <c r="B83" s="16" t="s">
        <v>538</v>
      </c>
      <c r="C83" s="18">
        <f>'AEO 2023 Table 47 Raw'!F69</f>
        <v>1.0062629999999999</v>
      </c>
      <c r="D83" s="18">
        <f>'AEO 2023 Table 47 Raw'!G69</f>
        <v>1.0441499999999999</v>
      </c>
      <c r="E83" s="18">
        <f>'AEO 2023 Table 47 Raw'!H69</f>
        <v>1.0762890000000001</v>
      </c>
      <c r="F83" s="18">
        <f>'AEO 2023 Table 47 Raw'!I69</f>
        <v>1.1045970000000001</v>
      </c>
      <c r="G83" s="18">
        <f>'AEO 2023 Table 47 Raw'!J69</f>
        <v>1.1287959999999999</v>
      </c>
      <c r="H83" s="18">
        <f>'AEO 2023 Table 47 Raw'!K69</f>
        <v>1.1493180000000001</v>
      </c>
      <c r="I83" s="18">
        <f>'AEO 2023 Table 47 Raw'!L69</f>
        <v>1.1671069999999999</v>
      </c>
      <c r="J83" s="18">
        <f>'AEO 2023 Table 47 Raw'!M69</f>
        <v>1.1826779999999999</v>
      </c>
      <c r="K83" s="18">
        <f>'AEO 2023 Table 47 Raw'!N69</f>
        <v>1.1963220000000001</v>
      </c>
      <c r="L83" s="18">
        <f>'AEO 2023 Table 47 Raw'!O69</f>
        <v>1.208356</v>
      </c>
      <c r="M83" s="18">
        <f>'AEO 2023 Table 47 Raw'!P69</f>
        <v>1.219001</v>
      </c>
      <c r="N83" s="18">
        <f>'AEO 2023 Table 47 Raw'!Q69</f>
        <v>1.2284360000000001</v>
      </c>
      <c r="O83" s="18">
        <f>'AEO 2023 Table 47 Raw'!R69</f>
        <v>1.2368399999999999</v>
      </c>
      <c r="P83" s="18">
        <f>'AEO 2023 Table 47 Raw'!S69</f>
        <v>1.2443679999999999</v>
      </c>
      <c r="Q83" s="18">
        <f>'AEO 2023 Table 47 Raw'!T69</f>
        <v>1.2511509999999999</v>
      </c>
      <c r="R83" s="18">
        <f>'AEO 2023 Table 47 Raw'!U69</f>
        <v>1.2572989999999999</v>
      </c>
      <c r="S83" s="18">
        <f>'AEO 2023 Table 47 Raw'!V69</f>
        <v>1.2629079999999999</v>
      </c>
      <c r="T83" s="18">
        <f>'AEO 2023 Table 47 Raw'!W69</f>
        <v>1.2680560000000001</v>
      </c>
      <c r="U83" s="18">
        <f>'AEO 2023 Table 47 Raw'!X69</f>
        <v>1.2728120000000001</v>
      </c>
      <c r="V83" s="18">
        <f>'AEO 2023 Table 47 Raw'!Y69</f>
        <v>1.2772349999999999</v>
      </c>
      <c r="W83" s="18">
        <f>'AEO 2023 Table 47 Raw'!Z69</f>
        <v>1.281374</v>
      </c>
      <c r="X83" s="18">
        <f>'AEO 2023 Table 47 Raw'!AA69</f>
        <v>1.285269</v>
      </c>
      <c r="Y83" s="18">
        <f>'AEO 2023 Table 47 Raw'!AB69</f>
        <v>1.2889569999999999</v>
      </c>
      <c r="Z83" s="18">
        <f>'AEO 2023 Table 47 Raw'!AC69</f>
        <v>1.2924690000000001</v>
      </c>
      <c r="AA83" s="18">
        <f>'AEO 2023 Table 47 Raw'!AD69</f>
        <v>1.2958289999999999</v>
      </c>
      <c r="AB83" s="18">
        <f>'AEO 2023 Table 47 Raw'!AE69</f>
        <v>1.299059</v>
      </c>
      <c r="AC83" s="18">
        <f>'AEO 2023 Table 47 Raw'!AF69</f>
        <v>1.302179</v>
      </c>
      <c r="AD83" s="18">
        <f>'AEO 2023 Table 47 Raw'!AG69</f>
        <v>1.3052029999999999</v>
      </c>
      <c r="AE83" s="18">
        <f>'AEO 2023 Table 47 Raw'!AH69</f>
        <v>1.3081449999999999</v>
      </c>
      <c r="AF83" s="30">
        <f>'AEO 2023 Table 47 Raw'!AI69</f>
        <v>8.9999999999999993E-3</v>
      </c>
    </row>
    <row r="84" spans="1:32" ht="15" customHeight="1">
      <c r="A84" s="7" t="s">
        <v>598</v>
      </c>
      <c r="B84" s="16" t="s">
        <v>540</v>
      </c>
      <c r="C84" s="18">
        <f>'AEO 2023 Table 47 Raw'!F70</f>
        <v>2.2818999999999998</v>
      </c>
      <c r="D84" s="18">
        <f>'AEO 2023 Table 47 Raw'!G70</f>
        <v>2.3426399999999998</v>
      </c>
      <c r="E84" s="18">
        <f>'AEO 2023 Table 47 Raw'!H70</f>
        <v>2.4650479999999999</v>
      </c>
      <c r="F84" s="18">
        <f>'AEO 2023 Table 47 Raw'!I70</f>
        <v>2.5995650000000001</v>
      </c>
      <c r="G84" s="18">
        <f>'AEO 2023 Table 47 Raw'!J70</f>
        <v>2.734801</v>
      </c>
      <c r="H84" s="18">
        <f>'AEO 2023 Table 47 Raw'!K70</f>
        <v>2.8735569999999999</v>
      </c>
      <c r="I84" s="18">
        <f>'AEO 2023 Table 47 Raw'!L70</f>
        <v>3.0144679999999999</v>
      </c>
      <c r="J84" s="18">
        <f>'AEO 2023 Table 47 Raw'!M70</f>
        <v>3.1632699999999998</v>
      </c>
      <c r="K84" s="18">
        <f>'AEO 2023 Table 47 Raw'!N70</f>
        <v>3.3243580000000001</v>
      </c>
      <c r="L84" s="18">
        <f>'AEO 2023 Table 47 Raw'!O70</f>
        <v>3.4972789999999998</v>
      </c>
      <c r="M84" s="18">
        <f>'AEO 2023 Table 47 Raw'!P70</f>
        <v>3.6855220000000002</v>
      </c>
      <c r="N84" s="18">
        <f>'AEO 2023 Table 47 Raw'!Q70</f>
        <v>3.8840870000000001</v>
      </c>
      <c r="O84" s="18">
        <f>'AEO 2023 Table 47 Raw'!R70</f>
        <v>4.0934869999999997</v>
      </c>
      <c r="P84" s="18">
        <f>'AEO 2023 Table 47 Raw'!S70</f>
        <v>4.3137239999999997</v>
      </c>
      <c r="Q84" s="18">
        <f>'AEO 2023 Table 47 Raw'!T70</f>
        <v>4.5410490000000001</v>
      </c>
      <c r="R84" s="18">
        <f>'AEO 2023 Table 47 Raw'!U70</f>
        <v>4.7785919999999997</v>
      </c>
      <c r="S84" s="18">
        <f>'AEO 2023 Table 47 Raw'!V70</f>
        <v>5.0267689999999998</v>
      </c>
      <c r="T84" s="18">
        <f>'AEO 2023 Table 47 Raw'!W70</f>
        <v>5.2857289999999999</v>
      </c>
      <c r="U84" s="18">
        <f>'AEO 2023 Table 47 Raw'!X70</f>
        <v>5.555498</v>
      </c>
      <c r="V84" s="18">
        <f>'AEO 2023 Table 47 Raw'!Y70</f>
        <v>5.8253459999999997</v>
      </c>
      <c r="W84" s="18">
        <f>'AEO 2023 Table 47 Raw'!Z70</f>
        <v>6.1047849999999997</v>
      </c>
      <c r="X84" s="18">
        <f>'AEO 2023 Table 47 Raw'!AA70</f>
        <v>6.3940640000000002</v>
      </c>
      <c r="Y84" s="18">
        <f>'AEO 2023 Table 47 Raw'!AB70</f>
        <v>6.693174</v>
      </c>
      <c r="Z84" s="18">
        <f>'AEO 2023 Table 47 Raw'!AC70</f>
        <v>7.0021630000000004</v>
      </c>
      <c r="AA84" s="18">
        <f>'AEO 2023 Table 47 Raw'!AD70</f>
        <v>7.3102840000000002</v>
      </c>
      <c r="AB84" s="18">
        <f>'AEO 2023 Table 47 Raw'!AE70</f>
        <v>7.6272060000000002</v>
      </c>
      <c r="AC84" s="18">
        <f>'AEO 2023 Table 47 Raw'!AF70</f>
        <v>7.9528179999999997</v>
      </c>
      <c r="AD84" s="18">
        <f>'AEO 2023 Table 47 Raw'!AG70</f>
        <v>8.2870039999999996</v>
      </c>
      <c r="AE84" s="18">
        <f>'AEO 2023 Table 47 Raw'!AH70</f>
        <v>8.6297200000000007</v>
      </c>
      <c r="AF84" s="30">
        <f>'AEO 2023 Table 47 Raw'!AI70</f>
        <v>4.9000000000000002E-2</v>
      </c>
    </row>
    <row r="85" spans="1:32" ht="15" customHeight="1">
      <c r="A85" s="7" t="s">
        <v>599</v>
      </c>
      <c r="B85" s="16" t="s">
        <v>542</v>
      </c>
      <c r="C85" s="18">
        <f>'AEO 2023 Table 47 Raw'!F71</f>
        <v>21.343447000000001</v>
      </c>
      <c r="D85" s="18">
        <f>'AEO 2023 Table 47 Raw'!G71</f>
        <v>23.328316000000001</v>
      </c>
      <c r="E85" s="18">
        <f>'AEO 2023 Table 47 Raw'!H71</f>
        <v>25.259329000000001</v>
      </c>
      <c r="F85" s="18">
        <f>'AEO 2023 Table 47 Raw'!I71</f>
        <v>26.844503</v>
      </c>
      <c r="G85" s="18">
        <f>'AEO 2023 Table 47 Raw'!J71</f>
        <v>28.220020000000002</v>
      </c>
      <c r="H85" s="18">
        <f>'AEO 2023 Table 47 Raw'!K71</f>
        <v>29.476091</v>
      </c>
      <c r="I85" s="18">
        <f>'AEO 2023 Table 47 Raw'!L71</f>
        <v>30.638822999999999</v>
      </c>
      <c r="J85" s="18">
        <f>'AEO 2023 Table 47 Raw'!M71</f>
        <v>31.743164</v>
      </c>
      <c r="K85" s="18">
        <f>'AEO 2023 Table 47 Raw'!N71</f>
        <v>32.806507000000003</v>
      </c>
      <c r="L85" s="18">
        <f>'AEO 2023 Table 47 Raw'!O71</f>
        <v>33.836029000000003</v>
      </c>
      <c r="M85" s="18">
        <f>'AEO 2023 Table 47 Raw'!P71</f>
        <v>34.844954999999999</v>
      </c>
      <c r="N85" s="18">
        <f>'AEO 2023 Table 47 Raw'!Q71</f>
        <v>35.848754999999997</v>
      </c>
      <c r="O85" s="18">
        <f>'AEO 2023 Table 47 Raw'!R71</f>
        <v>36.846347999999999</v>
      </c>
      <c r="P85" s="18">
        <f>'AEO 2023 Table 47 Raw'!S71</f>
        <v>37.830382999999998</v>
      </c>
      <c r="Q85" s="18">
        <f>'AEO 2023 Table 47 Raw'!T71</f>
        <v>38.820450000000001</v>
      </c>
      <c r="R85" s="18">
        <f>'AEO 2023 Table 47 Raw'!U71</f>
        <v>39.828896</v>
      </c>
      <c r="S85" s="18">
        <f>'AEO 2023 Table 47 Raw'!V71</f>
        <v>40.849742999999997</v>
      </c>
      <c r="T85" s="18">
        <f>'AEO 2023 Table 47 Raw'!W71</f>
        <v>41.884875999999998</v>
      </c>
      <c r="U85" s="18">
        <f>'AEO 2023 Table 47 Raw'!X71</f>
        <v>42.945388999999999</v>
      </c>
      <c r="V85" s="18">
        <f>'AEO 2023 Table 47 Raw'!Y71</f>
        <v>44.021434999999997</v>
      </c>
      <c r="W85" s="18">
        <f>'AEO 2023 Table 47 Raw'!Z71</f>
        <v>45.112003000000001</v>
      </c>
      <c r="X85" s="18">
        <f>'AEO 2023 Table 47 Raw'!AA71</f>
        <v>46.216866000000003</v>
      </c>
      <c r="Y85" s="18">
        <f>'AEO 2023 Table 47 Raw'!AB71</f>
        <v>47.334282000000002</v>
      </c>
      <c r="Z85" s="18">
        <f>'AEO 2023 Table 47 Raw'!AC71</f>
        <v>48.465243999999998</v>
      </c>
      <c r="AA85" s="18">
        <f>'AEO 2023 Table 47 Raw'!AD71</f>
        <v>49.616309999999999</v>
      </c>
      <c r="AB85" s="18">
        <f>'AEO 2023 Table 47 Raw'!AE71</f>
        <v>50.789515999999999</v>
      </c>
      <c r="AC85" s="18">
        <f>'AEO 2023 Table 47 Raw'!AF71</f>
        <v>51.988506000000001</v>
      </c>
      <c r="AD85" s="18">
        <f>'AEO 2023 Table 47 Raw'!AG71</f>
        <v>53.218521000000003</v>
      </c>
      <c r="AE85" s="18">
        <f>'AEO 2023 Table 47 Raw'!AH71</f>
        <v>54.480499000000002</v>
      </c>
      <c r="AF85" s="30">
        <f>'AEO 2023 Table 47 Raw'!AI71</f>
        <v>3.4000000000000002E-2</v>
      </c>
    </row>
    <row r="86" spans="1:32" ht="15" customHeight="1">
      <c r="A86" s="7" t="s">
        <v>600</v>
      </c>
      <c r="B86" s="16" t="s">
        <v>544</v>
      </c>
      <c r="C86" s="18">
        <f>'AEO 2023 Table 47 Raw'!F72</f>
        <v>4.273352</v>
      </c>
      <c r="D86" s="18">
        <f>'AEO 2023 Table 47 Raw'!G72</f>
        <v>4.4791809999999996</v>
      </c>
      <c r="E86" s="18">
        <f>'AEO 2023 Table 47 Raw'!H72</f>
        <v>4.6452540000000004</v>
      </c>
      <c r="F86" s="18">
        <f>'AEO 2023 Table 47 Raw'!I72</f>
        <v>4.7855220000000003</v>
      </c>
      <c r="G86" s="18">
        <f>'AEO 2023 Table 47 Raw'!J72</f>
        <v>4.8974130000000002</v>
      </c>
      <c r="H86" s="18">
        <f>'AEO 2023 Table 47 Raw'!K72</f>
        <v>4.9908710000000003</v>
      </c>
      <c r="I86" s="18">
        <f>'AEO 2023 Table 47 Raw'!L72</f>
        <v>5.0685380000000002</v>
      </c>
      <c r="J86" s="18">
        <f>'AEO 2023 Table 47 Raw'!M72</f>
        <v>5.1330119999999999</v>
      </c>
      <c r="K86" s="18">
        <f>'AEO 2023 Table 47 Raw'!N72</f>
        <v>5.1861550000000003</v>
      </c>
      <c r="L86" s="18">
        <f>'AEO 2023 Table 47 Raw'!O72</f>
        <v>5.229876</v>
      </c>
      <c r="M86" s="18">
        <f>'AEO 2023 Table 47 Raw'!P72</f>
        <v>5.2663859999999998</v>
      </c>
      <c r="N86" s="18">
        <f>'AEO 2023 Table 47 Raw'!Q72</f>
        <v>5.2975640000000004</v>
      </c>
      <c r="O86" s="18">
        <f>'AEO 2023 Table 47 Raw'!R72</f>
        <v>5.3242719999999997</v>
      </c>
      <c r="P86" s="18">
        <f>'AEO 2023 Table 47 Raw'!S72</f>
        <v>5.3471760000000002</v>
      </c>
      <c r="Q86" s="18">
        <f>'AEO 2023 Table 47 Raw'!T72</f>
        <v>5.3668380000000004</v>
      </c>
      <c r="R86" s="18">
        <f>'AEO 2023 Table 47 Raw'!U72</f>
        <v>5.3837380000000001</v>
      </c>
      <c r="S86" s="18">
        <f>'AEO 2023 Table 47 Raw'!V72</f>
        <v>5.398288</v>
      </c>
      <c r="T86" s="18">
        <f>'AEO 2023 Table 47 Raw'!W72</f>
        <v>5.4108229999999997</v>
      </c>
      <c r="U86" s="18">
        <f>'AEO 2023 Table 47 Raw'!X72</f>
        <v>5.4216280000000001</v>
      </c>
      <c r="V86" s="18">
        <f>'AEO 2023 Table 47 Raw'!Y72</f>
        <v>5.4309770000000004</v>
      </c>
      <c r="W86" s="18">
        <f>'AEO 2023 Table 47 Raw'!Z72</f>
        <v>5.4390599999999996</v>
      </c>
      <c r="X86" s="18">
        <f>'AEO 2023 Table 47 Raw'!AA72</f>
        <v>5.4460730000000002</v>
      </c>
      <c r="Y86" s="18">
        <f>'AEO 2023 Table 47 Raw'!AB72</f>
        <v>5.4522899999999996</v>
      </c>
      <c r="Z86" s="18">
        <f>'AEO 2023 Table 47 Raw'!AC72</f>
        <v>5.4581390000000001</v>
      </c>
      <c r="AA86" s="18">
        <f>'AEO 2023 Table 47 Raw'!AD72</f>
        <v>5.4639499999999996</v>
      </c>
      <c r="AB86" s="18">
        <f>'AEO 2023 Table 47 Raw'!AE72</f>
        <v>5.4698690000000001</v>
      </c>
      <c r="AC86" s="18">
        <f>'AEO 2023 Table 47 Raw'!AF72</f>
        <v>5.4759849999999997</v>
      </c>
      <c r="AD86" s="18">
        <f>'AEO 2023 Table 47 Raw'!AG72</f>
        <v>5.4823639999999996</v>
      </c>
      <c r="AE86" s="18">
        <f>'AEO 2023 Table 47 Raw'!AH72</f>
        <v>5.4890670000000004</v>
      </c>
      <c r="AF86" s="30">
        <f>'AEO 2023 Table 47 Raw'!AI72</f>
        <v>8.9999999999999993E-3</v>
      </c>
    </row>
    <row r="87" spans="1:32" ht="15" customHeight="1">
      <c r="A87" s="7" t="s">
        <v>601</v>
      </c>
      <c r="B87" s="16" t="s">
        <v>602</v>
      </c>
      <c r="C87" s="18">
        <f>'AEO 2023 Table 47 Raw'!F73</f>
        <v>1.375221</v>
      </c>
      <c r="D87" s="18">
        <f>'AEO 2023 Table 47 Raw'!G73</f>
        <v>1.4571829999999999</v>
      </c>
      <c r="E87" s="18">
        <f>'AEO 2023 Table 47 Raw'!H73</f>
        <v>1.532079</v>
      </c>
      <c r="F87" s="18">
        <f>'AEO 2023 Table 47 Raw'!I73</f>
        <v>1.599677</v>
      </c>
      <c r="G87" s="18">
        <f>'AEO 2023 Table 47 Raw'!J73</f>
        <v>1.6609389999999999</v>
      </c>
      <c r="H87" s="18">
        <f>'AEO 2023 Table 47 Raw'!K73</f>
        <v>1.716998</v>
      </c>
      <c r="I87" s="18">
        <f>'AEO 2023 Table 47 Raw'!L73</f>
        <v>1.7685759999999999</v>
      </c>
      <c r="J87" s="18">
        <f>'AEO 2023 Table 47 Raw'!M73</f>
        <v>1.8164849999999999</v>
      </c>
      <c r="K87" s="18">
        <f>'AEO 2023 Table 47 Raw'!N73</f>
        <v>1.861445</v>
      </c>
      <c r="L87" s="18">
        <f>'AEO 2023 Table 47 Raw'!O73</f>
        <v>1.9036090000000001</v>
      </c>
      <c r="M87" s="18">
        <f>'AEO 2023 Table 47 Raw'!P73</f>
        <v>1.9428510000000001</v>
      </c>
      <c r="N87" s="18">
        <f>'AEO 2023 Table 47 Raw'!Q73</f>
        <v>1.979757</v>
      </c>
      <c r="O87" s="18">
        <f>'AEO 2023 Table 47 Raw'!R73</f>
        <v>2.0146850000000001</v>
      </c>
      <c r="P87" s="18">
        <f>'AEO 2023 Table 47 Raw'!S73</f>
        <v>2.0465460000000002</v>
      </c>
      <c r="Q87" s="18">
        <f>'AEO 2023 Table 47 Raw'!T73</f>
        <v>2.0765380000000002</v>
      </c>
      <c r="R87" s="18">
        <f>'AEO 2023 Table 47 Raw'!U73</f>
        <v>2.105925</v>
      </c>
      <c r="S87" s="18">
        <f>'AEO 2023 Table 47 Raw'!V73</f>
        <v>2.1345260000000001</v>
      </c>
      <c r="T87" s="18">
        <f>'AEO 2023 Table 47 Raw'!W73</f>
        <v>2.1616379999999999</v>
      </c>
      <c r="U87" s="18">
        <f>'AEO 2023 Table 47 Raw'!X73</f>
        <v>2.187468</v>
      </c>
      <c r="V87" s="18">
        <f>'AEO 2023 Table 47 Raw'!Y73</f>
        <v>2.2126380000000001</v>
      </c>
      <c r="W87" s="18">
        <f>'AEO 2023 Table 47 Raw'!Z73</f>
        <v>2.2373310000000002</v>
      </c>
      <c r="X87" s="18">
        <f>'AEO 2023 Table 47 Raw'!AA73</f>
        <v>2.2616049999999999</v>
      </c>
      <c r="Y87" s="18">
        <f>'AEO 2023 Table 47 Raw'!AB73</f>
        <v>2.2854969999999999</v>
      </c>
      <c r="Z87" s="18">
        <f>'AEO 2023 Table 47 Raw'!AC73</f>
        <v>2.309015</v>
      </c>
      <c r="AA87" s="18">
        <f>'AEO 2023 Table 47 Raw'!AD73</f>
        <v>2.332131</v>
      </c>
      <c r="AB87" s="18">
        <f>'AEO 2023 Table 47 Raw'!AE73</f>
        <v>2.3548879999999999</v>
      </c>
      <c r="AC87" s="18">
        <f>'AEO 2023 Table 47 Raw'!AF73</f>
        <v>2.3775210000000002</v>
      </c>
      <c r="AD87" s="18">
        <f>'AEO 2023 Table 47 Raw'!AG73</f>
        <v>2.4000759999999999</v>
      </c>
      <c r="AE87" s="18">
        <f>'AEO 2023 Table 47 Raw'!AH73</f>
        <v>2.4225569999999998</v>
      </c>
      <c r="AF87" s="30">
        <f>'AEO 2023 Table 47 Raw'!AI73</f>
        <v>0.02</v>
      </c>
    </row>
    <row r="88" spans="1:32" ht="15" customHeight="1">
      <c r="AF88" s="33"/>
    </row>
    <row r="89" spans="1:32" ht="15" customHeight="1">
      <c r="B89" s="15" t="s">
        <v>113</v>
      </c>
      <c r="AF89" s="33"/>
    </row>
    <row r="90" spans="1:32" ht="12" customHeight="1">
      <c r="A90" s="7" t="s">
        <v>603</v>
      </c>
      <c r="B90" s="16" t="s">
        <v>604</v>
      </c>
      <c r="C90" s="17">
        <f>'AEO 2023 Table 47 Raw'!F75</f>
        <v>0.63681100000000002</v>
      </c>
      <c r="D90" s="17">
        <f>'AEO 2023 Table 47 Raw'!G75</f>
        <v>0.61521599999999999</v>
      </c>
      <c r="E90" s="17">
        <f>'AEO 2023 Table 47 Raw'!H75</f>
        <v>0.63014599999999998</v>
      </c>
      <c r="F90" s="17">
        <f>'AEO 2023 Table 47 Raw'!I75</f>
        <v>0.64219700000000002</v>
      </c>
      <c r="G90" s="17">
        <f>'AEO 2023 Table 47 Raw'!J75</f>
        <v>0.65244100000000005</v>
      </c>
      <c r="H90" s="17">
        <f>'AEO 2023 Table 47 Raw'!K75</f>
        <v>0.66163000000000005</v>
      </c>
      <c r="I90" s="17">
        <f>'AEO 2023 Table 47 Raw'!L75</f>
        <v>0.67073499999999997</v>
      </c>
      <c r="J90" s="17">
        <f>'AEO 2023 Table 47 Raw'!M75</f>
        <v>0.67983400000000005</v>
      </c>
      <c r="K90" s="17">
        <f>'AEO 2023 Table 47 Raw'!N75</f>
        <v>0.68894900000000003</v>
      </c>
      <c r="L90" s="17">
        <f>'AEO 2023 Table 47 Raw'!O75</f>
        <v>0.69872299999999998</v>
      </c>
      <c r="M90" s="17">
        <f>'AEO 2023 Table 47 Raw'!P75</f>
        <v>0.70891099999999996</v>
      </c>
      <c r="N90" s="17">
        <f>'AEO 2023 Table 47 Raw'!Q75</f>
        <v>0.719198</v>
      </c>
      <c r="O90" s="17">
        <f>'AEO 2023 Table 47 Raw'!R75</f>
        <v>0.72959399999999996</v>
      </c>
      <c r="P90" s="17">
        <f>'AEO 2023 Table 47 Raw'!S75</f>
        <v>0.74011099999999996</v>
      </c>
      <c r="Q90" s="17">
        <f>'AEO 2023 Table 47 Raw'!T75</f>
        <v>0.75076200000000004</v>
      </c>
      <c r="R90" s="17">
        <f>'AEO 2023 Table 47 Raw'!U75</f>
        <v>0.76155399999999995</v>
      </c>
      <c r="S90" s="17">
        <f>'AEO 2023 Table 47 Raw'!V75</f>
        <v>0.77249699999999999</v>
      </c>
      <c r="T90" s="17">
        <f>'AEO 2023 Table 47 Raw'!W75</f>
        <v>0.78360099999999999</v>
      </c>
      <c r="U90" s="17">
        <f>'AEO 2023 Table 47 Raw'!X75</f>
        <v>0.79486900000000005</v>
      </c>
      <c r="V90" s="17">
        <f>'AEO 2023 Table 47 Raw'!Y75</f>
        <v>0.80631200000000003</v>
      </c>
      <c r="W90" s="17">
        <f>'AEO 2023 Table 47 Raw'!Z75</f>
        <v>0.81793700000000003</v>
      </c>
      <c r="X90" s="17">
        <f>'AEO 2023 Table 47 Raw'!AA75</f>
        <v>0.82974300000000001</v>
      </c>
      <c r="Y90" s="17">
        <f>'AEO 2023 Table 47 Raw'!AB75</f>
        <v>0.84174700000000002</v>
      </c>
      <c r="Z90" s="17">
        <f>'AEO 2023 Table 47 Raw'!AC75</f>
        <v>0.85394800000000004</v>
      </c>
      <c r="AA90" s="17">
        <f>'AEO 2023 Table 47 Raw'!AD75</f>
        <v>0.86635099999999998</v>
      </c>
      <c r="AB90" s="17">
        <f>'AEO 2023 Table 47 Raw'!AE75</f>
        <v>0.87896399999999997</v>
      </c>
      <c r="AC90" s="17">
        <f>'AEO 2023 Table 47 Raw'!AF75</f>
        <v>0.89179200000000003</v>
      </c>
      <c r="AD90" s="17">
        <f>'AEO 2023 Table 47 Raw'!AG75</f>
        <v>0.90484100000000001</v>
      </c>
      <c r="AE90" s="17">
        <f>'AEO 2023 Table 47 Raw'!AH75</f>
        <v>0.91811299999999996</v>
      </c>
      <c r="AF90" s="30">
        <f>'AEO 2023 Table 47 Raw'!AI75</f>
        <v>1.2999999999999999E-2</v>
      </c>
    </row>
    <row r="91" spans="1:32" ht="15" customHeight="1">
      <c r="A91" s="7" t="s">
        <v>605</v>
      </c>
      <c r="B91" s="16" t="s">
        <v>606</v>
      </c>
      <c r="C91" s="17">
        <f>'AEO 2023 Table 47 Raw'!F76</f>
        <v>6.5872E-2</v>
      </c>
      <c r="D91" s="17">
        <f>'AEO 2023 Table 47 Raw'!G76</f>
        <v>7.6454999999999995E-2</v>
      </c>
      <c r="E91" s="17">
        <f>'AEO 2023 Table 47 Raw'!H76</f>
        <v>8.6470000000000005E-2</v>
      </c>
      <c r="F91" s="17">
        <f>'AEO 2023 Table 47 Raw'!I76</f>
        <v>9.5138E-2</v>
      </c>
      <c r="G91" s="17">
        <f>'AEO 2023 Table 47 Raw'!J76</f>
        <v>0.102715</v>
      </c>
      <c r="H91" s="17">
        <f>'AEO 2023 Table 47 Raw'!K76</f>
        <v>0.109502</v>
      </c>
      <c r="I91" s="17">
        <f>'AEO 2023 Table 47 Raw'!L76</f>
        <v>0.115657</v>
      </c>
      <c r="J91" s="17">
        <f>'AEO 2023 Table 47 Raw'!M76</f>
        <v>0.12130299999999999</v>
      </c>
      <c r="K91" s="17">
        <f>'AEO 2023 Table 47 Raw'!N76</f>
        <v>0.12654799999999999</v>
      </c>
      <c r="L91" s="17">
        <f>'AEO 2023 Table 47 Raw'!O76</f>
        <v>0.13158</v>
      </c>
      <c r="M91" s="17">
        <f>'AEO 2023 Table 47 Raw'!P76</f>
        <v>0.136382</v>
      </c>
      <c r="N91" s="17">
        <f>'AEO 2023 Table 47 Raw'!Q76</f>
        <v>0.14097000000000001</v>
      </c>
      <c r="O91" s="17">
        <f>'AEO 2023 Table 47 Raw'!R76</f>
        <v>0.145394</v>
      </c>
      <c r="P91" s="17">
        <f>'AEO 2023 Table 47 Raw'!S76</f>
        <v>0.149704</v>
      </c>
      <c r="Q91" s="17">
        <f>'AEO 2023 Table 47 Raw'!T76</f>
        <v>0.15374499999999999</v>
      </c>
      <c r="R91" s="17">
        <f>'AEO 2023 Table 47 Raw'!U76</f>
        <v>0.15770600000000001</v>
      </c>
      <c r="S91" s="17">
        <f>'AEO 2023 Table 47 Raw'!V76</f>
        <v>0.16161400000000001</v>
      </c>
      <c r="T91" s="17">
        <f>'AEO 2023 Table 47 Raw'!W76</f>
        <v>0.16548399999999999</v>
      </c>
      <c r="U91" s="17">
        <f>'AEO 2023 Table 47 Raw'!X76</f>
        <v>0.16933799999999999</v>
      </c>
      <c r="V91" s="17">
        <f>'AEO 2023 Table 47 Raw'!Y76</f>
        <v>0.17303499999999999</v>
      </c>
      <c r="W91" s="17">
        <f>'AEO 2023 Table 47 Raw'!Z76</f>
        <v>0.176734</v>
      </c>
      <c r="X91" s="17">
        <f>'AEO 2023 Table 47 Raw'!AA76</f>
        <v>0.180452</v>
      </c>
      <c r="Y91" s="17">
        <f>'AEO 2023 Table 47 Raw'!AB76</f>
        <v>0.184201</v>
      </c>
      <c r="Z91" s="17">
        <f>'AEO 2023 Table 47 Raw'!AC76</f>
        <v>0.18798899999999999</v>
      </c>
      <c r="AA91" s="17">
        <f>'AEO 2023 Table 47 Raw'!AD76</f>
        <v>0.191688</v>
      </c>
      <c r="AB91" s="17">
        <f>'AEO 2023 Table 47 Raw'!AE76</f>
        <v>0.19542999999999999</v>
      </c>
      <c r="AC91" s="17">
        <f>'AEO 2023 Table 47 Raw'!AF76</f>
        <v>0.19922300000000001</v>
      </c>
      <c r="AD91" s="17">
        <f>'AEO 2023 Table 47 Raw'!AG76</f>
        <v>0.203068</v>
      </c>
      <c r="AE91" s="17">
        <f>'AEO 2023 Table 47 Raw'!AH76</f>
        <v>0.20696800000000001</v>
      </c>
      <c r="AF91" s="30">
        <f>'AEO 2023 Table 47 Raw'!AI76</f>
        <v>4.2000000000000003E-2</v>
      </c>
    </row>
    <row r="92" spans="1:32" ht="15" customHeight="1">
      <c r="A92" s="7" t="s">
        <v>607</v>
      </c>
      <c r="B92" s="16" t="s">
        <v>608</v>
      </c>
      <c r="C92" s="17">
        <f>'AEO 2023 Table 47 Raw'!F77</f>
        <v>14.291022999999999</v>
      </c>
      <c r="D92" s="17">
        <f>'AEO 2023 Table 47 Raw'!G77</f>
        <v>15.403852000000001</v>
      </c>
      <c r="E92" s="17">
        <f>'AEO 2023 Table 47 Raw'!H77</f>
        <v>16.466524</v>
      </c>
      <c r="F92" s="17">
        <f>'AEO 2023 Table 47 Raw'!I77</f>
        <v>17.484112</v>
      </c>
      <c r="G92" s="17">
        <f>'AEO 2023 Table 47 Raw'!J77</f>
        <v>18.438578</v>
      </c>
      <c r="H92" s="17">
        <f>'AEO 2023 Table 47 Raw'!K77</f>
        <v>19.337043999999999</v>
      </c>
      <c r="I92" s="17">
        <f>'AEO 2023 Table 47 Raw'!L77</f>
        <v>20.187798000000001</v>
      </c>
      <c r="J92" s="17">
        <f>'AEO 2023 Table 47 Raw'!M77</f>
        <v>20.994629</v>
      </c>
      <c r="K92" s="17">
        <f>'AEO 2023 Table 47 Raw'!N77</f>
        <v>21.758624999999999</v>
      </c>
      <c r="L92" s="17">
        <f>'AEO 2023 Table 47 Raw'!O77</f>
        <v>22.490202</v>
      </c>
      <c r="M92" s="17">
        <f>'AEO 2023 Table 47 Raw'!P77</f>
        <v>23.192791</v>
      </c>
      <c r="N92" s="17">
        <f>'AEO 2023 Table 47 Raw'!Q77</f>
        <v>23.867598000000001</v>
      </c>
      <c r="O92" s="17">
        <f>'AEO 2023 Table 47 Raw'!R77</f>
        <v>24.519058000000001</v>
      </c>
      <c r="P92" s="17">
        <f>'AEO 2023 Table 47 Raw'!S77</f>
        <v>25.152920000000002</v>
      </c>
      <c r="Q92" s="17">
        <f>'AEO 2023 Table 47 Raw'!T77</f>
        <v>25.769638</v>
      </c>
      <c r="R92" s="17">
        <f>'AEO 2023 Table 47 Raw'!U77</f>
        <v>26.36647</v>
      </c>
      <c r="S92" s="17">
        <f>'AEO 2023 Table 47 Raw'!V77</f>
        <v>26.945543000000001</v>
      </c>
      <c r="T92" s="17">
        <f>'AEO 2023 Table 47 Raw'!W77</f>
        <v>27.511816</v>
      </c>
      <c r="U92" s="17">
        <f>'AEO 2023 Table 47 Raw'!X77</f>
        <v>28.072358999999999</v>
      </c>
      <c r="V92" s="17">
        <f>'AEO 2023 Table 47 Raw'!Y77</f>
        <v>28.633461</v>
      </c>
      <c r="W92" s="17">
        <f>'AEO 2023 Table 47 Raw'!Z77</f>
        <v>29.194868</v>
      </c>
      <c r="X92" s="17">
        <f>'AEO 2023 Table 47 Raw'!AA77</f>
        <v>29.751711</v>
      </c>
      <c r="Y92" s="17">
        <f>'AEO 2023 Table 47 Raw'!AB77</f>
        <v>30.298272999999998</v>
      </c>
      <c r="Z92" s="17">
        <f>'AEO 2023 Table 47 Raw'!AC77</f>
        <v>30.82856</v>
      </c>
      <c r="AA92" s="17">
        <f>'AEO 2023 Table 47 Raw'!AD77</f>
        <v>31.342054000000001</v>
      </c>
      <c r="AB92" s="17">
        <f>'AEO 2023 Table 47 Raw'!AE77</f>
        <v>31.842524000000001</v>
      </c>
      <c r="AC92" s="17">
        <f>'AEO 2023 Table 47 Raw'!AF77</f>
        <v>32.328381</v>
      </c>
      <c r="AD92" s="17">
        <f>'AEO 2023 Table 47 Raw'!AG77</f>
        <v>32.794552000000003</v>
      </c>
      <c r="AE92" s="17">
        <f>'AEO 2023 Table 47 Raw'!AH77</f>
        <v>33.235858999999998</v>
      </c>
      <c r="AF92" s="30">
        <f>'AEO 2023 Table 47 Raw'!AI77</f>
        <v>3.1E-2</v>
      </c>
    </row>
    <row r="93" spans="1:32" ht="15" customHeight="1">
      <c r="A93" s="7" t="s">
        <v>609</v>
      </c>
      <c r="B93" s="16" t="s">
        <v>610</v>
      </c>
      <c r="C93" s="17">
        <f>'AEO 2023 Table 47 Raw'!F78</f>
        <v>1.729398</v>
      </c>
      <c r="D93" s="17">
        <f>'AEO 2023 Table 47 Raw'!G78</f>
        <v>1.9405060000000001</v>
      </c>
      <c r="E93" s="17">
        <f>'AEO 2023 Table 47 Raw'!H78</f>
        <v>2.1560890000000001</v>
      </c>
      <c r="F93" s="17">
        <f>'AEO 2023 Table 47 Raw'!I78</f>
        <v>2.37439</v>
      </c>
      <c r="G93" s="17">
        <f>'AEO 2023 Table 47 Raw'!J78</f>
        <v>2.5902090000000002</v>
      </c>
      <c r="H93" s="17">
        <f>'AEO 2023 Table 47 Raw'!K78</f>
        <v>2.7969189999999999</v>
      </c>
      <c r="I93" s="17">
        <f>'AEO 2023 Table 47 Raw'!L78</f>
        <v>2.9946679999999999</v>
      </c>
      <c r="J93" s="17">
        <f>'AEO 2023 Table 47 Raw'!M78</f>
        <v>3.1840839999999999</v>
      </c>
      <c r="K93" s="17">
        <f>'AEO 2023 Table 47 Raw'!N78</f>
        <v>3.365723</v>
      </c>
      <c r="L93" s="17">
        <f>'AEO 2023 Table 47 Raw'!O78</f>
        <v>3.5399889999999998</v>
      </c>
      <c r="M93" s="17">
        <f>'AEO 2023 Table 47 Raw'!P78</f>
        <v>3.7074400000000001</v>
      </c>
      <c r="N93" s="17">
        <f>'AEO 2023 Table 47 Raw'!Q78</f>
        <v>3.868322</v>
      </c>
      <c r="O93" s="17">
        <f>'AEO 2023 Table 47 Raw'!R78</f>
        <v>4.0227149999999998</v>
      </c>
      <c r="P93" s="17">
        <f>'AEO 2023 Table 47 Raw'!S78</f>
        <v>4.1717719999999998</v>
      </c>
      <c r="Q93" s="17">
        <f>'AEO 2023 Table 47 Raw'!T78</f>
        <v>4.3170520000000003</v>
      </c>
      <c r="R93" s="17">
        <f>'AEO 2023 Table 47 Raw'!U78</f>
        <v>4.4608340000000002</v>
      </c>
      <c r="S93" s="17">
        <f>'AEO 2023 Table 47 Raw'!V78</f>
        <v>4.6034769999999998</v>
      </c>
      <c r="T93" s="17">
        <f>'AEO 2023 Table 47 Raw'!W78</f>
        <v>4.7450979999999996</v>
      </c>
      <c r="U93" s="17">
        <f>'AEO 2023 Table 47 Raw'!X78</f>
        <v>4.8857530000000002</v>
      </c>
      <c r="V93" s="17">
        <f>'AEO 2023 Table 47 Raw'!Y78</f>
        <v>5.0255089999999996</v>
      </c>
      <c r="W93" s="17">
        <f>'AEO 2023 Table 47 Raw'!Z78</f>
        <v>5.164409</v>
      </c>
      <c r="X93" s="17">
        <f>'AEO 2023 Table 47 Raw'!AA78</f>
        <v>5.3025580000000003</v>
      </c>
      <c r="Y93" s="17">
        <f>'AEO 2023 Table 47 Raw'!AB78</f>
        <v>5.4398660000000003</v>
      </c>
      <c r="Z93" s="17">
        <f>'AEO 2023 Table 47 Raw'!AC78</f>
        <v>5.5762869999999998</v>
      </c>
      <c r="AA93" s="17">
        <f>'AEO 2023 Table 47 Raw'!AD78</f>
        <v>5.7117120000000003</v>
      </c>
      <c r="AB93" s="17">
        <f>'AEO 2023 Table 47 Raw'!AE78</f>
        <v>5.8460159999999997</v>
      </c>
      <c r="AC93" s="17">
        <f>'AEO 2023 Table 47 Raw'!AF78</f>
        <v>5.9790609999999997</v>
      </c>
      <c r="AD93" s="17">
        <f>'AEO 2023 Table 47 Raw'!AG78</f>
        <v>6.1107060000000004</v>
      </c>
      <c r="AE93" s="17">
        <f>'AEO 2023 Table 47 Raw'!AH78</f>
        <v>6.2408289999999997</v>
      </c>
      <c r="AF93" s="30">
        <f>'AEO 2023 Table 47 Raw'!AI78</f>
        <v>4.7E-2</v>
      </c>
    </row>
    <row r="94" spans="1:32" ht="15" customHeight="1">
      <c r="A94" s="7" t="s">
        <v>611</v>
      </c>
      <c r="B94" s="16" t="s">
        <v>612</v>
      </c>
      <c r="C94" s="17">
        <f>'AEO 2023 Table 47 Raw'!F79</f>
        <v>10.97953</v>
      </c>
      <c r="D94" s="17">
        <f>'AEO 2023 Table 47 Raw'!G79</f>
        <v>11.478201</v>
      </c>
      <c r="E94" s="17">
        <f>'AEO 2023 Table 47 Raw'!H79</f>
        <v>11.913265000000001</v>
      </c>
      <c r="F94" s="17">
        <f>'AEO 2023 Table 47 Raw'!I79</f>
        <v>12.294639</v>
      </c>
      <c r="G94" s="17">
        <f>'AEO 2023 Table 47 Raw'!J79</f>
        <v>12.627687999999999</v>
      </c>
      <c r="H94" s="17">
        <f>'AEO 2023 Table 47 Raw'!K79</f>
        <v>12.920790999999999</v>
      </c>
      <c r="I94" s="17">
        <f>'AEO 2023 Table 47 Raw'!L79</f>
        <v>13.179679999999999</v>
      </c>
      <c r="J94" s="17">
        <f>'AEO 2023 Table 47 Raw'!M79</f>
        <v>13.408682000000001</v>
      </c>
      <c r="K94" s="17">
        <f>'AEO 2023 Table 47 Raw'!N79</f>
        <v>13.611603000000001</v>
      </c>
      <c r="L94" s="17">
        <f>'AEO 2023 Table 47 Raw'!O79</f>
        <v>13.793385000000001</v>
      </c>
      <c r="M94" s="17">
        <f>'AEO 2023 Table 47 Raw'!P79</f>
        <v>13.957406000000001</v>
      </c>
      <c r="N94" s="17">
        <f>'AEO 2023 Table 47 Raw'!Q79</f>
        <v>14.106166999999999</v>
      </c>
      <c r="O94" s="17">
        <f>'AEO 2023 Table 47 Raw'!R79</f>
        <v>14.242005000000001</v>
      </c>
      <c r="P94" s="17">
        <f>'AEO 2023 Table 47 Raw'!S79</f>
        <v>14.366897</v>
      </c>
      <c r="Q94" s="17">
        <f>'AEO 2023 Table 47 Raw'!T79</f>
        <v>14.481479999999999</v>
      </c>
      <c r="R94" s="17">
        <f>'AEO 2023 Table 47 Raw'!U79</f>
        <v>14.587826</v>
      </c>
      <c r="S94" s="17">
        <f>'AEO 2023 Table 47 Raw'!V79</f>
        <v>14.687233000000001</v>
      </c>
      <c r="T94" s="17">
        <f>'AEO 2023 Table 47 Raw'!W79</f>
        <v>14.780568000000001</v>
      </c>
      <c r="U94" s="17">
        <f>'AEO 2023 Table 47 Raw'!X79</f>
        <v>14.868819999999999</v>
      </c>
      <c r="V94" s="17">
        <f>'AEO 2023 Table 47 Raw'!Y79</f>
        <v>14.951580999999999</v>
      </c>
      <c r="W94" s="17">
        <f>'AEO 2023 Table 47 Raw'!Z79</f>
        <v>15.030099999999999</v>
      </c>
      <c r="X94" s="17">
        <f>'AEO 2023 Table 47 Raw'!AA79</f>
        <v>15.104990000000001</v>
      </c>
      <c r="Y94" s="17">
        <f>'AEO 2023 Table 47 Raw'!AB79</f>
        <v>15.176742000000001</v>
      </c>
      <c r="Z94" s="17">
        <f>'AEO 2023 Table 47 Raw'!AC79</f>
        <v>15.245628</v>
      </c>
      <c r="AA94" s="17">
        <f>'AEO 2023 Table 47 Raw'!AD79</f>
        <v>15.310263000000001</v>
      </c>
      <c r="AB94" s="17">
        <f>'AEO 2023 Table 47 Raw'!AE79</f>
        <v>15.372285</v>
      </c>
      <c r="AC94" s="17">
        <f>'AEO 2023 Table 47 Raw'!AF79</f>
        <v>15.432404999999999</v>
      </c>
      <c r="AD94" s="17">
        <f>'AEO 2023 Table 47 Raw'!AG79</f>
        <v>15.490957999999999</v>
      </c>
      <c r="AE94" s="17">
        <f>'AEO 2023 Table 47 Raw'!AH79</f>
        <v>15.548268</v>
      </c>
      <c r="AF94" s="30">
        <f>'AEO 2023 Table 47 Raw'!AI79</f>
        <v>1.2999999999999999E-2</v>
      </c>
    </row>
    <row r="95" spans="1:32" ht="12" customHeight="1">
      <c r="A95" s="7" t="s">
        <v>613</v>
      </c>
      <c r="B95" s="16" t="s">
        <v>614</v>
      </c>
      <c r="C95" s="17">
        <f>'AEO 2023 Table 47 Raw'!F80</f>
        <v>1.034492</v>
      </c>
      <c r="D95" s="17">
        <f>'AEO 2023 Table 47 Raw'!G80</f>
        <v>0.99601099999999998</v>
      </c>
      <c r="E95" s="17">
        <f>'AEO 2023 Table 47 Raw'!H80</f>
        <v>0.96615300000000004</v>
      </c>
      <c r="F95" s="17">
        <f>'AEO 2023 Table 47 Raw'!I80</f>
        <v>0.94137499999999996</v>
      </c>
      <c r="G95" s="17">
        <f>'AEO 2023 Table 47 Raw'!J80</f>
        <v>0.91805400000000004</v>
      </c>
      <c r="H95" s="17">
        <f>'AEO 2023 Table 47 Raw'!K80</f>
        <v>0.89600199999999997</v>
      </c>
      <c r="I95" s="17">
        <f>'AEO 2023 Table 47 Raw'!L80</f>
        <v>0.87472399999999995</v>
      </c>
      <c r="J95" s="17">
        <f>'AEO 2023 Table 47 Raw'!M80</f>
        <v>0.85463800000000001</v>
      </c>
      <c r="K95" s="17">
        <f>'AEO 2023 Table 47 Raw'!N80</f>
        <v>0.83557300000000001</v>
      </c>
      <c r="L95" s="17">
        <f>'AEO 2023 Table 47 Raw'!O80</f>
        <v>0.81794</v>
      </c>
      <c r="M95" s="17">
        <f>'AEO 2023 Table 47 Raw'!P80</f>
        <v>0.80143900000000001</v>
      </c>
      <c r="N95" s="17">
        <f>'AEO 2023 Table 47 Raw'!Q80</f>
        <v>0.785694</v>
      </c>
      <c r="O95" s="17">
        <f>'AEO 2023 Table 47 Raw'!R80</f>
        <v>0.77058400000000005</v>
      </c>
      <c r="P95" s="17">
        <f>'AEO 2023 Table 47 Raw'!S80</f>
        <v>0.75597400000000003</v>
      </c>
      <c r="Q95" s="17">
        <f>'AEO 2023 Table 47 Raw'!T80</f>
        <v>0.74202599999999996</v>
      </c>
      <c r="R95" s="17">
        <f>'AEO 2023 Table 47 Raw'!U80</f>
        <v>0.728599</v>
      </c>
      <c r="S95" s="17">
        <f>'AEO 2023 Table 47 Raw'!V80</f>
        <v>0.71566300000000005</v>
      </c>
      <c r="T95" s="17">
        <f>'AEO 2023 Table 47 Raw'!W80</f>
        <v>0.70325800000000005</v>
      </c>
      <c r="U95" s="17">
        <f>'AEO 2023 Table 47 Raw'!X80</f>
        <v>0.69134799999999996</v>
      </c>
      <c r="V95" s="17">
        <f>'AEO 2023 Table 47 Raw'!Y80</f>
        <v>0.67998099999999995</v>
      </c>
      <c r="W95" s="17">
        <f>'AEO 2023 Table 47 Raw'!Z80</f>
        <v>0.66904200000000003</v>
      </c>
      <c r="X95" s="17">
        <f>'AEO 2023 Table 47 Raw'!AA80</f>
        <v>0.65848600000000002</v>
      </c>
      <c r="Y95" s="17">
        <f>'AEO 2023 Table 47 Raw'!AB80</f>
        <v>0.64829400000000004</v>
      </c>
      <c r="Z95" s="17">
        <f>'AEO 2023 Table 47 Raw'!AC80</f>
        <v>0.63843799999999995</v>
      </c>
      <c r="AA95" s="17">
        <f>'AEO 2023 Table 47 Raw'!AD80</f>
        <v>0.62902999999999998</v>
      </c>
      <c r="AB95" s="17">
        <f>'AEO 2023 Table 47 Raw'!AE80</f>
        <v>0.61994700000000003</v>
      </c>
      <c r="AC95" s="17">
        <f>'AEO 2023 Table 47 Raw'!AF80</f>
        <v>0.61114500000000005</v>
      </c>
      <c r="AD95" s="17">
        <f>'AEO 2023 Table 47 Raw'!AG80</f>
        <v>0.60261200000000004</v>
      </c>
      <c r="AE95" s="17">
        <f>'AEO 2023 Table 47 Raw'!AH80</f>
        <v>0.59433100000000005</v>
      </c>
      <c r="AF95" s="30">
        <f>'AEO 2023 Table 47 Raw'!AI80</f>
        <v>-0.02</v>
      </c>
    </row>
    <row r="96" spans="1:32" ht="15" customHeight="1">
      <c r="A96" s="7" t="s">
        <v>615</v>
      </c>
      <c r="B96" s="16" t="s">
        <v>616</v>
      </c>
      <c r="C96" s="17">
        <f>'AEO 2023 Table 47 Raw'!F81</f>
        <v>2.056041</v>
      </c>
      <c r="D96" s="17">
        <f>'AEO 2023 Table 47 Raw'!G81</f>
        <v>2.2239300000000002</v>
      </c>
      <c r="E96" s="17">
        <f>'AEO 2023 Table 47 Raw'!H81</f>
        <v>2.3859140000000001</v>
      </c>
      <c r="F96" s="17">
        <f>'AEO 2023 Table 47 Raw'!I81</f>
        <v>2.5383819999999999</v>
      </c>
      <c r="G96" s="17">
        <f>'AEO 2023 Table 47 Raw'!J81</f>
        <v>2.6863220000000001</v>
      </c>
      <c r="H96" s="17">
        <f>'AEO 2023 Table 47 Raw'!K81</f>
        <v>2.8267340000000001</v>
      </c>
      <c r="I96" s="17">
        <f>'AEO 2023 Table 47 Raw'!L81</f>
        <v>2.9619110000000002</v>
      </c>
      <c r="J96" s="17">
        <f>'AEO 2023 Table 47 Raw'!M81</f>
        <v>3.0936409999999999</v>
      </c>
      <c r="K96" s="17">
        <f>'AEO 2023 Table 47 Raw'!N81</f>
        <v>3.224078</v>
      </c>
      <c r="L96" s="17">
        <f>'AEO 2023 Table 47 Raw'!O81</f>
        <v>3.35331</v>
      </c>
      <c r="M96" s="17">
        <f>'AEO 2023 Table 47 Raw'!P81</f>
        <v>3.4810599999999998</v>
      </c>
      <c r="N96" s="17">
        <f>'AEO 2023 Table 47 Raw'!Q81</f>
        <v>3.6073309999999998</v>
      </c>
      <c r="O96" s="17">
        <f>'AEO 2023 Table 47 Raw'!R81</f>
        <v>3.7324109999999999</v>
      </c>
      <c r="P96" s="17">
        <f>'AEO 2023 Table 47 Raw'!S81</f>
        <v>3.856554</v>
      </c>
      <c r="Q96" s="17">
        <f>'AEO 2023 Table 47 Raw'!T81</f>
        <v>3.9815369999999999</v>
      </c>
      <c r="R96" s="17">
        <f>'AEO 2023 Table 47 Raw'!U81</f>
        <v>4.1063970000000003</v>
      </c>
      <c r="S96" s="17">
        <f>'AEO 2023 Table 47 Raw'!V81</f>
        <v>4.2310189999999999</v>
      </c>
      <c r="T96" s="17">
        <f>'AEO 2023 Table 47 Raw'!W81</f>
        <v>4.3554599999999999</v>
      </c>
      <c r="U96" s="17">
        <f>'AEO 2023 Table 47 Raw'!X81</f>
        <v>4.4799889999999998</v>
      </c>
      <c r="V96" s="17">
        <f>'AEO 2023 Table 47 Raw'!Y81</f>
        <v>4.6060540000000003</v>
      </c>
      <c r="W96" s="17">
        <f>'AEO 2023 Table 47 Raw'!Z81</f>
        <v>4.7324640000000002</v>
      </c>
      <c r="X96" s="17">
        <f>'AEO 2023 Table 47 Raw'!AA81</f>
        <v>4.8590929999999997</v>
      </c>
      <c r="Y96" s="17">
        <f>'AEO 2023 Table 47 Raw'!AB81</f>
        <v>4.9859879999999999</v>
      </c>
      <c r="Z96" s="17">
        <f>'AEO 2023 Table 47 Raw'!AC81</f>
        <v>5.113321</v>
      </c>
      <c r="AA96" s="17">
        <f>'AEO 2023 Table 47 Raw'!AD81</f>
        <v>5.2422110000000002</v>
      </c>
      <c r="AB96" s="17">
        <f>'AEO 2023 Table 47 Raw'!AE81</f>
        <v>5.3715659999999996</v>
      </c>
      <c r="AC96" s="17">
        <f>'AEO 2023 Table 47 Raw'!AF81</f>
        <v>5.5012590000000001</v>
      </c>
      <c r="AD96" s="17">
        <f>'AEO 2023 Table 47 Raw'!AG81</f>
        <v>5.6312749999999996</v>
      </c>
      <c r="AE96" s="17">
        <f>'AEO 2023 Table 47 Raw'!AH81</f>
        <v>5.7617219999999998</v>
      </c>
      <c r="AF96" s="30">
        <f>'AEO 2023 Table 47 Raw'!AI81</f>
        <v>3.6999999999999998E-2</v>
      </c>
    </row>
    <row r="97" spans="1:32" ht="12" customHeight="1">
      <c r="A97" s="7" t="s">
        <v>617</v>
      </c>
      <c r="B97" s="16" t="s">
        <v>618</v>
      </c>
      <c r="C97" s="17">
        <f>'AEO 2023 Table 47 Raw'!F82</f>
        <v>1.315159</v>
      </c>
      <c r="D97" s="17">
        <f>'AEO 2023 Table 47 Raw'!G82</f>
        <v>1.3515710000000001</v>
      </c>
      <c r="E97" s="17">
        <f>'AEO 2023 Table 47 Raw'!H82</f>
        <v>1.401203</v>
      </c>
      <c r="F97" s="17">
        <f>'AEO 2023 Table 47 Raw'!I82</f>
        <v>1.448269</v>
      </c>
      <c r="G97" s="17">
        <f>'AEO 2023 Table 47 Raw'!J82</f>
        <v>1.490272</v>
      </c>
      <c r="H97" s="17">
        <f>'AEO 2023 Table 47 Raw'!K82</f>
        <v>1.528861</v>
      </c>
      <c r="I97" s="17">
        <f>'AEO 2023 Table 47 Raw'!L82</f>
        <v>1.5658209999999999</v>
      </c>
      <c r="J97" s="17">
        <f>'AEO 2023 Table 47 Raw'!M82</f>
        <v>1.6010279999999999</v>
      </c>
      <c r="K97" s="17">
        <f>'AEO 2023 Table 47 Raw'!N82</f>
        <v>1.632976</v>
      </c>
      <c r="L97" s="17">
        <f>'AEO 2023 Table 47 Raw'!O82</f>
        <v>1.661187</v>
      </c>
      <c r="M97" s="17">
        <f>'AEO 2023 Table 47 Raw'!P82</f>
        <v>1.687252</v>
      </c>
      <c r="N97" s="17">
        <f>'AEO 2023 Table 47 Raw'!Q82</f>
        <v>1.71123</v>
      </c>
      <c r="O97" s="17">
        <f>'AEO 2023 Table 47 Raw'!R82</f>
        <v>1.7331449999999999</v>
      </c>
      <c r="P97" s="17">
        <f>'AEO 2023 Table 47 Raw'!S82</f>
        <v>1.75302</v>
      </c>
      <c r="Q97" s="17">
        <f>'AEO 2023 Table 47 Raw'!T82</f>
        <v>1.770937</v>
      </c>
      <c r="R97" s="17">
        <f>'AEO 2023 Table 47 Raw'!U82</f>
        <v>1.787161</v>
      </c>
      <c r="S97" s="17">
        <f>'AEO 2023 Table 47 Raw'!V82</f>
        <v>1.801885</v>
      </c>
      <c r="T97" s="17">
        <f>'AEO 2023 Table 47 Raw'!W82</f>
        <v>1.815293</v>
      </c>
      <c r="U97" s="17">
        <f>'AEO 2023 Table 47 Raw'!X82</f>
        <v>1.827555</v>
      </c>
      <c r="V97" s="17">
        <f>'AEO 2023 Table 47 Raw'!Y82</f>
        <v>1.8388009999999999</v>
      </c>
      <c r="W97" s="17">
        <f>'AEO 2023 Table 47 Raw'!Z82</f>
        <v>1.849121</v>
      </c>
      <c r="X97" s="17">
        <f>'AEO 2023 Table 47 Raw'!AA82</f>
        <v>1.8585959999999999</v>
      </c>
      <c r="Y97" s="17">
        <f>'AEO 2023 Table 47 Raw'!AB82</f>
        <v>1.8672869999999999</v>
      </c>
      <c r="Z97" s="17">
        <f>'AEO 2023 Table 47 Raw'!AC82</f>
        <v>1.8752530000000001</v>
      </c>
      <c r="AA97" s="17">
        <f>'AEO 2023 Table 47 Raw'!AD82</f>
        <v>1.8825810000000001</v>
      </c>
      <c r="AB97" s="17">
        <f>'AEO 2023 Table 47 Raw'!AE82</f>
        <v>1.8892880000000001</v>
      </c>
      <c r="AC97" s="17">
        <f>'AEO 2023 Table 47 Raw'!AF82</f>
        <v>1.8954009999999999</v>
      </c>
      <c r="AD97" s="17">
        <f>'AEO 2023 Table 47 Raw'!AG82</f>
        <v>1.900908</v>
      </c>
      <c r="AE97" s="17">
        <f>'AEO 2023 Table 47 Raw'!AH82</f>
        <v>1.9058569999999999</v>
      </c>
      <c r="AF97" s="30">
        <f>'AEO 2023 Table 47 Raw'!AI82</f>
        <v>1.2999999999999999E-2</v>
      </c>
    </row>
    <row r="98" spans="1:32" ht="15" customHeight="1">
      <c r="A98" s="7" t="s">
        <v>619</v>
      </c>
      <c r="B98" s="16" t="s">
        <v>620</v>
      </c>
      <c r="C98" s="17">
        <f>'AEO 2023 Table 47 Raw'!F83</f>
        <v>1.3873660000000001</v>
      </c>
      <c r="D98" s="17">
        <f>'AEO 2023 Table 47 Raw'!G83</f>
        <v>1.5061150000000001</v>
      </c>
      <c r="E98" s="17">
        <f>'AEO 2023 Table 47 Raw'!H83</f>
        <v>1.6128100000000001</v>
      </c>
      <c r="F98" s="17">
        <f>'AEO 2023 Table 47 Raw'!I83</f>
        <v>1.7258629999999999</v>
      </c>
      <c r="G98" s="17">
        <f>'AEO 2023 Table 47 Raw'!J83</f>
        <v>1.854373</v>
      </c>
      <c r="H98" s="17">
        <f>'AEO 2023 Table 47 Raw'!K83</f>
        <v>1.978618</v>
      </c>
      <c r="I98" s="17">
        <f>'AEO 2023 Table 47 Raw'!L83</f>
        <v>2.0982919999999998</v>
      </c>
      <c r="J98" s="17">
        <f>'AEO 2023 Table 47 Raw'!M83</f>
        <v>2.212968</v>
      </c>
      <c r="K98" s="17">
        <f>'AEO 2023 Table 47 Raw'!N83</f>
        <v>2.3225889999999998</v>
      </c>
      <c r="L98" s="17">
        <f>'AEO 2023 Table 47 Raw'!O83</f>
        <v>2.4248690000000002</v>
      </c>
      <c r="M98" s="17">
        <f>'AEO 2023 Table 47 Raw'!P83</f>
        <v>2.5281760000000002</v>
      </c>
      <c r="N98" s="17">
        <f>'AEO 2023 Table 47 Raw'!Q83</f>
        <v>2.6335980000000001</v>
      </c>
      <c r="O98" s="17">
        <f>'AEO 2023 Table 47 Raw'!R83</f>
        <v>2.7414800000000001</v>
      </c>
      <c r="P98" s="17">
        <f>'AEO 2023 Table 47 Raw'!S83</f>
        <v>2.8521390000000002</v>
      </c>
      <c r="Q98" s="17">
        <f>'AEO 2023 Table 47 Raw'!T83</f>
        <v>2.9651719999999999</v>
      </c>
      <c r="R98" s="17">
        <f>'AEO 2023 Table 47 Raw'!U83</f>
        <v>3.081699</v>
      </c>
      <c r="S98" s="17">
        <f>'AEO 2023 Table 47 Raw'!V83</f>
        <v>3.2019039999999999</v>
      </c>
      <c r="T98" s="17">
        <f>'AEO 2023 Table 47 Raw'!W83</f>
        <v>3.3258559999999999</v>
      </c>
      <c r="U98" s="17">
        <f>'AEO 2023 Table 47 Raw'!X83</f>
        <v>3.4535149999999999</v>
      </c>
      <c r="V98" s="17">
        <f>'AEO 2023 Table 47 Raw'!Y83</f>
        <v>3.585645</v>
      </c>
      <c r="W98" s="17">
        <f>'AEO 2023 Table 47 Raw'!Z83</f>
        <v>3.7219479999999998</v>
      </c>
      <c r="X98" s="17">
        <f>'AEO 2023 Table 47 Raw'!AA83</f>
        <v>3.8624550000000002</v>
      </c>
      <c r="Y98" s="17">
        <f>'AEO 2023 Table 47 Raw'!AB83</f>
        <v>4.0071919999999999</v>
      </c>
      <c r="Z98" s="17">
        <f>'AEO 2023 Table 47 Raw'!AC83</f>
        <v>4.1561370000000002</v>
      </c>
      <c r="AA98" s="17">
        <f>'AEO 2023 Table 47 Raw'!AD83</f>
        <v>4.3064840000000002</v>
      </c>
      <c r="AB98" s="17">
        <f>'AEO 2023 Table 47 Raw'!AE83</f>
        <v>4.4612210000000001</v>
      </c>
      <c r="AC98" s="17">
        <f>'AEO 2023 Table 47 Raw'!AF83</f>
        <v>4.620444</v>
      </c>
      <c r="AD98" s="17">
        <f>'AEO 2023 Table 47 Raw'!AG83</f>
        <v>4.7842510000000003</v>
      </c>
      <c r="AE98" s="17">
        <f>'AEO 2023 Table 47 Raw'!AH83</f>
        <v>4.9525699999999997</v>
      </c>
      <c r="AF98" s="30">
        <f>'AEO 2023 Table 47 Raw'!AI83</f>
        <v>4.5999999999999999E-2</v>
      </c>
    </row>
    <row r="99" spans="1:32" ht="15" customHeight="1">
      <c r="A99" s="7" t="s">
        <v>621</v>
      </c>
      <c r="B99" s="16" t="s">
        <v>622</v>
      </c>
      <c r="C99" s="17">
        <f>'AEO 2023 Table 47 Raw'!F84</f>
        <v>33.362082999999998</v>
      </c>
      <c r="D99" s="17">
        <f>'AEO 2023 Table 47 Raw'!G84</f>
        <v>33.291046000000001</v>
      </c>
      <c r="E99" s="17">
        <f>'AEO 2023 Table 47 Raw'!H84</f>
        <v>33.543773999999999</v>
      </c>
      <c r="F99" s="17">
        <f>'AEO 2023 Table 47 Raw'!I84</f>
        <v>33.943812999999999</v>
      </c>
      <c r="G99" s="17">
        <f>'AEO 2023 Table 47 Raw'!J84</f>
        <v>34.447868</v>
      </c>
      <c r="H99" s="17">
        <f>'AEO 2023 Table 47 Raw'!K84</f>
        <v>34.956932000000002</v>
      </c>
      <c r="I99" s="17">
        <f>'AEO 2023 Table 47 Raw'!L84</f>
        <v>35.476719000000003</v>
      </c>
      <c r="J99" s="17">
        <f>'AEO 2023 Table 47 Raw'!M84</f>
        <v>35.983359999999998</v>
      </c>
      <c r="K99" s="17">
        <f>'AEO 2023 Table 47 Raw'!N84</f>
        <v>36.478530999999997</v>
      </c>
      <c r="L99" s="17">
        <f>'AEO 2023 Table 47 Raw'!O84</f>
        <v>36.997509000000001</v>
      </c>
      <c r="M99" s="17">
        <f>'AEO 2023 Table 47 Raw'!P84</f>
        <v>37.577545000000001</v>
      </c>
      <c r="N99" s="17">
        <f>'AEO 2023 Table 47 Raw'!Q84</f>
        <v>38.168385000000001</v>
      </c>
      <c r="O99" s="17">
        <f>'AEO 2023 Table 47 Raw'!R84</f>
        <v>38.726424999999999</v>
      </c>
      <c r="P99" s="17">
        <f>'AEO 2023 Table 47 Raw'!S84</f>
        <v>39.286076000000001</v>
      </c>
      <c r="Q99" s="17">
        <f>'AEO 2023 Table 47 Raw'!T84</f>
        <v>39.871765000000003</v>
      </c>
      <c r="R99" s="17">
        <f>'AEO 2023 Table 47 Raw'!U84</f>
        <v>40.487602000000003</v>
      </c>
      <c r="S99" s="17">
        <f>'AEO 2023 Table 47 Raw'!V84</f>
        <v>41.134417999999997</v>
      </c>
      <c r="T99" s="17">
        <f>'AEO 2023 Table 47 Raw'!W84</f>
        <v>41.797691</v>
      </c>
      <c r="U99" s="17">
        <f>'AEO 2023 Table 47 Raw'!X84</f>
        <v>42.491652999999999</v>
      </c>
      <c r="V99" s="17">
        <f>'AEO 2023 Table 47 Raw'!Y84</f>
        <v>43.184508999999998</v>
      </c>
      <c r="W99" s="17">
        <f>'AEO 2023 Table 47 Raw'!Z84</f>
        <v>43.892471</v>
      </c>
      <c r="X99" s="17">
        <f>'AEO 2023 Table 47 Raw'!AA84</f>
        <v>44.611888999999998</v>
      </c>
      <c r="Y99" s="17">
        <f>'AEO 2023 Table 47 Raw'!AB84</f>
        <v>45.339897000000001</v>
      </c>
      <c r="Z99" s="17">
        <f>'AEO 2023 Table 47 Raw'!AC84</f>
        <v>46.064582999999999</v>
      </c>
      <c r="AA99" s="17">
        <f>'AEO 2023 Table 47 Raw'!AD84</f>
        <v>46.800407</v>
      </c>
      <c r="AB99" s="17">
        <f>'AEO 2023 Table 47 Raw'!AE84</f>
        <v>47.554264000000003</v>
      </c>
      <c r="AC99" s="17">
        <f>'AEO 2023 Table 47 Raw'!AF84</f>
        <v>48.323734000000002</v>
      </c>
      <c r="AD99" s="17">
        <f>'AEO 2023 Table 47 Raw'!AG84</f>
        <v>49.105536999999998</v>
      </c>
      <c r="AE99" s="17">
        <f>'AEO 2023 Table 47 Raw'!AH84</f>
        <v>49.902842999999997</v>
      </c>
      <c r="AF99" s="30">
        <f>'AEO 2023 Table 47 Raw'!AI84</f>
        <v>1.4E-2</v>
      </c>
    </row>
    <row r="100" spans="1:32" ht="15" customHeight="1">
      <c r="A100" s="7" t="s">
        <v>623</v>
      </c>
      <c r="B100" s="16" t="s">
        <v>624</v>
      </c>
      <c r="C100" s="17">
        <f>'AEO 2023 Table 47 Raw'!F85</f>
        <v>83.452560000000005</v>
      </c>
      <c r="D100" s="17">
        <f>'AEO 2023 Table 47 Raw'!G85</f>
        <v>87.040908999999999</v>
      </c>
      <c r="E100" s="17">
        <f>'AEO 2023 Table 47 Raw'!H85</f>
        <v>91.019249000000002</v>
      </c>
      <c r="F100" s="17">
        <f>'AEO 2023 Table 47 Raw'!I85</f>
        <v>94.816528000000005</v>
      </c>
      <c r="G100" s="17">
        <f>'AEO 2023 Table 47 Raw'!J85</f>
        <v>98.465987999999996</v>
      </c>
      <c r="H100" s="17">
        <f>'AEO 2023 Table 47 Raw'!K85</f>
        <v>101.86409</v>
      </c>
      <c r="I100" s="17">
        <f>'AEO 2023 Table 47 Raw'!L85</f>
        <v>105.071213</v>
      </c>
      <c r="J100" s="17">
        <f>'AEO 2023 Table 47 Raw'!M85</f>
        <v>108.08477000000001</v>
      </c>
      <c r="K100" s="17">
        <f>'AEO 2023 Table 47 Raw'!N85</f>
        <v>110.938408</v>
      </c>
      <c r="L100" s="17">
        <f>'AEO 2023 Table 47 Raw'!O85</f>
        <v>113.716522</v>
      </c>
      <c r="M100" s="17">
        <f>'AEO 2023 Table 47 Raw'!P85</f>
        <v>116.52939600000001</v>
      </c>
      <c r="N100" s="17">
        <f>'AEO 2023 Table 47 Raw'!Q85</f>
        <v>119.30880000000001</v>
      </c>
      <c r="O100" s="17">
        <f>'AEO 2023 Table 47 Raw'!R85</f>
        <v>121.966949</v>
      </c>
      <c r="P100" s="17">
        <f>'AEO 2023 Table 47 Raw'!S85</f>
        <v>124.580147</v>
      </c>
      <c r="Q100" s="17">
        <f>'AEO 2023 Table 47 Raw'!T85</f>
        <v>127.227577</v>
      </c>
      <c r="R100" s="17">
        <f>'AEO 2023 Table 47 Raw'!U85</f>
        <v>129.93373099999999</v>
      </c>
      <c r="S100" s="17">
        <f>'AEO 2023 Table 47 Raw'!V85</f>
        <v>132.70126300000001</v>
      </c>
      <c r="T100" s="17">
        <f>'AEO 2023 Table 47 Raw'!W85</f>
        <v>135.505447</v>
      </c>
      <c r="U100" s="17">
        <f>'AEO 2023 Table 47 Raw'!X85</f>
        <v>138.39643899999999</v>
      </c>
      <c r="V100" s="17">
        <f>'AEO 2023 Table 47 Raw'!Y85</f>
        <v>141.29568499999999</v>
      </c>
      <c r="W100" s="17">
        <f>'AEO 2023 Table 47 Raw'!Z85</f>
        <v>144.24375900000001</v>
      </c>
      <c r="X100" s="17">
        <f>'AEO 2023 Table 47 Raw'!AA85</f>
        <v>147.23117099999999</v>
      </c>
      <c r="Y100" s="17">
        <f>'AEO 2023 Table 47 Raw'!AB85</f>
        <v>150.25071700000001</v>
      </c>
      <c r="Z100" s="17">
        <f>'AEO 2023 Table 47 Raw'!AC85</f>
        <v>153.27423099999999</v>
      </c>
      <c r="AA100" s="17">
        <f>'AEO 2023 Table 47 Raw'!AD85</f>
        <v>156.33902</v>
      </c>
      <c r="AB100" s="17">
        <f>'AEO 2023 Table 47 Raw'!AE85</f>
        <v>159.47041300000001</v>
      </c>
      <c r="AC100" s="17">
        <f>'AEO 2023 Table 47 Raw'!AF85</f>
        <v>162.66952499999999</v>
      </c>
      <c r="AD100" s="17">
        <f>'AEO 2023 Table 47 Raw'!AG85</f>
        <v>165.93566899999999</v>
      </c>
      <c r="AE100" s="17">
        <f>'AEO 2023 Table 47 Raw'!AH85</f>
        <v>169.28036499999999</v>
      </c>
      <c r="AF100" s="30">
        <f>'AEO 2023 Table 47 Raw'!AI85</f>
        <v>2.5999999999999999E-2</v>
      </c>
    </row>
    <row r="101" spans="1:32" ht="15" customHeight="1">
      <c r="A101" s="7" t="s">
        <v>625</v>
      </c>
      <c r="B101" s="16" t="s">
        <v>626</v>
      </c>
      <c r="C101" s="17">
        <f>'AEO 2023 Table 47 Raw'!F86</f>
        <v>116.81465900000001</v>
      </c>
      <c r="D101" s="17">
        <f>'AEO 2023 Table 47 Raw'!G86</f>
        <v>120.331947</v>
      </c>
      <c r="E101" s="17">
        <f>'AEO 2023 Table 47 Raw'!H86</f>
        <v>124.563034</v>
      </c>
      <c r="F101" s="17">
        <f>'AEO 2023 Table 47 Raw'!I86</f>
        <v>128.76033000000001</v>
      </c>
      <c r="G101" s="17">
        <f>'AEO 2023 Table 47 Raw'!J86</f>
        <v>132.91386399999999</v>
      </c>
      <c r="H101" s="17">
        <f>'AEO 2023 Table 47 Raw'!K86</f>
        <v>136.820999</v>
      </c>
      <c r="I101" s="17">
        <f>'AEO 2023 Table 47 Raw'!L86</f>
        <v>140.54792800000001</v>
      </c>
      <c r="J101" s="17">
        <f>'AEO 2023 Table 47 Raw'!M86</f>
        <v>144.06811500000001</v>
      </c>
      <c r="K101" s="17">
        <f>'AEO 2023 Table 47 Raw'!N86</f>
        <v>147.41693100000001</v>
      </c>
      <c r="L101" s="17">
        <f>'AEO 2023 Table 47 Raw'!O86</f>
        <v>150.71400499999999</v>
      </c>
      <c r="M101" s="17">
        <f>'AEO 2023 Table 47 Raw'!P86</f>
        <v>154.10694899999999</v>
      </c>
      <c r="N101" s="17">
        <f>'AEO 2023 Table 47 Raw'!Q86</f>
        <v>157.47714199999999</v>
      </c>
      <c r="O101" s="17">
        <f>'AEO 2023 Table 47 Raw'!R86</f>
        <v>160.69338999999999</v>
      </c>
      <c r="P101" s="17">
        <f>'AEO 2023 Table 47 Raw'!S86</f>
        <v>163.86622600000001</v>
      </c>
      <c r="Q101" s="17">
        <f>'AEO 2023 Table 47 Raw'!T86</f>
        <v>167.09934999999999</v>
      </c>
      <c r="R101" s="17">
        <f>'AEO 2023 Table 47 Raw'!U86</f>
        <v>170.42132599999999</v>
      </c>
      <c r="S101" s="17">
        <f>'AEO 2023 Table 47 Raw'!V86</f>
        <v>173.835678</v>
      </c>
      <c r="T101" s="17">
        <f>'AEO 2023 Table 47 Raw'!W86</f>
        <v>177.303146</v>
      </c>
      <c r="U101" s="17">
        <f>'AEO 2023 Table 47 Raw'!X86</f>
        <v>180.888092</v>
      </c>
      <c r="V101" s="17">
        <f>'AEO 2023 Table 47 Raw'!Y86</f>
        <v>184.480209</v>
      </c>
      <c r="W101" s="17">
        <f>'AEO 2023 Table 47 Raw'!Z86</f>
        <v>188.13623000000001</v>
      </c>
      <c r="X101" s="17">
        <f>'AEO 2023 Table 47 Raw'!AA86</f>
        <v>191.843063</v>
      </c>
      <c r="Y101" s="17">
        <f>'AEO 2023 Table 47 Raw'!AB86</f>
        <v>195.59063699999999</v>
      </c>
      <c r="Z101" s="17">
        <f>'AEO 2023 Table 47 Raw'!AC86</f>
        <v>199.33880600000001</v>
      </c>
      <c r="AA101" s="17">
        <f>'AEO 2023 Table 47 Raw'!AD86</f>
        <v>203.13940400000001</v>
      </c>
      <c r="AB101" s="17">
        <f>'AEO 2023 Table 47 Raw'!AE86</f>
        <v>207.02465799999999</v>
      </c>
      <c r="AC101" s="17">
        <f>'AEO 2023 Table 47 Raw'!AF86</f>
        <v>210.99328600000001</v>
      </c>
      <c r="AD101" s="17">
        <f>'AEO 2023 Table 47 Raw'!AG86</f>
        <v>215.04122899999999</v>
      </c>
      <c r="AE101" s="17">
        <f>'AEO 2023 Table 47 Raw'!AH86</f>
        <v>219.183167</v>
      </c>
      <c r="AF101" s="30">
        <f>'AEO 2023 Table 47 Raw'!AI86</f>
        <v>2.3E-2</v>
      </c>
    </row>
    <row r="102" spans="1:32" ht="15" customHeight="1">
      <c r="A102" s="7" t="s">
        <v>627</v>
      </c>
      <c r="B102" s="16" t="s">
        <v>628</v>
      </c>
      <c r="C102" s="17">
        <f>'AEO 2023 Table 47 Raw'!F87</f>
        <v>0</v>
      </c>
      <c r="D102" s="17">
        <f>'AEO 2023 Table 47 Raw'!G87</f>
        <v>0</v>
      </c>
      <c r="E102" s="17">
        <f>'AEO 2023 Table 47 Raw'!H87</f>
        <v>0</v>
      </c>
      <c r="F102" s="17">
        <f>'AEO 2023 Table 47 Raw'!I87</f>
        <v>0</v>
      </c>
      <c r="G102" s="17">
        <f>'AEO 2023 Table 47 Raw'!J87</f>
        <v>0</v>
      </c>
      <c r="H102" s="17">
        <f>'AEO 2023 Table 47 Raw'!K87</f>
        <v>0</v>
      </c>
      <c r="I102" s="17">
        <f>'AEO 2023 Table 47 Raw'!L87</f>
        <v>0</v>
      </c>
      <c r="J102" s="17">
        <f>'AEO 2023 Table 47 Raw'!M87</f>
        <v>0</v>
      </c>
      <c r="K102" s="17">
        <f>'AEO 2023 Table 47 Raw'!N87</f>
        <v>0</v>
      </c>
      <c r="L102" s="17">
        <f>'AEO 2023 Table 47 Raw'!O87</f>
        <v>0</v>
      </c>
      <c r="M102" s="17">
        <f>'AEO 2023 Table 47 Raw'!P87</f>
        <v>0</v>
      </c>
      <c r="N102" s="17">
        <f>'AEO 2023 Table 47 Raw'!Q87</f>
        <v>0</v>
      </c>
      <c r="O102" s="17">
        <f>'AEO 2023 Table 47 Raw'!R87</f>
        <v>0</v>
      </c>
      <c r="P102" s="17">
        <f>'AEO 2023 Table 47 Raw'!S87</f>
        <v>0</v>
      </c>
      <c r="Q102" s="17">
        <f>'AEO 2023 Table 47 Raw'!T87</f>
        <v>0</v>
      </c>
      <c r="R102" s="17">
        <f>'AEO 2023 Table 47 Raw'!U87</f>
        <v>0</v>
      </c>
      <c r="S102" s="17">
        <f>'AEO 2023 Table 47 Raw'!V87</f>
        <v>0</v>
      </c>
      <c r="T102" s="17">
        <f>'AEO 2023 Table 47 Raw'!W87</f>
        <v>0</v>
      </c>
      <c r="U102" s="17">
        <f>'AEO 2023 Table 47 Raw'!X87</f>
        <v>0</v>
      </c>
      <c r="V102" s="17">
        <f>'AEO 2023 Table 47 Raw'!Y87</f>
        <v>0</v>
      </c>
      <c r="W102" s="17">
        <f>'AEO 2023 Table 47 Raw'!Z87</f>
        <v>0</v>
      </c>
      <c r="X102" s="17">
        <f>'AEO 2023 Table 47 Raw'!AA87</f>
        <v>0</v>
      </c>
      <c r="Y102" s="17">
        <f>'AEO 2023 Table 47 Raw'!AB87</f>
        <v>0</v>
      </c>
      <c r="Z102" s="17">
        <f>'AEO 2023 Table 47 Raw'!AC87</f>
        <v>0</v>
      </c>
      <c r="AA102" s="17">
        <f>'AEO 2023 Table 47 Raw'!AD87</f>
        <v>0</v>
      </c>
      <c r="AB102" s="17">
        <f>'AEO 2023 Table 47 Raw'!AE87</f>
        <v>0</v>
      </c>
      <c r="AC102" s="17">
        <f>'AEO 2023 Table 47 Raw'!AF87</f>
        <v>0</v>
      </c>
      <c r="AD102" s="17">
        <f>'AEO 2023 Table 47 Raw'!AG87</f>
        <v>0</v>
      </c>
      <c r="AE102" s="17">
        <f>'AEO 2023 Table 47 Raw'!AH87</f>
        <v>0</v>
      </c>
      <c r="AF102" s="30">
        <f>'AEO 2023 Table 47 Raw'!AI87</f>
        <v>0</v>
      </c>
    </row>
    <row r="103" spans="1:32" ht="15" customHeight="1">
      <c r="A103" s="7" t="s">
        <v>629</v>
      </c>
      <c r="B103" s="16" t="s">
        <v>630</v>
      </c>
      <c r="C103" s="17">
        <f>'AEO 2023 Table 47 Raw'!F88</f>
        <v>1173.034668</v>
      </c>
      <c r="D103" s="17">
        <f>'AEO 2023 Table 47 Raw'!G88</f>
        <v>1318.6945800000001</v>
      </c>
      <c r="E103" s="17">
        <f>'AEO 2023 Table 47 Raw'!H88</f>
        <v>1350.2619629999999</v>
      </c>
      <c r="F103" s="17">
        <f>'AEO 2023 Table 47 Raw'!I88</f>
        <v>1352.2789310000001</v>
      </c>
      <c r="G103" s="17">
        <f>'AEO 2023 Table 47 Raw'!J88</f>
        <v>1371.197754</v>
      </c>
      <c r="H103" s="17">
        <f>'AEO 2023 Table 47 Raw'!K88</f>
        <v>1389.149414</v>
      </c>
      <c r="I103" s="17">
        <f>'AEO 2023 Table 47 Raw'!L88</f>
        <v>1407.1179199999999</v>
      </c>
      <c r="J103" s="17">
        <f>'AEO 2023 Table 47 Raw'!M88</f>
        <v>1421.592529</v>
      </c>
      <c r="K103" s="17">
        <f>'AEO 2023 Table 47 Raw'!N88</f>
        <v>1433.0273440000001</v>
      </c>
      <c r="L103" s="17">
        <f>'AEO 2023 Table 47 Raw'!O88</f>
        <v>1446.8048100000001</v>
      </c>
      <c r="M103" s="17">
        <f>'AEO 2023 Table 47 Raw'!P88</f>
        <v>1468.513672</v>
      </c>
      <c r="N103" s="17">
        <f>'AEO 2023 Table 47 Raw'!Q88</f>
        <v>1491.042236</v>
      </c>
      <c r="O103" s="17">
        <f>'AEO 2023 Table 47 Raw'!R88</f>
        <v>1508.001831</v>
      </c>
      <c r="P103" s="17">
        <f>'AEO 2023 Table 47 Raw'!S88</f>
        <v>1524.5074460000001</v>
      </c>
      <c r="Q103" s="17">
        <f>'AEO 2023 Table 47 Raw'!T88</f>
        <v>1544.2664789999999</v>
      </c>
      <c r="R103" s="17">
        <f>'AEO 2023 Table 47 Raw'!U88</f>
        <v>1567.9221190000001</v>
      </c>
      <c r="S103" s="17">
        <f>'AEO 2023 Table 47 Raw'!V88</f>
        <v>1595.6707759999999</v>
      </c>
      <c r="T103" s="17">
        <f>'AEO 2023 Table 47 Raw'!W88</f>
        <v>1625.223389</v>
      </c>
      <c r="U103" s="17">
        <f>'AEO 2023 Table 47 Raw'!X88</f>
        <v>1658.3792719999999</v>
      </c>
      <c r="V103" s="17">
        <f>'AEO 2023 Table 47 Raw'!Y88</f>
        <v>1690.6396480000001</v>
      </c>
      <c r="W103" s="17">
        <f>'AEO 2023 Table 47 Raw'!Z88</f>
        <v>1724.2036129999999</v>
      </c>
      <c r="X103" s="17">
        <f>'AEO 2023 Table 47 Raw'!AA88</f>
        <v>1758.7885739999999</v>
      </c>
      <c r="Y103" s="17">
        <f>'AEO 2023 Table 47 Raw'!AB88</f>
        <v>1794.2814940000001</v>
      </c>
      <c r="Z103" s="17">
        <f>'AEO 2023 Table 47 Raw'!AC88</f>
        <v>1829.1610109999999</v>
      </c>
      <c r="AA103" s="17">
        <f>'AEO 2023 Table 47 Raw'!AD88</f>
        <v>1866.1365969999999</v>
      </c>
      <c r="AB103" s="17">
        <f>'AEO 2023 Table 47 Raw'!AE88</f>
        <v>1905.77124</v>
      </c>
      <c r="AC103" s="17">
        <f>'AEO 2023 Table 47 Raw'!AF88</f>
        <v>1947.779663</v>
      </c>
      <c r="AD103" s="17">
        <f>'AEO 2023 Table 47 Raw'!AG88</f>
        <v>1991.880981</v>
      </c>
      <c r="AE103" s="17">
        <f>'AEO 2023 Table 47 Raw'!AH88</f>
        <v>2038.8267820000001</v>
      </c>
      <c r="AF103" s="30">
        <f>'AEO 2023 Table 47 Raw'!AI88</f>
        <v>0.02</v>
      </c>
    </row>
    <row r="104" spans="1:32" ht="15" customHeight="1">
      <c r="A104" s="7" t="s">
        <v>631</v>
      </c>
      <c r="B104" s="16" t="s">
        <v>632</v>
      </c>
      <c r="C104" s="17">
        <f>'AEO 2023 Table 47 Raw'!F89</f>
        <v>771.93774399999995</v>
      </c>
      <c r="D104" s="17">
        <f>'AEO 2023 Table 47 Raw'!G89</f>
        <v>826.14868200000001</v>
      </c>
      <c r="E104" s="17">
        <f>'AEO 2023 Table 47 Raw'!H89</f>
        <v>825.03100600000005</v>
      </c>
      <c r="F104" s="17">
        <f>'AEO 2023 Table 47 Raw'!I89</f>
        <v>821.41747999999995</v>
      </c>
      <c r="G104" s="17">
        <f>'AEO 2023 Table 47 Raw'!J89</f>
        <v>831.81805399999996</v>
      </c>
      <c r="H104" s="17">
        <f>'AEO 2023 Table 47 Raw'!K89</f>
        <v>841.58648700000003</v>
      </c>
      <c r="I104" s="17">
        <f>'AEO 2023 Table 47 Raw'!L89</f>
        <v>851.34570299999996</v>
      </c>
      <c r="J104" s="17">
        <f>'AEO 2023 Table 47 Raw'!M89</f>
        <v>858.87561000000005</v>
      </c>
      <c r="K104" s="17">
        <f>'AEO 2023 Table 47 Raw'!N89</f>
        <v>864.46972700000003</v>
      </c>
      <c r="L104" s="17">
        <f>'AEO 2023 Table 47 Raw'!O89</f>
        <v>871.53289800000005</v>
      </c>
      <c r="M104" s="17">
        <f>'AEO 2023 Table 47 Raw'!P89</f>
        <v>883.58019999999999</v>
      </c>
      <c r="N104" s="17">
        <f>'AEO 2023 Table 47 Raw'!Q89</f>
        <v>896.11834699999997</v>
      </c>
      <c r="O104" s="17">
        <f>'AEO 2023 Table 47 Raw'!R89</f>
        <v>905.12927200000001</v>
      </c>
      <c r="P104" s="17">
        <f>'AEO 2023 Table 47 Raw'!S89</f>
        <v>913.83673099999999</v>
      </c>
      <c r="Q104" s="17">
        <f>'AEO 2023 Table 47 Raw'!T89</f>
        <v>924.56738299999995</v>
      </c>
      <c r="R104" s="17">
        <f>'AEO 2023 Table 47 Raw'!U89</f>
        <v>937.716858</v>
      </c>
      <c r="S104" s="17">
        <f>'AEO 2023 Table 47 Raw'!V89</f>
        <v>953.39996299999996</v>
      </c>
      <c r="T104" s="17">
        <f>'AEO 2023 Table 47 Raw'!W89</f>
        <v>970.17730700000004</v>
      </c>
      <c r="U104" s="17">
        <f>'AEO 2023 Table 47 Raw'!X89</f>
        <v>989.16076699999996</v>
      </c>
      <c r="V104" s="17">
        <f>'AEO 2023 Table 47 Raw'!Y89</f>
        <v>1007.538635</v>
      </c>
      <c r="W104" s="17">
        <f>'AEO 2023 Table 47 Raw'!Z89</f>
        <v>1026.6834719999999</v>
      </c>
      <c r="X104" s="17">
        <f>'AEO 2023 Table 47 Raw'!AA89</f>
        <v>1046.4167480000001</v>
      </c>
      <c r="Y104" s="17">
        <f>'AEO 2023 Table 47 Raw'!AB89</f>
        <v>1066.6655270000001</v>
      </c>
      <c r="Z104" s="17">
        <f>'AEO 2023 Table 47 Raw'!AC89</f>
        <v>1086.4807129999999</v>
      </c>
      <c r="AA104" s="17">
        <f>'AEO 2023 Table 47 Raw'!AD89</f>
        <v>1107.5491939999999</v>
      </c>
      <c r="AB104" s="17">
        <f>'AEO 2023 Table 47 Raw'!AE89</f>
        <v>1130.216553</v>
      </c>
      <c r="AC104" s="17">
        <f>'AEO 2023 Table 47 Raw'!AF89</f>
        <v>1154.3011469999999</v>
      </c>
      <c r="AD104" s="17">
        <f>'AEO 2023 Table 47 Raw'!AG89</f>
        <v>1179.6252440000001</v>
      </c>
      <c r="AE104" s="17">
        <f>'AEO 2023 Table 47 Raw'!AH89</f>
        <v>1206.6517329999999</v>
      </c>
      <c r="AF104" s="30">
        <f>'AEO 2023 Table 47 Raw'!AI89</f>
        <v>1.6E-2</v>
      </c>
    </row>
    <row r="105" spans="1:32" ht="15" customHeight="1">
      <c r="A105" s="7" t="s">
        <v>633</v>
      </c>
      <c r="B105" s="16" t="s">
        <v>634</v>
      </c>
      <c r="C105" s="17">
        <f>'AEO 2023 Table 47 Raw'!F90</f>
        <v>291.44287100000003</v>
      </c>
      <c r="D105" s="17">
        <f>'AEO 2023 Table 47 Raw'!G90</f>
        <v>376.62927200000001</v>
      </c>
      <c r="E105" s="17">
        <f>'AEO 2023 Table 47 Raw'!H90</f>
        <v>410.172821</v>
      </c>
      <c r="F105" s="17">
        <f>'AEO 2023 Table 47 Raw'!I90</f>
        <v>416.49899299999998</v>
      </c>
      <c r="G105" s="17">
        <f>'AEO 2023 Table 47 Raw'!J90</f>
        <v>423.612549</v>
      </c>
      <c r="H105" s="17">
        <f>'AEO 2023 Table 47 Raw'!K90</f>
        <v>430.48113999999998</v>
      </c>
      <c r="I105" s="17">
        <f>'AEO 2023 Table 47 Raw'!L90</f>
        <v>437.37762500000002</v>
      </c>
      <c r="J105" s="17">
        <f>'AEO 2023 Table 47 Raw'!M90</f>
        <v>443.32412699999998</v>
      </c>
      <c r="K105" s="17">
        <f>'AEO 2023 Table 47 Raw'!N90</f>
        <v>448.44000199999999</v>
      </c>
      <c r="L105" s="17">
        <f>'AEO 2023 Table 47 Raw'!O90</f>
        <v>454.22287</v>
      </c>
      <c r="M105" s="17">
        <f>'AEO 2023 Table 47 Raw'!P90</f>
        <v>462.25238000000002</v>
      </c>
      <c r="N105" s="17">
        <f>'AEO 2023 Table 47 Raw'!Q90</f>
        <v>470.542755</v>
      </c>
      <c r="O105" s="17">
        <f>'AEO 2023 Table 47 Raw'!R90</f>
        <v>477.288544</v>
      </c>
      <c r="P105" s="17">
        <f>'AEO 2023 Table 47 Raw'!S90</f>
        <v>483.92678799999999</v>
      </c>
      <c r="Q105" s="17">
        <f>'AEO 2023 Table 47 Raw'!T90</f>
        <v>491.51174900000001</v>
      </c>
      <c r="R105" s="17">
        <f>'AEO 2023 Table 47 Raw'!U90</f>
        <v>500.235657</v>
      </c>
      <c r="S105" s="17">
        <f>'AEO 2023 Table 47 Raw'!V90</f>
        <v>510.16430700000001</v>
      </c>
      <c r="T105" s="17">
        <f>'AEO 2023 Table 47 Raw'!W90</f>
        <v>520.65051300000005</v>
      </c>
      <c r="U105" s="17">
        <f>'AEO 2023 Table 47 Raw'!X90</f>
        <v>532.22595200000001</v>
      </c>
      <c r="V105" s="17">
        <f>'AEO 2023 Table 47 Raw'!Y90</f>
        <v>543.59844999999996</v>
      </c>
      <c r="W105" s="17">
        <f>'AEO 2023 Table 47 Raw'!Z90</f>
        <v>555.40142800000001</v>
      </c>
      <c r="X105" s="17">
        <f>'AEO 2023 Table 47 Raw'!AA90</f>
        <v>567.55664100000001</v>
      </c>
      <c r="Y105" s="17">
        <f>'AEO 2023 Table 47 Raw'!AB90</f>
        <v>580.03369099999998</v>
      </c>
      <c r="Z105" s="17">
        <f>'AEO 2023 Table 47 Raw'!AC90</f>
        <v>592.39367700000003</v>
      </c>
      <c r="AA105" s="17">
        <f>'AEO 2023 Table 47 Raw'!AD90</f>
        <v>605.42309599999999</v>
      </c>
      <c r="AB105" s="17">
        <f>'AEO 2023 Table 47 Raw'!AE90</f>
        <v>619.29064900000003</v>
      </c>
      <c r="AC105" s="17">
        <f>'AEO 2023 Table 47 Raw'!AF90</f>
        <v>633.91833499999996</v>
      </c>
      <c r="AD105" s="17">
        <f>'AEO 2023 Table 47 Raw'!AG90</f>
        <v>649.228027</v>
      </c>
      <c r="AE105" s="17">
        <f>'AEO 2023 Table 47 Raw'!AH90</f>
        <v>665.44378700000004</v>
      </c>
      <c r="AF105" s="30">
        <f>'AEO 2023 Table 47 Raw'!AI90</f>
        <v>0.03</v>
      </c>
    </row>
    <row r="106" spans="1:32" ht="15" customHeight="1">
      <c r="A106" s="7" t="s">
        <v>635</v>
      </c>
      <c r="B106" s="16" t="s">
        <v>636</v>
      </c>
      <c r="C106" s="17">
        <f>'AEO 2023 Table 47 Raw'!F91</f>
        <v>109.65400700000001</v>
      </c>
      <c r="D106" s="17">
        <f>'AEO 2023 Table 47 Raw'!G91</f>
        <v>115.916664</v>
      </c>
      <c r="E106" s="17">
        <f>'AEO 2023 Table 47 Raw'!H91</f>
        <v>115.05811300000001</v>
      </c>
      <c r="F106" s="17">
        <f>'AEO 2023 Table 47 Raw'!I91</f>
        <v>114.36243399999999</v>
      </c>
      <c r="G106" s="17">
        <f>'AEO 2023 Table 47 Raw'!J91</f>
        <v>115.767021</v>
      </c>
      <c r="H106" s="17">
        <f>'AEO 2023 Table 47 Raw'!K91</f>
        <v>117.08181</v>
      </c>
      <c r="I106" s="17">
        <f>'AEO 2023 Table 47 Raw'!L91</f>
        <v>118.394547</v>
      </c>
      <c r="J106" s="17">
        <f>'AEO 2023 Table 47 Raw'!M91</f>
        <v>119.392647</v>
      </c>
      <c r="K106" s="17">
        <f>'AEO 2023 Table 47 Raw'!N91</f>
        <v>120.11769099999999</v>
      </c>
      <c r="L106" s="17">
        <f>'AEO 2023 Table 47 Raw'!O91</f>
        <v>121.049088</v>
      </c>
      <c r="M106" s="17">
        <f>'AEO 2023 Table 47 Raw'!P91</f>
        <v>122.68103000000001</v>
      </c>
      <c r="N106" s="17">
        <f>'AEO 2023 Table 47 Raw'!Q91</f>
        <v>124.381058</v>
      </c>
      <c r="O106" s="17">
        <f>'AEO 2023 Table 47 Raw'!R91</f>
        <v>125.584198</v>
      </c>
      <c r="P106" s="17">
        <f>'AEO 2023 Table 47 Raw'!S91</f>
        <v>126.74402600000001</v>
      </c>
      <c r="Q106" s="17">
        <f>'AEO 2023 Table 47 Raw'!T91</f>
        <v>128.187408</v>
      </c>
      <c r="R106" s="17">
        <f>'AEO 2023 Table 47 Raw'!U91</f>
        <v>129.96958900000001</v>
      </c>
      <c r="S106" s="17">
        <f>'AEO 2023 Table 47 Raw'!V91</f>
        <v>132.106415</v>
      </c>
      <c r="T106" s="17">
        <f>'AEO 2023 Table 47 Raw'!W91</f>
        <v>134.39553799999999</v>
      </c>
      <c r="U106" s="17">
        <f>'AEO 2023 Table 47 Raw'!X91</f>
        <v>136.99246199999999</v>
      </c>
      <c r="V106" s="17">
        <f>'AEO 2023 Table 47 Raw'!Y91</f>
        <v>139.50266999999999</v>
      </c>
      <c r="W106" s="17">
        <f>'AEO 2023 Table 47 Raw'!Z91</f>
        <v>142.11863700000001</v>
      </c>
      <c r="X106" s="17">
        <f>'AEO 2023 Table 47 Raw'!AA91</f>
        <v>144.81526199999999</v>
      </c>
      <c r="Y106" s="17">
        <f>'AEO 2023 Table 47 Raw'!AB91</f>
        <v>147.582245</v>
      </c>
      <c r="Z106" s="17">
        <f>'AEO 2023 Table 47 Raw'!AC91</f>
        <v>150.28645299999999</v>
      </c>
      <c r="AA106" s="17">
        <f>'AEO 2023 Table 47 Raw'!AD91</f>
        <v>153.16430700000001</v>
      </c>
      <c r="AB106" s="17">
        <f>'AEO 2023 Table 47 Raw'!AE91</f>
        <v>156.26412999999999</v>
      </c>
      <c r="AC106" s="17">
        <f>'AEO 2023 Table 47 Raw'!AF91</f>
        <v>159.560318</v>
      </c>
      <c r="AD106" s="17">
        <f>'AEO 2023 Table 47 Raw'!AG91</f>
        <v>163.027771</v>
      </c>
      <c r="AE106" s="17">
        <f>'AEO 2023 Table 47 Raw'!AH91</f>
        <v>166.73127700000001</v>
      </c>
      <c r="AF106" s="30">
        <f>'AEO 2023 Table 47 Raw'!AI91</f>
        <v>1.4999999999999999E-2</v>
      </c>
    </row>
    <row r="107" spans="1:32" ht="15" customHeight="1">
      <c r="AF107" s="33"/>
    </row>
    <row r="108" spans="1:32" ht="15" customHeight="1">
      <c r="B108" s="15" t="s">
        <v>637</v>
      </c>
      <c r="AF108" s="33"/>
    </row>
    <row r="109" spans="1:32" ht="15" customHeight="1">
      <c r="A109" s="7" t="s">
        <v>638</v>
      </c>
      <c r="B109" s="16" t="s">
        <v>604</v>
      </c>
      <c r="C109" s="17">
        <f>'AEO 2023 Table 47 Raw'!F93</f>
        <v>46.483733999999998</v>
      </c>
      <c r="D109" s="17">
        <f>'AEO 2023 Table 47 Raw'!G93</f>
        <v>52.576613999999999</v>
      </c>
      <c r="E109" s="17">
        <f>'AEO 2023 Table 47 Raw'!H93</f>
        <v>56.012763999999997</v>
      </c>
      <c r="F109" s="17">
        <f>'AEO 2023 Table 47 Raw'!I93</f>
        <v>58.483322000000001</v>
      </c>
      <c r="G109" s="17">
        <f>'AEO 2023 Table 47 Raw'!J93</f>
        <v>60.800694</v>
      </c>
      <c r="H109" s="17">
        <f>'AEO 2023 Table 47 Raw'!K93</f>
        <v>62.895470000000003</v>
      </c>
      <c r="I109" s="17">
        <f>'AEO 2023 Table 47 Raw'!L93</f>
        <v>64.119736000000003</v>
      </c>
      <c r="J109" s="17">
        <f>'AEO 2023 Table 47 Raw'!M93</f>
        <v>65.371596999999994</v>
      </c>
      <c r="K109" s="17">
        <f>'AEO 2023 Table 47 Raw'!N93</f>
        <v>66.645554000000004</v>
      </c>
      <c r="L109" s="17">
        <f>'AEO 2023 Table 47 Raw'!O93</f>
        <v>67.943336000000002</v>
      </c>
      <c r="M109" s="17">
        <f>'AEO 2023 Table 47 Raw'!P93</f>
        <v>69.261993000000004</v>
      </c>
      <c r="N109" s="17">
        <f>'AEO 2023 Table 47 Raw'!Q93</f>
        <v>70.597969000000006</v>
      </c>
      <c r="O109" s="17">
        <f>'AEO 2023 Table 47 Raw'!R93</f>
        <v>71.951194999999998</v>
      </c>
      <c r="P109" s="17">
        <f>'AEO 2023 Table 47 Raw'!S93</f>
        <v>73.321762000000007</v>
      </c>
      <c r="Q109" s="17">
        <f>'AEO 2023 Table 47 Raw'!T93</f>
        <v>74.709625000000003</v>
      </c>
      <c r="R109" s="17">
        <f>'AEO 2023 Table 47 Raw'!U93</f>
        <v>76.115097000000006</v>
      </c>
      <c r="S109" s="17">
        <f>'AEO 2023 Table 47 Raw'!V93</f>
        <v>77.538216000000006</v>
      </c>
      <c r="T109" s="17">
        <f>'AEO 2023 Table 47 Raw'!W93</f>
        <v>78.979500000000002</v>
      </c>
      <c r="U109" s="17">
        <f>'AEO 2023 Table 47 Raw'!X93</f>
        <v>80.436768000000001</v>
      </c>
      <c r="V109" s="17">
        <f>'AEO 2023 Table 47 Raw'!Y93</f>
        <v>81.911124999999998</v>
      </c>
      <c r="W109" s="17">
        <f>'AEO 2023 Table 47 Raw'!Z93</f>
        <v>83.403251999999995</v>
      </c>
      <c r="X109" s="17">
        <f>'AEO 2023 Table 47 Raw'!AA93</f>
        <v>84.912941000000004</v>
      </c>
      <c r="Y109" s="17">
        <f>'AEO 2023 Table 47 Raw'!AB93</f>
        <v>86.442954999999998</v>
      </c>
      <c r="Z109" s="17">
        <f>'AEO 2023 Table 47 Raw'!AC93</f>
        <v>87.994750999999994</v>
      </c>
      <c r="AA109" s="17">
        <f>'AEO 2023 Table 47 Raw'!AD93</f>
        <v>89.568877999999998</v>
      </c>
      <c r="AB109" s="17">
        <f>'AEO 2023 Table 47 Raw'!AE93</f>
        <v>91.166283000000007</v>
      </c>
      <c r="AC109" s="17">
        <f>'AEO 2023 Table 47 Raw'!AF93</f>
        <v>92.787719999999993</v>
      </c>
      <c r="AD109" s="17">
        <f>'AEO 2023 Table 47 Raw'!AG93</f>
        <v>94.434532000000004</v>
      </c>
      <c r="AE109" s="17">
        <f>'AEO 2023 Table 47 Raw'!AH93</f>
        <v>96.107642999999996</v>
      </c>
      <c r="AF109" s="30">
        <f>'AEO 2023 Table 47 Raw'!AI93</f>
        <v>2.5999999999999999E-2</v>
      </c>
    </row>
    <row r="110" spans="1:32" ht="15" customHeight="1">
      <c r="A110" s="7" t="s">
        <v>639</v>
      </c>
      <c r="B110" s="16" t="s">
        <v>606</v>
      </c>
      <c r="C110" s="17">
        <f>'AEO 2023 Table 47 Raw'!F94</f>
        <v>44.320006999999997</v>
      </c>
      <c r="D110" s="17">
        <f>'AEO 2023 Table 47 Raw'!G94</f>
        <v>56.016773000000001</v>
      </c>
      <c r="E110" s="17">
        <f>'AEO 2023 Table 47 Raw'!H94</f>
        <v>65.242180000000005</v>
      </c>
      <c r="F110" s="17">
        <f>'AEO 2023 Table 47 Raw'!I94</f>
        <v>71.493279000000001</v>
      </c>
      <c r="G110" s="17">
        <f>'AEO 2023 Table 47 Raw'!J94</f>
        <v>76.510611999999995</v>
      </c>
      <c r="H110" s="17">
        <f>'AEO 2023 Table 47 Raw'!K94</f>
        <v>80.981887999999998</v>
      </c>
      <c r="I110" s="17">
        <f>'AEO 2023 Table 47 Raw'!L94</f>
        <v>82.990195999999997</v>
      </c>
      <c r="J110" s="17">
        <f>'AEO 2023 Table 47 Raw'!M94</f>
        <v>85.038689000000005</v>
      </c>
      <c r="K110" s="17">
        <f>'AEO 2023 Table 47 Raw'!N94</f>
        <v>87.125076000000007</v>
      </c>
      <c r="L110" s="17">
        <f>'AEO 2023 Table 47 Raw'!O94</f>
        <v>89.250031000000007</v>
      </c>
      <c r="M110" s="17">
        <f>'AEO 2023 Table 47 Raw'!P94</f>
        <v>91.412482999999995</v>
      </c>
      <c r="N110" s="17">
        <f>'AEO 2023 Table 47 Raw'!Q94</f>
        <v>93.610962000000001</v>
      </c>
      <c r="O110" s="17">
        <f>'AEO 2023 Table 47 Raw'!R94</f>
        <v>95.845900999999998</v>
      </c>
      <c r="P110" s="17">
        <f>'AEO 2023 Table 47 Raw'!S94</f>
        <v>98.117858999999996</v>
      </c>
      <c r="Q110" s="17">
        <f>'AEO 2023 Table 47 Raw'!T94</f>
        <v>100.427132</v>
      </c>
      <c r="R110" s="17">
        <f>'AEO 2023 Table 47 Raw'!U94</f>
        <v>102.77475</v>
      </c>
      <c r="S110" s="17">
        <f>'AEO 2023 Table 47 Raw'!V94</f>
        <v>105.161118</v>
      </c>
      <c r="T110" s="17">
        <f>'AEO 2023 Table 47 Raw'!W94</f>
        <v>107.58744</v>
      </c>
      <c r="U110" s="17">
        <f>'AEO 2023 Table 47 Raw'!X94</f>
        <v>110.053513</v>
      </c>
      <c r="V110" s="17">
        <f>'AEO 2023 Table 47 Raw'!Y94</f>
        <v>112.55989099999999</v>
      </c>
      <c r="W110" s="17">
        <f>'AEO 2023 Table 47 Raw'!Z94</f>
        <v>115.107895</v>
      </c>
      <c r="X110" s="17">
        <f>'AEO 2023 Table 47 Raw'!AA94</f>
        <v>117.697464</v>
      </c>
      <c r="Y110" s="17">
        <f>'AEO 2023 Table 47 Raw'!AB94</f>
        <v>120.33337400000001</v>
      </c>
      <c r="Z110" s="17">
        <f>'AEO 2023 Table 47 Raw'!AC94</f>
        <v>123.01821099999999</v>
      </c>
      <c r="AA110" s="17">
        <f>'AEO 2023 Table 47 Raw'!AD94</f>
        <v>125.753281</v>
      </c>
      <c r="AB110" s="17">
        <f>'AEO 2023 Table 47 Raw'!AE94</f>
        <v>128.54042100000001</v>
      </c>
      <c r="AC110" s="17">
        <f>'AEO 2023 Table 47 Raw'!AF94</f>
        <v>131.38125600000001</v>
      </c>
      <c r="AD110" s="17">
        <f>'AEO 2023 Table 47 Raw'!AG94</f>
        <v>134.27836600000001</v>
      </c>
      <c r="AE110" s="17">
        <f>'AEO 2023 Table 47 Raw'!AH94</f>
        <v>137.233643</v>
      </c>
      <c r="AF110" s="30">
        <f>'AEO 2023 Table 47 Raw'!AI94</f>
        <v>4.1000000000000002E-2</v>
      </c>
    </row>
    <row r="111" spans="1:32" ht="15" customHeight="1">
      <c r="A111" s="7" t="s">
        <v>640</v>
      </c>
      <c r="B111" s="16" t="s">
        <v>608</v>
      </c>
      <c r="C111" s="17">
        <f>'AEO 2023 Table 47 Raw'!F95</f>
        <v>6.9848179999999997</v>
      </c>
      <c r="D111" s="17">
        <f>'AEO 2023 Table 47 Raw'!G95</f>
        <v>7.9436809999999998</v>
      </c>
      <c r="E111" s="17">
        <f>'AEO 2023 Table 47 Raw'!H95</f>
        <v>8.5961859999999994</v>
      </c>
      <c r="F111" s="17">
        <f>'AEO 2023 Table 47 Raw'!I95</f>
        <v>8.9671769999999995</v>
      </c>
      <c r="G111" s="17">
        <f>'AEO 2023 Table 47 Raw'!J95</f>
        <v>9.3172130000000006</v>
      </c>
      <c r="H111" s="17">
        <f>'AEO 2023 Table 47 Raw'!K95</f>
        <v>9.6337810000000008</v>
      </c>
      <c r="I111" s="17">
        <f>'AEO 2023 Table 47 Raw'!L95</f>
        <v>9.8202590000000001</v>
      </c>
      <c r="J111" s="17">
        <f>'AEO 2023 Table 47 Raw'!M95</f>
        <v>10.010951</v>
      </c>
      <c r="K111" s="17">
        <f>'AEO 2023 Table 47 Raw'!N95</f>
        <v>10.205007999999999</v>
      </c>
      <c r="L111" s="17">
        <f>'AEO 2023 Table 47 Raw'!O95</f>
        <v>10.402691000000001</v>
      </c>
      <c r="M111" s="17">
        <f>'AEO 2023 Table 47 Raw'!P95</f>
        <v>10.603547000000001</v>
      </c>
      <c r="N111" s="17">
        <f>'AEO 2023 Table 47 Raw'!Q95</f>
        <v>10.807024</v>
      </c>
      <c r="O111" s="17">
        <f>'AEO 2023 Table 47 Raw'!R95</f>
        <v>11.013108000000001</v>
      </c>
      <c r="P111" s="17">
        <f>'AEO 2023 Table 47 Raw'!S95</f>
        <v>11.221814</v>
      </c>
      <c r="Q111" s="17">
        <f>'AEO 2023 Table 47 Raw'!T95</f>
        <v>11.433130999999999</v>
      </c>
      <c r="R111" s="17">
        <f>'AEO 2023 Table 47 Raw'!U95</f>
        <v>11.647105</v>
      </c>
      <c r="S111" s="17">
        <f>'AEO 2023 Table 47 Raw'!V95</f>
        <v>11.863749</v>
      </c>
      <c r="T111" s="17">
        <f>'AEO 2023 Table 47 Raw'!W95</f>
        <v>12.083130000000001</v>
      </c>
      <c r="U111" s="17">
        <f>'AEO 2023 Table 47 Raw'!X95</f>
        <v>12.304914999999999</v>
      </c>
      <c r="V111" s="17">
        <f>'AEO 2023 Table 47 Raw'!Y95</f>
        <v>12.529273999999999</v>
      </c>
      <c r="W111" s="17">
        <f>'AEO 2023 Table 47 Raw'!Z95</f>
        <v>12.756309</v>
      </c>
      <c r="X111" s="17">
        <f>'AEO 2023 Table 47 Raw'!AA95</f>
        <v>12.985987</v>
      </c>
      <c r="Y111" s="17">
        <f>'AEO 2023 Table 47 Raw'!AB95</f>
        <v>13.218731</v>
      </c>
      <c r="Z111" s="17">
        <f>'AEO 2023 Table 47 Raw'!AC95</f>
        <v>13.45476</v>
      </c>
      <c r="AA111" s="17">
        <f>'AEO 2023 Table 47 Raw'!AD95</f>
        <v>13.694159000000001</v>
      </c>
      <c r="AB111" s="17">
        <f>'AEO 2023 Table 47 Raw'!AE95</f>
        <v>13.937068</v>
      </c>
      <c r="AC111" s="17">
        <f>'AEO 2023 Table 47 Raw'!AF95</f>
        <v>14.183602</v>
      </c>
      <c r="AD111" s="17">
        <f>'AEO 2023 Table 47 Raw'!AG95</f>
        <v>14.433968999999999</v>
      </c>
      <c r="AE111" s="17">
        <f>'AEO 2023 Table 47 Raw'!AH95</f>
        <v>14.688302999999999</v>
      </c>
      <c r="AF111" s="30">
        <f>'AEO 2023 Table 47 Raw'!AI95</f>
        <v>2.7E-2</v>
      </c>
    </row>
    <row r="112" spans="1:32" ht="15" customHeight="1">
      <c r="A112" s="7" t="s">
        <v>641</v>
      </c>
      <c r="B112" s="16" t="s">
        <v>610</v>
      </c>
      <c r="C112" s="17">
        <f>'AEO 2023 Table 47 Raw'!F96</f>
        <v>99.841224999999994</v>
      </c>
      <c r="D112" s="17">
        <f>'AEO 2023 Table 47 Raw'!G96</f>
        <v>121.38716100000001</v>
      </c>
      <c r="E112" s="17">
        <f>'AEO 2023 Table 47 Raw'!H96</f>
        <v>140.14009100000001</v>
      </c>
      <c r="F112" s="17">
        <f>'AEO 2023 Table 47 Raw'!I96</f>
        <v>151.262756</v>
      </c>
      <c r="G112" s="17">
        <f>'AEO 2023 Table 47 Raw'!J96</f>
        <v>161.67996199999999</v>
      </c>
      <c r="H112" s="17">
        <f>'AEO 2023 Table 47 Raw'!K96</f>
        <v>169.41802999999999</v>
      </c>
      <c r="I112" s="17">
        <f>'AEO 2023 Table 47 Raw'!L96</f>
        <v>176.163284</v>
      </c>
      <c r="J112" s="17">
        <f>'AEO 2023 Table 47 Raw'!M96</f>
        <v>182.32843</v>
      </c>
      <c r="K112" s="17">
        <f>'AEO 2023 Table 47 Raw'!N96</f>
        <v>188.683502</v>
      </c>
      <c r="L112" s="17">
        <f>'AEO 2023 Table 47 Raw'!O96</f>
        <v>195.21624800000001</v>
      </c>
      <c r="M112" s="17">
        <f>'AEO 2023 Table 47 Raw'!P96</f>
        <v>201.96676600000001</v>
      </c>
      <c r="N112" s="17">
        <f>'AEO 2023 Table 47 Raw'!Q96</f>
        <v>208.904144</v>
      </c>
      <c r="O112" s="17">
        <f>'AEO 2023 Table 47 Raw'!R96</f>
        <v>216.03270000000001</v>
      </c>
      <c r="P112" s="17">
        <f>'AEO 2023 Table 47 Raw'!S96</f>
        <v>223.35351600000001</v>
      </c>
      <c r="Q112" s="17">
        <f>'AEO 2023 Table 47 Raw'!T96</f>
        <v>230.84750399999999</v>
      </c>
      <c r="R112" s="17">
        <f>'AEO 2023 Table 47 Raw'!U96</f>
        <v>238.536697</v>
      </c>
      <c r="S112" s="17">
        <f>'AEO 2023 Table 47 Raw'!V96</f>
        <v>246.42671200000001</v>
      </c>
      <c r="T112" s="17">
        <f>'AEO 2023 Table 47 Raw'!W96</f>
        <v>254.52114900000001</v>
      </c>
      <c r="U112" s="17">
        <f>'AEO 2023 Table 47 Raw'!X96</f>
        <v>262.81677200000001</v>
      </c>
      <c r="V112" s="17">
        <f>'AEO 2023 Table 47 Raw'!Y96</f>
        <v>271.26284800000002</v>
      </c>
      <c r="W112" s="17">
        <f>'AEO 2023 Table 47 Raw'!Z96</f>
        <v>279.914154</v>
      </c>
      <c r="X112" s="17">
        <f>'AEO 2023 Table 47 Raw'!AA96</f>
        <v>288.77542099999999</v>
      </c>
      <c r="Y112" s="17">
        <f>'AEO 2023 Table 47 Raw'!AB96</f>
        <v>297.85025000000002</v>
      </c>
      <c r="Z112" s="17">
        <f>'AEO 2023 Table 47 Raw'!AC96</f>
        <v>307.14016700000002</v>
      </c>
      <c r="AA112" s="17">
        <f>'AEO 2023 Table 47 Raw'!AD96</f>
        <v>316.583099</v>
      </c>
      <c r="AB112" s="17">
        <f>'AEO 2023 Table 47 Raw'!AE96</f>
        <v>326.23324600000001</v>
      </c>
      <c r="AC112" s="17">
        <f>'AEO 2023 Table 47 Raw'!AF96</f>
        <v>336.11285400000003</v>
      </c>
      <c r="AD112" s="17">
        <f>'AEO 2023 Table 47 Raw'!AG96</f>
        <v>346.24740600000001</v>
      </c>
      <c r="AE112" s="17">
        <f>'AEO 2023 Table 47 Raw'!AH96</f>
        <v>356.65838600000001</v>
      </c>
      <c r="AF112" s="30">
        <f>'AEO 2023 Table 47 Raw'!AI96</f>
        <v>4.7E-2</v>
      </c>
    </row>
    <row r="113" spans="1:32" ht="12" customHeight="1">
      <c r="A113" s="7" t="s">
        <v>642</v>
      </c>
      <c r="B113" s="16" t="s">
        <v>612</v>
      </c>
      <c r="C113" s="17">
        <f>'AEO 2023 Table 47 Raw'!F97</f>
        <v>69.764510999999999</v>
      </c>
      <c r="D113" s="17">
        <f>'AEO 2023 Table 47 Raw'!G97</f>
        <v>84.004554999999996</v>
      </c>
      <c r="E113" s="17">
        <f>'AEO 2023 Table 47 Raw'!H97</f>
        <v>96.466919000000004</v>
      </c>
      <c r="F113" s="17">
        <f>'AEO 2023 Table 47 Raw'!I97</f>
        <v>103.140091</v>
      </c>
      <c r="G113" s="17">
        <f>'AEO 2023 Table 47 Raw'!J97</f>
        <v>109.625092</v>
      </c>
      <c r="H113" s="17">
        <f>'AEO 2023 Table 47 Raw'!K97</f>
        <v>114.665237</v>
      </c>
      <c r="I113" s="17">
        <f>'AEO 2023 Table 47 Raw'!L97</f>
        <v>119.181656</v>
      </c>
      <c r="J113" s="17">
        <f>'AEO 2023 Table 47 Raw'!M97</f>
        <v>123.406693</v>
      </c>
      <c r="K113" s="17">
        <f>'AEO 2023 Table 47 Raw'!N97</f>
        <v>127.766006</v>
      </c>
      <c r="L113" s="17">
        <f>'AEO 2023 Table 47 Raw'!O97</f>
        <v>132.25155599999999</v>
      </c>
      <c r="M113" s="17">
        <f>'AEO 2023 Table 47 Raw'!P97</f>
        <v>136.891357</v>
      </c>
      <c r="N113" s="17">
        <f>'AEO 2023 Table 47 Raw'!Q97</f>
        <v>141.66313199999999</v>
      </c>
      <c r="O113" s="17">
        <f>'AEO 2023 Table 47 Raw'!R97</f>
        <v>146.57012900000001</v>
      </c>
      <c r="P113" s="17">
        <f>'AEO 2023 Table 47 Raw'!S97</f>
        <v>151.61326600000001</v>
      </c>
      <c r="Q113" s="17">
        <f>'AEO 2023 Table 47 Raw'!T97</f>
        <v>156.778717</v>
      </c>
      <c r="R113" s="17">
        <f>'AEO 2023 Table 47 Raw'!U97</f>
        <v>162.08247399999999</v>
      </c>
      <c r="S113" s="17">
        <f>'AEO 2023 Table 47 Raw'!V97</f>
        <v>167.52858000000001</v>
      </c>
      <c r="T113" s="17">
        <f>'AEO 2023 Table 47 Raw'!W97</f>
        <v>173.11968999999999</v>
      </c>
      <c r="U113" s="17">
        <f>'AEO 2023 Table 47 Raw'!X97</f>
        <v>178.852982</v>
      </c>
      <c r="V113" s="17">
        <f>'AEO 2023 Table 47 Raw'!Y97</f>
        <v>184.691833</v>
      </c>
      <c r="W113" s="17">
        <f>'AEO 2023 Table 47 Raw'!Z97</f>
        <v>190.676163</v>
      </c>
      <c r="X113" s="17">
        <f>'AEO 2023 Table 47 Raw'!AA97</f>
        <v>196.80931100000001</v>
      </c>
      <c r="Y113" s="17">
        <f>'AEO 2023 Table 47 Raw'!AB97</f>
        <v>203.09402499999999</v>
      </c>
      <c r="Z113" s="17">
        <f>'AEO 2023 Table 47 Raw'!AC97</f>
        <v>209.53149400000001</v>
      </c>
      <c r="AA113" s="17">
        <f>'AEO 2023 Table 47 Raw'!AD97</f>
        <v>216.077438</v>
      </c>
      <c r="AB113" s="17">
        <f>'AEO 2023 Table 47 Raw'!AE97</f>
        <v>222.77117899999999</v>
      </c>
      <c r="AC113" s="17">
        <f>'AEO 2023 Table 47 Raw'!AF97</f>
        <v>229.627655</v>
      </c>
      <c r="AD113" s="17">
        <f>'AEO 2023 Table 47 Raw'!AG97</f>
        <v>236.664062</v>
      </c>
      <c r="AE113" s="17">
        <f>'AEO 2023 Table 47 Raw'!AH97</f>
        <v>243.894913</v>
      </c>
      <c r="AF113" s="30">
        <f>'AEO 2023 Table 47 Raw'!AI97</f>
        <v>4.5999999999999999E-2</v>
      </c>
    </row>
    <row r="114" spans="1:32" ht="15" customHeight="1">
      <c r="A114" s="7" t="s">
        <v>643</v>
      </c>
      <c r="B114" s="16" t="s">
        <v>606</v>
      </c>
      <c r="C114" s="17">
        <f>'AEO 2023 Table 47 Raw'!F98</f>
        <v>22.082386</v>
      </c>
      <c r="D114" s="17">
        <f>'AEO 2023 Table 47 Raw'!G98</f>
        <v>27.943691000000001</v>
      </c>
      <c r="E114" s="17">
        <f>'AEO 2023 Table 47 Raw'!H98</f>
        <v>32.981406999999997</v>
      </c>
      <c r="F114" s="17">
        <f>'AEO 2023 Table 47 Raw'!I98</f>
        <v>36.874682999999997</v>
      </c>
      <c r="G114" s="17">
        <f>'AEO 2023 Table 47 Raw'!J98</f>
        <v>40.216048999999998</v>
      </c>
      <c r="H114" s="17">
        <f>'AEO 2023 Table 47 Raw'!K98</f>
        <v>42.408810000000003</v>
      </c>
      <c r="I114" s="17">
        <f>'AEO 2023 Table 47 Raw'!L98</f>
        <v>44.160705999999998</v>
      </c>
      <c r="J114" s="17">
        <f>'AEO 2023 Table 47 Raw'!M98</f>
        <v>45.636051000000002</v>
      </c>
      <c r="K114" s="17">
        <f>'AEO 2023 Table 47 Raw'!N98</f>
        <v>47.151519999999998</v>
      </c>
      <c r="L114" s="17">
        <f>'AEO 2023 Table 47 Raw'!O98</f>
        <v>48.703654999999998</v>
      </c>
      <c r="M114" s="17">
        <f>'AEO 2023 Table 47 Raw'!P98</f>
        <v>50.301430000000003</v>
      </c>
      <c r="N114" s="17">
        <f>'AEO 2023 Table 47 Raw'!Q98</f>
        <v>51.938842999999999</v>
      </c>
      <c r="O114" s="17">
        <f>'AEO 2023 Table 47 Raw'!R98</f>
        <v>53.616570000000003</v>
      </c>
      <c r="P114" s="17">
        <f>'AEO 2023 Table 47 Raw'!S98</f>
        <v>55.334595</v>
      </c>
      <c r="Q114" s="17">
        <f>'AEO 2023 Table 47 Raw'!T98</f>
        <v>57.089325000000002</v>
      </c>
      <c r="R114" s="17">
        <f>'AEO 2023 Table 47 Raw'!U98</f>
        <v>58.884922000000003</v>
      </c>
      <c r="S114" s="17">
        <f>'AEO 2023 Table 47 Raw'!V98</f>
        <v>60.722434999999997</v>
      </c>
      <c r="T114" s="17">
        <f>'AEO 2023 Table 47 Raw'!W98</f>
        <v>62.602508999999998</v>
      </c>
      <c r="U114" s="17">
        <f>'AEO 2023 Table 47 Raw'!X98</f>
        <v>64.525108000000003</v>
      </c>
      <c r="V114" s="17">
        <f>'AEO 2023 Table 47 Raw'!Y98</f>
        <v>66.480514999999997</v>
      </c>
      <c r="W114" s="17">
        <f>'AEO 2023 Table 47 Raw'!Z98</f>
        <v>68.478851000000006</v>
      </c>
      <c r="X114" s="17">
        <f>'AEO 2023 Table 47 Raw'!AA98</f>
        <v>70.520927</v>
      </c>
      <c r="Y114" s="17">
        <f>'AEO 2023 Table 47 Raw'!AB98</f>
        <v>72.607429999999994</v>
      </c>
      <c r="Z114" s="17">
        <f>'AEO 2023 Table 47 Raw'!AC98</f>
        <v>74.738403000000005</v>
      </c>
      <c r="AA114" s="17">
        <f>'AEO 2023 Table 47 Raw'!AD98</f>
        <v>76.901359999999997</v>
      </c>
      <c r="AB114" s="17">
        <f>'AEO 2023 Table 47 Raw'!AE98</f>
        <v>79.106399999999994</v>
      </c>
      <c r="AC114" s="17">
        <f>'AEO 2023 Table 47 Raw'!AF98</f>
        <v>81.359183999999999</v>
      </c>
      <c r="AD114" s="17">
        <f>'AEO 2023 Table 47 Raw'!AG98</f>
        <v>83.666259999999994</v>
      </c>
      <c r="AE114" s="17">
        <f>'AEO 2023 Table 47 Raw'!AH98</f>
        <v>86.032966999999999</v>
      </c>
      <c r="AF114" s="30">
        <f>'AEO 2023 Table 47 Raw'!AI98</f>
        <v>0.05</v>
      </c>
    </row>
    <row r="115" spans="1:32" ht="15" customHeight="1">
      <c r="A115" s="7" t="s">
        <v>644</v>
      </c>
      <c r="B115" s="16" t="s">
        <v>608</v>
      </c>
      <c r="C115" s="17">
        <f>'AEO 2023 Table 47 Raw'!F99</f>
        <v>7.9943369999999998</v>
      </c>
      <c r="D115" s="17">
        <f>'AEO 2023 Table 47 Raw'!G99</f>
        <v>9.4389260000000004</v>
      </c>
      <c r="E115" s="17">
        <f>'AEO 2023 Table 47 Raw'!H99</f>
        <v>10.691757000000001</v>
      </c>
      <c r="F115" s="17">
        <f>'AEO 2023 Table 47 Raw'!I99</f>
        <v>11.247966999999999</v>
      </c>
      <c r="G115" s="17">
        <f>'AEO 2023 Table 47 Raw'!J99</f>
        <v>11.838803</v>
      </c>
      <c r="H115" s="17">
        <f>'AEO 2023 Table 47 Raw'!K99</f>
        <v>12.343989000000001</v>
      </c>
      <c r="I115" s="17">
        <f>'AEO 2023 Table 47 Raw'!L99</f>
        <v>12.820919</v>
      </c>
      <c r="J115" s="17">
        <f>'AEO 2023 Table 47 Raw'!M99</f>
        <v>13.285686999999999</v>
      </c>
      <c r="K115" s="17">
        <f>'AEO 2023 Table 47 Raw'!N99</f>
        <v>13.765993</v>
      </c>
      <c r="L115" s="17">
        <f>'AEO 2023 Table 47 Raw'!O99</f>
        <v>14.261029000000001</v>
      </c>
      <c r="M115" s="17">
        <f>'AEO 2023 Table 47 Raw'!P99</f>
        <v>14.773972000000001</v>
      </c>
      <c r="N115" s="17">
        <f>'AEO 2023 Table 47 Raw'!Q99</f>
        <v>15.302161999999999</v>
      </c>
      <c r="O115" s="17">
        <f>'AEO 2023 Table 47 Raw'!R99</f>
        <v>15.846017</v>
      </c>
      <c r="P115" s="17">
        <f>'AEO 2023 Table 47 Raw'!S99</f>
        <v>16.405667999999999</v>
      </c>
      <c r="Q115" s="17">
        <f>'AEO 2023 Table 47 Raw'!T99</f>
        <v>16.97946</v>
      </c>
      <c r="R115" s="17">
        <f>'AEO 2023 Table 47 Raw'!U99</f>
        <v>17.569309000000001</v>
      </c>
      <c r="S115" s="17">
        <f>'AEO 2023 Table 47 Raw'!V99</f>
        <v>18.175705000000001</v>
      </c>
      <c r="T115" s="17">
        <f>'AEO 2023 Table 47 Raw'!W99</f>
        <v>18.798973</v>
      </c>
      <c r="U115" s="17">
        <f>'AEO 2023 Table 47 Raw'!X99</f>
        <v>19.438686000000001</v>
      </c>
      <c r="V115" s="17">
        <f>'AEO 2023 Table 47 Raw'!Y99</f>
        <v>20.090475000000001</v>
      </c>
      <c r="W115" s="17">
        <f>'AEO 2023 Table 47 Raw'!Z99</f>
        <v>20.759160999999999</v>
      </c>
      <c r="X115" s="17">
        <f>'AEO 2023 Table 47 Raw'!AA99</f>
        <v>21.445156000000001</v>
      </c>
      <c r="Y115" s="17">
        <f>'AEO 2023 Table 47 Raw'!AB99</f>
        <v>22.148788</v>
      </c>
      <c r="Z115" s="17">
        <f>'AEO 2023 Table 47 Raw'!AC99</f>
        <v>22.870235000000001</v>
      </c>
      <c r="AA115" s="17">
        <f>'AEO 2023 Table 47 Raw'!AD99</f>
        <v>23.604284</v>
      </c>
      <c r="AB115" s="17">
        <f>'AEO 2023 Table 47 Raw'!AE99</f>
        <v>24.355677</v>
      </c>
      <c r="AC115" s="17">
        <f>'AEO 2023 Table 47 Raw'!AF99</f>
        <v>25.126003000000001</v>
      </c>
      <c r="AD115" s="17">
        <f>'AEO 2023 Table 47 Raw'!AG99</f>
        <v>25.917096999999998</v>
      </c>
      <c r="AE115" s="17">
        <f>'AEO 2023 Table 47 Raw'!AH99</f>
        <v>26.730518</v>
      </c>
      <c r="AF115" s="30">
        <f>'AEO 2023 Table 47 Raw'!AI99</f>
        <v>4.3999999999999997E-2</v>
      </c>
    </row>
    <row r="116" spans="1:32" ht="15" customHeight="1">
      <c r="A116" s="7" t="s">
        <v>645</v>
      </c>
      <c r="B116" s="16" t="s">
        <v>610</v>
      </c>
      <c r="C116" s="31">
        <f>'AEO 2023 Table 47 Raw'!F100</f>
        <v>877.59985400000005</v>
      </c>
      <c r="D116" s="31">
        <f>'AEO 2023 Table 47 Raw'!G100</f>
        <v>1119.4864500000001</v>
      </c>
      <c r="E116" s="31">
        <f>'AEO 2023 Table 47 Raw'!H100</f>
        <v>1274.9530030000001</v>
      </c>
      <c r="F116" s="31">
        <f>'AEO 2023 Table 47 Raw'!I100</f>
        <v>1333.865112</v>
      </c>
      <c r="G116" s="31">
        <f>'AEO 2023 Table 47 Raw'!J100</f>
        <v>1422.423706</v>
      </c>
      <c r="H116" s="31">
        <f>'AEO 2023 Table 47 Raw'!K100</f>
        <v>1452.9285890000001</v>
      </c>
      <c r="I116" s="31">
        <f>'AEO 2023 Table 47 Raw'!L100</f>
        <v>1483.7619629999999</v>
      </c>
      <c r="J116" s="31">
        <f>'AEO 2023 Table 47 Raw'!M100</f>
        <v>1515.0489500000001</v>
      </c>
      <c r="K116" s="31">
        <f>'AEO 2023 Table 47 Raw'!N100</f>
        <v>1546.865112</v>
      </c>
      <c r="L116" s="31">
        <f>'AEO 2023 Table 47 Raw'!O100</f>
        <v>1579.2467039999999</v>
      </c>
      <c r="M116" s="31">
        <f>'AEO 2023 Table 47 Raw'!P100</f>
        <v>1612.2222899999999</v>
      </c>
      <c r="N116" s="31">
        <f>'AEO 2023 Table 47 Raw'!Q100</f>
        <v>1645.8079829999999</v>
      </c>
      <c r="O116" s="31">
        <f>'AEO 2023 Table 47 Raw'!R100</f>
        <v>1679.958496</v>
      </c>
      <c r="P116" s="31">
        <f>'AEO 2023 Table 47 Raw'!S100</f>
        <v>1714.6062010000001</v>
      </c>
      <c r="Q116" s="31">
        <f>'AEO 2023 Table 47 Raw'!T100</f>
        <v>1749.828857</v>
      </c>
      <c r="R116" s="31">
        <f>'AEO 2023 Table 47 Raw'!U100</f>
        <v>1785.697144</v>
      </c>
      <c r="S116" s="31">
        <f>'AEO 2023 Table 47 Raw'!V100</f>
        <v>1822.179932</v>
      </c>
      <c r="T116" s="31">
        <f>'AEO 2023 Table 47 Raw'!W100</f>
        <v>1859.2739260000001</v>
      </c>
      <c r="U116" s="31">
        <f>'AEO 2023 Table 47 Raw'!X100</f>
        <v>1897.0032960000001</v>
      </c>
      <c r="V116" s="31">
        <f>'AEO 2023 Table 47 Raw'!Y100</f>
        <v>1935.334351</v>
      </c>
      <c r="W116" s="31">
        <f>'AEO 2023 Table 47 Raw'!Z100</f>
        <v>1974.259033</v>
      </c>
      <c r="X116" s="31">
        <f>'AEO 2023 Table 47 Raw'!AA100</f>
        <v>2013.7669679999999</v>
      </c>
      <c r="Y116" s="31">
        <f>'AEO 2023 Table 47 Raw'!AB100</f>
        <v>2053.8469239999999</v>
      </c>
      <c r="Z116" s="31">
        <f>'AEO 2023 Table 47 Raw'!AC100</f>
        <v>2094.4934079999998</v>
      </c>
      <c r="AA116" s="31">
        <f>'AEO 2023 Table 47 Raw'!AD100</f>
        <v>2135.6967770000001</v>
      </c>
      <c r="AB116" s="31">
        <f>'AEO 2023 Table 47 Raw'!AE100</f>
        <v>2177.4594729999999</v>
      </c>
      <c r="AC116" s="31">
        <f>'AEO 2023 Table 47 Raw'!AF100</f>
        <v>2219.830078</v>
      </c>
      <c r="AD116" s="31">
        <f>'AEO 2023 Table 47 Raw'!AG100</f>
        <v>2262.873047</v>
      </c>
      <c r="AE116" s="31">
        <f>'AEO 2023 Table 47 Raw'!AH100</f>
        <v>2306.6342770000001</v>
      </c>
      <c r="AF116" s="34">
        <f>'AEO 2023 Table 47 Raw'!AI100</f>
        <v>3.5000000000000003E-2</v>
      </c>
    </row>
    <row r="117" spans="1:32" ht="15" customHeight="1">
      <c r="A117" s="7" t="s">
        <v>646</v>
      </c>
      <c r="B117" s="16" t="s">
        <v>614</v>
      </c>
      <c r="C117" s="17">
        <f>'AEO 2023 Table 47 Raw'!F101</f>
        <v>457.99380500000001</v>
      </c>
      <c r="D117" s="17">
        <f>'AEO 2023 Table 47 Raw'!G101</f>
        <v>580.28509499999996</v>
      </c>
      <c r="E117" s="17">
        <f>'AEO 2023 Table 47 Raw'!H101</f>
        <v>654.986267</v>
      </c>
      <c r="F117" s="17">
        <f>'AEO 2023 Table 47 Raw'!I101</f>
        <v>680.76531999999997</v>
      </c>
      <c r="G117" s="17">
        <f>'AEO 2023 Table 47 Raw'!J101</f>
        <v>711.43078600000001</v>
      </c>
      <c r="H117" s="17">
        <f>'AEO 2023 Table 47 Raw'!K101</f>
        <v>727.30053699999996</v>
      </c>
      <c r="I117" s="17">
        <f>'AEO 2023 Table 47 Raw'!L101</f>
        <v>743.324524</v>
      </c>
      <c r="J117" s="17">
        <f>'AEO 2023 Table 47 Raw'!M101</f>
        <v>759.58312999999998</v>
      </c>
      <c r="K117" s="17">
        <f>'AEO 2023 Table 47 Raw'!N101</f>
        <v>776.12072799999999</v>
      </c>
      <c r="L117" s="17">
        <f>'AEO 2023 Table 47 Raw'!O101</f>
        <v>792.95568800000001</v>
      </c>
      <c r="M117" s="17">
        <f>'AEO 2023 Table 47 Raw'!P101</f>
        <v>810.10845900000004</v>
      </c>
      <c r="N117" s="17">
        <f>'AEO 2023 Table 47 Raw'!Q101</f>
        <v>827.59625200000005</v>
      </c>
      <c r="O117" s="17">
        <f>'AEO 2023 Table 47 Raw'!R101</f>
        <v>845.394409</v>
      </c>
      <c r="P117" s="17">
        <f>'AEO 2023 Table 47 Raw'!S101</f>
        <v>863.46362299999998</v>
      </c>
      <c r="Q117" s="17">
        <f>'AEO 2023 Table 47 Raw'!T101</f>
        <v>881.85449200000005</v>
      </c>
      <c r="R117" s="17">
        <f>'AEO 2023 Table 47 Raw'!U101</f>
        <v>900.60906999999997</v>
      </c>
      <c r="S117" s="17">
        <f>'AEO 2023 Table 47 Raw'!V101</f>
        <v>919.70696999999996</v>
      </c>
      <c r="T117" s="17">
        <f>'AEO 2023 Table 47 Raw'!W101</f>
        <v>939.14758300000005</v>
      </c>
      <c r="U117" s="17">
        <f>'AEO 2023 Table 47 Raw'!X101</f>
        <v>958.95074499999998</v>
      </c>
      <c r="V117" s="17">
        <f>'AEO 2023 Table 47 Raw'!Y101</f>
        <v>979.09222399999999</v>
      </c>
      <c r="W117" s="17">
        <f>'AEO 2023 Table 47 Raw'!Z101</f>
        <v>999.56774900000005</v>
      </c>
      <c r="X117" s="17">
        <f>'AEO 2023 Table 47 Raw'!AA101</f>
        <v>1020.372314</v>
      </c>
      <c r="Y117" s="17">
        <f>'AEO 2023 Table 47 Raw'!AB101</f>
        <v>1041.499268</v>
      </c>
      <c r="Z117" s="17">
        <f>'AEO 2023 Table 47 Raw'!AC101</f>
        <v>1062.9472659999999</v>
      </c>
      <c r="AA117" s="17">
        <f>'AEO 2023 Table 47 Raw'!AD101</f>
        <v>1084.717163</v>
      </c>
      <c r="AB117" s="17">
        <f>'AEO 2023 Table 47 Raw'!AE101</f>
        <v>1106.8122559999999</v>
      </c>
      <c r="AC117" s="17">
        <f>'AEO 2023 Table 47 Raw'!AF101</f>
        <v>1129.258789</v>
      </c>
      <c r="AD117" s="17">
        <f>'AEO 2023 Table 47 Raw'!AG101</f>
        <v>1152.091797</v>
      </c>
      <c r="AE117" s="17">
        <f>'AEO 2023 Table 47 Raw'!AH101</f>
        <v>1175.3342290000001</v>
      </c>
      <c r="AF117" s="30">
        <f>'AEO 2023 Table 47 Raw'!AI101</f>
        <v>3.4000000000000002E-2</v>
      </c>
    </row>
    <row r="118" spans="1:32" ht="15" customHeight="1">
      <c r="A118" s="7" t="s">
        <v>647</v>
      </c>
      <c r="B118" s="16" t="s">
        <v>606</v>
      </c>
      <c r="C118" s="17">
        <f>'AEO 2023 Table 47 Raw'!F102</f>
        <v>384.73519900000002</v>
      </c>
      <c r="D118" s="17">
        <f>'AEO 2023 Table 47 Raw'!G102</f>
        <v>494.32092299999999</v>
      </c>
      <c r="E118" s="17">
        <f>'AEO 2023 Table 47 Raw'!H102</f>
        <v>568.28112799999997</v>
      </c>
      <c r="F118" s="17">
        <f>'AEO 2023 Table 47 Raw'!I102</f>
        <v>599.45251499999995</v>
      </c>
      <c r="G118" s="17">
        <f>'AEO 2023 Table 47 Raw'!J102</f>
        <v>655.16479500000003</v>
      </c>
      <c r="H118" s="17">
        <f>'AEO 2023 Table 47 Raw'!K102</f>
        <v>668.54449499999998</v>
      </c>
      <c r="I118" s="17">
        <f>'AEO 2023 Table 47 Raw'!L102</f>
        <v>682.08648700000003</v>
      </c>
      <c r="J118" s="17">
        <f>'AEO 2023 Table 47 Raw'!M102</f>
        <v>695.82885699999997</v>
      </c>
      <c r="K118" s="17">
        <f>'AEO 2023 Table 47 Raw'!N102</f>
        <v>709.79925500000002</v>
      </c>
      <c r="L118" s="17">
        <f>'AEO 2023 Table 47 Raw'!O102</f>
        <v>724.01422100000002</v>
      </c>
      <c r="M118" s="17">
        <f>'AEO 2023 Table 47 Raw'!P102</f>
        <v>738.48004200000003</v>
      </c>
      <c r="N118" s="17">
        <f>'AEO 2023 Table 47 Raw'!Q102</f>
        <v>753.19427499999995</v>
      </c>
      <c r="O118" s="17">
        <f>'AEO 2023 Table 47 Raw'!R102</f>
        <v>768.13793899999996</v>
      </c>
      <c r="P118" s="17">
        <f>'AEO 2023 Table 47 Raw'!S102</f>
        <v>783.28631600000006</v>
      </c>
      <c r="Q118" s="17">
        <f>'AEO 2023 Table 47 Raw'!T102</f>
        <v>798.66192599999999</v>
      </c>
      <c r="R118" s="17">
        <f>'AEO 2023 Table 47 Raw'!U102</f>
        <v>814.29058799999996</v>
      </c>
      <c r="S118" s="17">
        <f>'AEO 2023 Table 47 Raw'!V102</f>
        <v>830.162598</v>
      </c>
      <c r="T118" s="17">
        <f>'AEO 2023 Table 47 Raw'!W102</f>
        <v>846.27569600000004</v>
      </c>
      <c r="U118" s="17">
        <f>'AEO 2023 Table 47 Raw'!X102</f>
        <v>862.63250700000003</v>
      </c>
      <c r="V118" s="17">
        <f>'AEO 2023 Table 47 Raw'!Y102</f>
        <v>879.22540300000003</v>
      </c>
      <c r="W118" s="17">
        <f>'AEO 2023 Table 47 Raw'!Z102</f>
        <v>896.05114700000001</v>
      </c>
      <c r="X118" s="17">
        <f>'AEO 2023 Table 47 Raw'!AA102</f>
        <v>913.104736</v>
      </c>
      <c r="Y118" s="17">
        <f>'AEO 2023 Table 47 Raw'!AB102</f>
        <v>930.38195800000005</v>
      </c>
      <c r="Z118" s="17">
        <f>'AEO 2023 Table 47 Raw'!AC102</f>
        <v>947.878601</v>
      </c>
      <c r="AA118" s="17">
        <f>'AEO 2023 Table 47 Raw'!AD102</f>
        <v>965.584473</v>
      </c>
      <c r="AB118" s="17">
        <f>'AEO 2023 Table 47 Raw'!AE102</f>
        <v>983.49823000000004</v>
      </c>
      <c r="AC118" s="17">
        <f>'AEO 2023 Table 47 Raw'!AF102</f>
        <v>1001.6401980000001</v>
      </c>
      <c r="AD118" s="17">
        <f>'AEO 2023 Table 47 Raw'!AG102</f>
        <v>1020.036865</v>
      </c>
      <c r="AE118" s="17">
        <f>'AEO 2023 Table 47 Raw'!AH102</f>
        <v>1038.7089840000001</v>
      </c>
      <c r="AF118" s="30">
        <f>'AEO 2023 Table 47 Raw'!AI102</f>
        <v>3.5999999999999997E-2</v>
      </c>
    </row>
    <row r="119" spans="1:32" ht="15" customHeight="1">
      <c r="A119" s="7" t="s">
        <v>648</v>
      </c>
      <c r="B119" s="16" t="s">
        <v>608</v>
      </c>
      <c r="C119" s="17">
        <f>'AEO 2023 Table 47 Raw'!F103</f>
        <v>34.870902999999998</v>
      </c>
      <c r="D119" s="17">
        <f>'AEO 2023 Table 47 Raw'!G103</f>
        <v>44.880547</v>
      </c>
      <c r="E119" s="17">
        <f>'AEO 2023 Table 47 Raw'!H103</f>
        <v>51.685589</v>
      </c>
      <c r="F119" s="17">
        <f>'AEO 2023 Table 47 Raw'!I103</f>
        <v>53.647475999999997</v>
      </c>
      <c r="G119" s="17">
        <f>'AEO 2023 Table 47 Raw'!J103</f>
        <v>55.828116999999999</v>
      </c>
      <c r="H119" s="17">
        <f>'AEO 2023 Table 47 Raw'!K103</f>
        <v>57.083621999999998</v>
      </c>
      <c r="I119" s="17">
        <f>'AEO 2023 Table 47 Raw'!L103</f>
        <v>58.351047999999999</v>
      </c>
      <c r="J119" s="17">
        <f>'AEO 2023 Table 47 Raw'!M103</f>
        <v>59.637023999999997</v>
      </c>
      <c r="K119" s="17">
        <f>'AEO 2023 Table 47 Raw'!N103</f>
        <v>60.945126000000002</v>
      </c>
      <c r="L119" s="17">
        <f>'AEO 2023 Table 47 Raw'!O103</f>
        <v>62.276809999999998</v>
      </c>
      <c r="M119" s="17">
        <f>'AEO 2023 Table 47 Raw'!P103</f>
        <v>63.633769999999998</v>
      </c>
      <c r="N119" s="17">
        <f>'AEO 2023 Table 47 Raw'!Q103</f>
        <v>65.017516999999998</v>
      </c>
      <c r="O119" s="17">
        <f>'AEO 2023 Table 47 Raw'!R103</f>
        <v>66.426085999999998</v>
      </c>
      <c r="P119" s="17">
        <f>'AEO 2023 Table 47 Raw'!S103</f>
        <v>67.856292999999994</v>
      </c>
      <c r="Q119" s="17">
        <f>'AEO 2023 Table 47 Raw'!T103</f>
        <v>69.312302000000003</v>
      </c>
      <c r="R119" s="17">
        <f>'AEO 2023 Table 47 Raw'!U103</f>
        <v>70.797531000000006</v>
      </c>
      <c r="S119" s="17">
        <f>'AEO 2023 Table 47 Raw'!V103</f>
        <v>72.310294999999996</v>
      </c>
      <c r="T119" s="17">
        <f>'AEO 2023 Table 47 Raw'!W103</f>
        <v>73.850562999999994</v>
      </c>
      <c r="U119" s="17">
        <f>'AEO 2023 Table 47 Raw'!X103</f>
        <v>75.420029</v>
      </c>
      <c r="V119" s="17">
        <f>'AEO 2023 Table 47 Raw'!Y103</f>
        <v>77.016670000000005</v>
      </c>
      <c r="W119" s="17">
        <f>'AEO 2023 Table 47 Raw'!Z103</f>
        <v>78.640129000000002</v>
      </c>
      <c r="X119" s="17">
        <f>'AEO 2023 Table 47 Raw'!AA103</f>
        <v>80.290030999999999</v>
      </c>
      <c r="Y119" s="17">
        <f>'AEO 2023 Table 47 Raw'!AB103</f>
        <v>81.965835999999996</v>
      </c>
      <c r="Z119" s="17">
        <f>'AEO 2023 Table 47 Raw'!AC103</f>
        <v>83.667450000000002</v>
      </c>
      <c r="AA119" s="17">
        <f>'AEO 2023 Table 47 Raw'!AD103</f>
        <v>85.395065000000002</v>
      </c>
      <c r="AB119" s="17">
        <f>'AEO 2023 Table 47 Raw'!AE103</f>
        <v>87.148910999999998</v>
      </c>
      <c r="AC119" s="17">
        <f>'AEO 2023 Table 47 Raw'!AF103</f>
        <v>88.931160000000006</v>
      </c>
      <c r="AD119" s="17">
        <f>'AEO 2023 Table 47 Raw'!AG103</f>
        <v>90.744545000000002</v>
      </c>
      <c r="AE119" s="17">
        <f>'AEO 2023 Table 47 Raw'!AH103</f>
        <v>92.590896999999998</v>
      </c>
      <c r="AF119" s="30">
        <f>'AEO 2023 Table 47 Raw'!AI103</f>
        <v>3.5000000000000003E-2</v>
      </c>
    </row>
    <row r="120" spans="1:32" ht="15" customHeight="1">
      <c r="A120" s="7" t="s">
        <v>649</v>
      </c>
      <c r="B120" s="16" t="s">
        <v>610</v>
      </c>
      <c r="C120" s="17">
        <f>'AEO 2023 Table 47 Raw'!F104</f>
        <v>101.69902</v>
      </c>
      <c r="D120" s="17">
        <f>'AEO 2023 Table 47 Raw'!G104</f>
        <v>148.23710600000001</v>
      </c>
      <c r="E120" s="17">
        <f>'AEO 2023 Table 47 Raw'!H104</f>
        <v>171.55920399999999</v>
      </c>
      <c r="F120" s="17">
        <f>'AEO 2023 Table 47 Raw'!I104</f>
        <v>184.58833300000001</v>
      </c>
      <c r="G120" s="17">
        <f>'AEO 2023 Table 47 Raw'!J104</f>
        <v>200.47425799999999</v>
      </c>
      <c r="H120" s="17">
        <f>'AEO 2023 Table 47 Raw'!K104</f>
        <v>210.807739</v>
      </c>
      <c r="I120" s="17">
        <f>'AEO 2023 Table 47 Raw'!L104</f>
        <v>220.13314800000001</v>
      </c>
      <c r="J120" s="17">
        <f>'AEO 2023 Table 47 Raw'!M104</f>
        <v>221.292801</v>
      </c>
      <c r="K120" s="17">
        <f>'AEO 2023 Table 47 Raw'!N104</f>
        <v>222.20796200000001</v>
      </c>
      <c r="L120" s="17">
        <f>'AEO 2023 Table 47 Raw'!O104</f>
        <v>222.935303</v>
      </c>
      <c r="M120" s="17">
        <f>'AEO 2023 Table 47 Raw'!P104</f>
        <v>223.57605000000001</v>
      </c>
      <c r="N120" s="17">
        <f>'AEO 2023 Table 47 Raw'!Q104</f>
        <v>224.21723900000001</v>
      </c>
      <c r="O120" s="17">
        <f>'AEO 2023 Table 47 Raw'!R104</f>
        <v>224.86488299999999</v>
      </c>
      <c r="P120" s="17">
        <f>'AEO 2023 Table 47 Raw'!S104</f>
        <v>225.51828</v>
      </c>
      <c r="Q120" s="17">
        <f>'AEO 2023 Table 47 Raw'!T104</f>
        <v>226.176514</v>
      </c>
      <c r="R120" s="17">
        <f>'AEO 2023 Table 47 Raw'!U104</f>
        <v>226.83900499999999</v>
      </c>
      <c r="S120" s="17">
        <f>'AEO 2023 Table 47 Raw'!V104</f>
        <v>227.50564600000001</v>
      </c>
      <c r="T120" s="17">
        <f>'AEO 2023 Table 47 Raw'!W104</f>
        <v>228.174622</v>
      </c>
      <c r="U120" s="17">
        <f>'AEO 2023 Table 47 Raw'!X104</f>
        <v>228.840012</v>
      </c>
      <c r="V120" s="17">
        <f>'AEO 2023 Table 47 Raw'!Y104</f>
        <v>229.505966</v>
      </c>
      <c r="W120" s="17">
        <f>'AEO 2023 Table 47 Raw'!Z104</f>
        <v>230.17013499999999</v>
      </c>
      <c r="X120" s="17">
        <f>'AEO 2023 Table 47 Raw'!AA104</f>
        <v>230.83374000000001</v>
      </c>
      <c r="Y120" s="17">
        <f>'AEO 2023 Table 47 Raw'!AB104</f>
        <v>231.507385</v>
      </c>
      <c r="Z120" s="17">
        <f>'AEO 2023 Table 47 Raw'!AC104</f>
        <v>232.219131</v>
      </c>
      <c r="AA120" s="17">
        <f>'AEO 2023 Table 47 Raw'!AD104</f>
        <v>232.98898299999999</v>
      </c>
      <c r="AB120" s="17">
        <f>'AEO 2023 Table 47 Raw'!AE104</f>
        <v>233.82221999999999</v>
      </c>
      <c r="AC120" s="17">
        <f>'AEO 2023 Table 47 Raw'!AF104</f>
        <v>234.71961999999999</v>
      </c>
      <c r="AD120" s="17">
        <f>'AEO 2023 Table 47 Raw'!AG104</f>
        <v>235.681839</v>
      </c>
      <c r="AE120" s="17">
        <f>'AEO 2023 Table 47 Raw'!AH104</f>
        <v>236.708923</v>
      </c>
      <c r="AF120" s="30">
        <f>'AEO 2023 Table 47 Raw'!AI104</f>
        <v>3.1E-2</v>
      </c>
    </row>
    <row r="121" spans="1:32" ht="15" customHeight="1">
      <c r="A121" s="7" t="s">
        <v>650</v>
      </c>
      <c r="B121" s="16" t="s">
        <v>616</v>
      </c>
      <c r="C121" s="17">
        <f>'AEO 2023 Table 47 Raw'!F105</f>
        <v>50.248626999999999</v>
      </c>
      <c r="D121" s="17">
        <f>'AEO 2023 Table 47 Raw'!G105</f>
        <v>73.327492000000007</v>
      </c>
      <c r="E121" s="17">
        <f>'AEO 2023 Table 47 Raw'!H105</f>
        <v>80.386336999999997</v>
      </c>
      <c r="F121" s="17">
        <f>'AEO 2023 Table 47 Raw'!I105</f>
        <v>83.712601000000006</v>
      </c>
      <c r="G121" s="17">
        <f>'AEO 2023 Table 47 Raw'!J105</f>
        <v>86.558563000000007</v>
      </c>
      <c r="H121" s="17">
        <f>'AEO 2023 Table 47 Raw'!K105</f>
        <v>88.524124</v>
      </c>
      <c r="I121" s="17">
        <f>'AEO 2023 Table 47 Raw'!L105</f>
        <v>90.305572999999995</v>
      </c>
      <c r="J121" s="17">
        <f>'AEO 2023 Table 47 Raw'!M105</f>
        <v>90.819534000000004</v>
      </c>
      <c r="K121" s="17">
        <f>'AEO 2023 Table 47 Raw'!N105</f>
        <v>91.274376000000004</v>
      </c>
      <c r="L121" s="17">
        <f>'AEO 2023 Table 47 Raw'!O105</f>
        <v>91.683593999999999</v>
      </c>
      <c r="M121" s="17">
        <f>'AEO 2023 Table 47 Raw'!P105</f>
        <v>92.070815999999994</v>
      </c>
      <c r="N121" s="17">
        <f>'AEO 2023 Table 47 Raw'!Q105</f>
        <v>92.456360000000004</v>
      </c>
      <c r="O121" s="17">
        <f>'AEO 2023 Table 47 Raw'!R105</f>
        <v>92.842277999999993</v>
      </c>
      <c r="P121" s="17">
        <f>'AEO 2023 Table 47 Raw'!S105</f>
        <v>93.228309999999993</v>
      </c>
      <c r="Q121" s="17">
        <f>'AEO 2023 Table 47 Raw'!T105</f>
        <v>93.614204000000001</v>
      </c>
      <c r="R121" s="17">
        <f>'AEO 2023 Table 47 Raw'!U105</f>
        <v>94.000174999999999</v>
      </c>
      <c r="S121" s="17">
        <f>'AEO 2023 Table 47 Raw'!V105</f>
        <v>94.386238000000006</v>
      </c>
      <c r="T121" s="17">
        <f>'AEO 2023 Table 47 Raw'!W105</f>
        <v>94.772171</v>
      </c>
      <c r="U121" s="17">
        <f>'AEO 2023 Table 47 Raw'!X105</f>
        <v>95.154160000000005</v>
      </c>
      <c r="V121" s="17">
        <f>'AEO 2023 Table 47 Raw'!Y105</f>
        <v>95.535126000000005</v>
      </c>
      <c r="W121" s="17">
        <f>'AEO 2023 Table 47 Raw'!Z105</f>
        <v>95.914664999999999</v>
      </c>
      <c r="X121" s="17">
        <f>'AEO 2023 Table 47 Raw'!AA105</f>
        <v>96.293319999999994</v>
      </c>
      <c r="Y121" s="17">
        <f>'AEO 2023 Table 47 Raw'!AB105</f>
        <v>96.674294000000003</v>
      </c>
      <c r="Z121" s="17">
        <f>'AEO 2023 Table 47 Raw'!AC105</f>
        <v>97.063903999999994</v>
      </c>
      <c r="AA121" s="17">
        <f>'AEO 2023 Table 47 Raw'!AD105</f>
        <v>97.467574999999997</v>
      </c>
      <c r="AB121" s="17">
        <f>'AEO 2023 Table 47 Raw'!AE105</f>
        <v>97.886573999999996</v>
      </c>
      <c r="AC121" s="17">
        <f>'AEO 2023 Table 47 Raw'!AF105</f>
        <v>98.320922999999993</v>
      </c>
      <c r="AD121" s="17">
        <f>'AEO 2023 Table 47 Raw'!AG105</f>
        <v>98.770683000000005</v>
      </c>
      <c r="AE121" s="17">
        <f>'AEO 2023 Table 47 Raw'!AH105</f>
        <v>99.235695000000007</v>
      </c>
      <c r="AF121" s="30">
        <f>'AEO 2023 Table 47 Raw'!AI105</f>
        <v>2.5000000000000001E-2</v>
      </c>
    </row>
    <row r="122" spans="1:32" ht="15" customHeight="1">
      <c r="A122" s="7" t="s">
        <v>651</v>
      </c>
      <c r="B122" s="16" t="s">
        <v>606</v>
      </c>
      <c r="C122" s="17">
        <f>'AEO 2023 Table 47 Raw'!F106</f>
        <v>45.078837999999998</v>
      </c>
      <c r="D122" s="17">
        <f>'AEO 2023 Table 47 Raw'!G106</f>
        <v>65.604156000000003</v>
      </c>
      <c r="E122" s="17">
        <f>'AEO 2023 Table 47 Raw'!H106</f>
        <v>81.211539999999999</v>
      </c>
      <c r="F122" s="17">
        <f>'AEO 2023 Table 47 Raw'!I106</f>
        <v>90.667961000000005</v>
      </c>
      <c r="G122" s="17">
        <f>'AEO 2023 Table 47 Raw'!J106</f>
        <v>103.62951700000001</v>
      </c>
      <c r="H122" s="17">
        <f>'AEO 2023 Table 47 Raw'!K106</f>
        <v>111.925438</v>
      </c>
      <c r="I122" s="17">
        <f>'AEO 2023 Table 47 Raw'!L106</f>
        <v>119.40303</v>
      </c>
      <c r="J122" s="17">
        <f>'AEO 2023 Table 47 Raw'!M106</f>
        <v>119.986786</v>
      </c>
      <c r="K122" s="17">
        <f>'AEO 2023 Table 47 Raw'!N106</f>
        <v>120.389191</v>
      </c>
      <c r="L122" s="17">
        <f>'AEO 2023 Table 47 Raw'!O106</f>
        <v>120.652519</v>
      </c>
      <c r="M122" s="17">
        <f>'AEO 2023 Table 47 Raw'!P106</f>
        <v>120.852875</v>
      </c>
      <c r="N122" s="17">
        <f>'AEO 2023 Table 47 Raw'!Q106</f>
        <v>121.055656</v>
      </c>
      <c r="O122" s="17">
        <f>'AEO 2023 Table 47 Raw'!R106</f>
        <v>121.264656</v>
      </c>
      <c r="P122" s="17">
        <f>'AEO 2023 Table 47 Raw'!S106</f>
        <v>121.479401</v>
      </c>
      <c r="Q122" s="17">
        <f>'AEO 2023 Table 47 Raw'!T106</f>
        <v>121.69931</v>
      </c>
      <c r="R122" s="17">
        <f>'AEO 2023 Table 47 Raw'!U106</f>
        <v>121.9235</v>
      </c>
      <c r="S122" s="17">
        <f>'AEO 2023 Table 47 Raw'!V106</f>
        <v>122.151825</v>
      </c>
      <c r="T122" s="17">
        <f>'AEO 2023 Table 47 Raw'!W106</f>
        <v>122.382729</v>
      </c>
      <c r="U122" s="17">
        <f>'AEO 2023 Table 47 Raw'!X106</f>
        <v>122.61462400000001</v>
      </c>
      <c r="V122" s="17">
        <f>'AEO 2023 Table 47 Raw'!Y106</f>
        <v>122.848282</v>
      </c>
      <c r="W122" s="17">
        <f>'AEO 2023 Table 47 Raw'!Z106</f>
        <v>123.08181</v>
      </c>
      <c r="X122" s="17">
        <f>'AEO 2023 Table 47 Raw'!AA106</f>
        <v>123.315765</v>
      </c>
      <c r="Y122" s="17">
        <f>'AEO 2023 Table 47 Raw'!AB106</f>
        <v>123.557365</v>
      </c>
      <c r="Z122" s="17">
        <f>'AEO 2023 Table 47 Raw'!AC106</f>
        <v>123.82785</v>
      </c>
      <c r="AA122" s="17">
        <f>'AEO 2023 Table 47 Raw'!AD106</f>
        <v>124.141457</v>
      </c>
      <c r="AB122" s="17">
        <f>'AEO 2023 Table 47 Raw'!AE106</f>
        <v>124.50206799999999</v>
      </c>
      <c r="AC122" s="17">
        <f>'AEO 2023 Table 47 Raw'!AF106</f>
        <v>124.910492</v>
      </c>
      <c r="AD122" s="17">
        <f>'AEO 2023 Table 47 Raw'!AG106</f>
        <v>125.36726400000001</v>
      </c>
      <c r="AE122" s="17">
        <f>'AEO 2023 Table 47 Raw'!AH106</f>
        <v>125.872688</v>
      </c>
      <c r="AF122" s="30">
        <f>'AEO 2023 Table 47 Raw'!AI106</f>
        <v>3.6999999999999998E-2</v>
      </c>
    </row>
    <row r="123" spans="1:32" ht="15" customHeight="1">
      <c r="A123" s="7" t="s">
        <v>652</v>
      </c>
      <c r="B123" s="16" t="s">
        <v>608</v>
      </c>
      <c r="C123" s="17">
        <f>'AEO 2023 Table 47 Raw'!F107</f>
        <v>6.3715529999999996</v>
      </c>
      <c r="D123" s="17">
        <f>'AEO 2023 Table 47 Raw'!G107</f>
        <v>9.3054469999999991</v>
      </c>
      <c r="E123" s="17">
        <f>'AEO 2023 Table 47 Raw'!H107</f>
        <v>9.9613259999999997</v>
      </c>
      <c r="F123" s="17">
        <f>'AEO 2023 Table 47 Raw'!I107</f>
        <v>10.207762000000001</v>
      </c>
      <c r="G123" s="17">
        <f>'AEO 2023 Table 47 Raw'!J107</f>
        <v>10.286180999999999</v>
      </c>
      <c r="H123" s="17">
        <f>'AEO 2023 Table 47 Raw'!K107</f>
        <v>10.358179</v>
      </c>
      <c r="I123" s="17">
        <f>'AEO 2023 Table 47 Raw'!L107</f>
        <v>10.424552</v>
      </c>
      <c r="J123" s="17">
        <f>'AEO 2023 Table 47 Raw'!M107</f>
        <v>10.486485999999999</v>
      </c>
      <c r="K123" s="17">
        <f>'AEO 2023 Table 47 Raw'!N107</f>
        <v>10.544403000000001</v>
      </c>
      <c r="L123" s="17">
        <f>'AEO 2023 Table 47 Raw'!O107</f>
        <v>10.599194000000001</v>
      </c>
      <c r="M123" s="17">
        <f>'AEO 2023 Table 47 Raw'!P107</f>
        <v>10.652366000000001</v>
      </c>
      <c r="N123" s="17">
        <f>'AEO 2023 Table 47 Raw'!Q107</f>
        <v>10.705219</v>
      </c>
      <c r="O123" s="17">
        <f>'AEO 2023 Table 47 Raw'!R107</f>
        <v>10.757960000000001</v>
      </c>
      <c r="P123" s="17">
        <f>'AEO 2023 Table 47 Raw'!S107</f>
        <v>10.810561</v>
      </c>
      <c r="Q123" s="17">
        <f>'AEO 2023 Table 47 Raw'!T107</f>
        <v>10.863001000000001</v>
      </c>
      <c r="R123" s="17">
        <f>'AEO 2023 Table 47 Raw'!U107</f>
        <v>10.915336</v>
      </c>
      <c r="S123" s="17">
        <f>'AEO 2023 Table 47 Raw'!V107</f>
        <v>10.967572000000001</v>
      </c>
      <c r="T123" s="17">
        <f>'AEO 2023 Table 47 Raw'!W107</f>
        <v>11.019721000000001</v>
      </c>
      <c r="U123" s="17">
        <f>'AEO 2023 Table 47 Raw'!X107</f>
        <v>11.071241000000001</v>
      </c>
      <c r="V123" s="17">
        <f>'AEO 2023 Table 47 Raw'!Y107</f>
        <v>11.122562</v>
      </c>
      <c r="W123" s="17">
        <f>'AEO 2023 Table 47 Raw'!Z107</f>
        <v>11.17367</v>
      </c>
      <c r="X123" s="17">
        <f>'AEO 2023 Table 47 Raw'!AA107</f>
        <v>11.224634</v>
      </c>
      <c r="Y123" s="17">
        <f>'AEO 2023 Table 47 Raw'!AB107</f>
        <v>11.275739</v>
      </c>
      <c r="Z123" s="17">
        <f>'AEO 2023 Table 47 Raw'!AC107</f>
        <v>11.327367000000001</v>
      </c>
      <c r="AA123" s="17">
        <f>'AEO 2023 Table 47 Raw'!AD107</f>
        <v>11.379951</v>
      </c>
      <c r="AB123" s="17">
        <f>'AEO 2023 Table 47 Raw'!AE107</f>
        <v>11.433577</v>
      </c>
      <c r="AC123" s="17">
        <f>'AEO 2023 Table 47 Raw'!AF107</f>
        <v>11.488227</v>
      </c>
      <c r="AD123" s="17">
        <f>'AEO 2023 Table 47 Raw'!AG107</f>
        <v>11.543894</v>
      </c>
      <c r="AE123" s="17">
        <f>'AEO 2023 Table 47 Raw'!AH107</f>
        <v>11.600548</v>
      </c>
      <c r="AF123" s="30">
        <f>'AEO 2023 Table 47 Raw'!AI107</f>
        <v>2.1999999999999999E-2</v>
      </c>
    </row>
    <row r="124" spans="1:32" ht="15" customHeight="1">
      <c r="A124" s="7" t="s">
        <v>653</v>
      </c>
      <c r="B124" s="16" t="s">
        <v>610</v>
      </c>
      <c r="C124" s="17">
        <f>'AEO 2023 Table 47 Raw'!F108</f>
        <v>83.549149</v>
      </c>
      <c r="D124" s="17">
        <f>'AEO 2023 Table 47 Raw'!G108</f>
        <v>121.20388</v>
      </c>
      <c r="E124" s="17">
        <f>'AEO 2023 Table 47 Raw'!H108</f>
        <v>149.299881</v>
      </c>
      <c r="F124" s="17">
        <f>'AEO 2023 Table 47 Raw'!I108</f>
        <v>168.68980400000001</v>
      </c>
      <c r="G124" s="17">
        <f>'AEO 2023 Table 47 Raw'!J108</f>
        <v>185.26075700000001</v>
      </c>
      <c r="H124" s="17">
        <f>'AEO 2023 Table 47 Raw'!K108</f>
        <v>196.63462799999999</v>
      </c>
      <c r="I124" s="17">
        <f>'AEO 2023 Table 47 Raw'!L108</f>
        <v>207.11045799999999</v>
      </c>
      <c r="J124" s="17">
        <f>'AEO 2023 Table 47 Raw'!M108</f>
        <v>213.33717300000001</v>
      </c>
      <c r="K124" s="17">
        <f>'AEO 2023 Table 47 Raw'!N108</f>
        <v>219.69072</v>
      </c>
      <c r="L124" s="17">
        <f>'AEO 2023 Table 47 Raw'!O108</f>
        <v>226.14747600000001</v>
      </c>
      <c r="M124" s="17">
        <f>'AEO 2023 Table 47 Raw'!P108</f>
        <v>232.66215500000001</v>
      </c>
      <c r="N124" s="17">
        <f>'AEO 2023 Table 47 Raw'!Q108</f>
        <v>239.25929300000001</v>
      </c>
      <c r="O124" s="17">
        <f>'AEO 2023 Table 47 Raw'!R108</f>
        <v>245.94813500000001</v>
      </c>
      <c r="P124" s="17">
        <f>'AEO 2023 Table 47 Raw'!S108</f>
        <v>252.61059599999999</v>
      </c>
      <c r="Q124" s="17">
        <f>'AEO 2023 Table 47 Raw'!T108</f>
        <v>259.33639499999998</v>
      </c>
      <c r="R124" s="17">
        <f>'AEO 2023 Table 47 Raw'!U108</f>
        <v>266.22772200000003</v>
      </c>
      <c r="S124" s="17">
        <f>'AEO 2023 Table 47 Raw'!V108</f>
        <v>273.25830100000002</v>
      </c>
      <c r="T124" s="17">
        <f>'AEO 2023 Table 47 Raw'!W108</f>
        <v>280.35229500000003</v>
      </c>
      <c r="U124" s="17">
        <f>'AEO 2023 Table 47 Raw'!X108</f>
        <v>287.51351899999997</v>
      </c>
      <c r="V124" s="17">
        <f>'AEO 2023 Table 47 Raw'!Y108</f>
        <v>294.79525799999999</v>
      </c>
      <c r="W124" s="17">
        <f>'AEO 2023 Table 47 Raw'!Z108</f>
        <v>302.209137</v>
      </c>
      <c r="X124" s="17">
        <f>'AEO 2023 Table 47 Raw'!AA108</f>
        <v>309.75473</v>
      </c>
      <c r="Y124" s="17">
        <f>'AEO 2023 Table 47 Raw'!AB108</f>
        <v>317.43218999999999</v>
      </c>
      <c r="Z124" s="17">
        <f>'AEO 2023 Table 47 Raw'!AC108</f>
        <v>325.23773199999999</v>
      </c>
      <c r="AA124" s="17">
        <f>'AEO 2023 Table 47 Raw'!AD108</f>
        <v>333.16507000000001</v>
      </c>
      <c r="AB124" s="17">
        <f>'AEO 2023 Table 47 Raw'!AE108</f>
        <v>341.21582000000001</v>
      </c>
      <c r="AC124" s="17">
        <f>'AEO 2023 Table 47 Raw'!AF108</f>
        <v>349.41198700000001</v>
      </c>
      <c r="AD124" s="17">
        <f>'AEO 2023 Table 47 Raw'!AG108</f>
        <v>357.75805700000001</v>
      </c>
      <c r="AE124" s="17">
        <f>'AEO 2023 Table 47 Raw'!AH108</f>
        <v>366.25451700000002</v>
      </c>
      <c r="AF124" s="30">
        <f>'AEO 2023 Table 47 Raw'!AI108</f>
        <v>5.3999999999999999E-2</v>
      </c>
    </row>
    <row r="125" spans="1:32" ht="15" customHeight="1">
      <c r="A125" s="7" t="s">
        <v>654</v>
      </c>
      <c r="B125" s="16" t="s">
        <v>618</v>
      </c>
      <c r="C125" s="17">
        <f>'AEO 2023 Table 47 Raw'!F109</f>
        <v>36.610782999999998</v>
      </c>
      <c r="D125" s="17">
        <f>'AEO 2023 Table 47 Raw'!G109</f>
        <v>49.266624</v>
      </c>
      <c r="E125" s="17">
        <f>'AEO 2023 Table 47 Raw'!H109</f>
        <v>55.787475999999998</v>
      </c>
      <c r="F125" s="17">
        <f>'AEO 2023 Table 47 Raw'!I109</f>
        <v>59.812798000000001</v>
      </c>
      <c r="G125" s="17">
        <f>'AEO 2023 Table 47 Raw'!J109</f>
        <v>62.062618000000001</v>
      </c>
      <c r="H125" s="17">
        <f>'AEO 2023 Table 47 Raw'!K109</f>
        <v>64.106048999999999</v>
      </c>
      <c r="I125" s="17">
        <f>'AEO 2023 Table 47 Raw'!L109</f>
        <v>66.122321999999997</v>
      </c>
      <c r="J125" s="17">
        <f>'AEO 2023 Table 47 Raw'!M109</f>
        <v>67.978454999999997</v>
      </c>
      <c r="K125" s="17">
        <f>'AEO 2023 Table 47 Raw'!N109</f>
        <v>69.866577000000007</v>
      </c>
      <c r="L125" s="17">
        <f>'AEO 2023 Table 47 Raw'!O109</f>
        <v>71.771736000000004</v>
      </c>
      <c r="M125" s="17">
        <f>'AEO 2023 Table 47 Raw'!P109</f>
        <v>73.667175</v>
      </c>
      <c r="N125" s="17">
        <f>'AEO 2023 Table 47 Raw'!Q109</f>
        <v>75.565291999999999</v>
      </c>
      <c r="O125" s="17">
        <f>'AEO 2023 Table 47 Raw'!R109</f>
        <v>77.469703999999993</v>
      </c>
      <c r="P125" s="17">
        <f>'AEO 2023 Table 47 Raw'!S109</f>
        <v>79.310828999999998</v>
      </c>
      <c r="Q125" s="17">
        <f>'AEO 2023 Table 47 Raw'!T109</f>
        <v>81.138930999999999</v>
      </c>
      <c r="R125" s="17">
        <f>'AEO 2023 Table 47 Raw'!U109</f>
        <v>83.011398</v>
      </c>
      <c r="S125" s="17">
        <f>'AEO 2023 Table 47 Raw'!V109</f>
        <v>84.911300999999995</v>
      </c>
      <c r="T125" s="17">
        <f>'AEO 2023 Table 47 Raw'!W109</f>
        <v>86.794128000000001</v>
      </c>
      <c r="U125" s="17">
        <f>'AEO 2023 Table 47 Raw'!X109</f>
        <v>88.660561000000001</v>
      </c>
      <c r="V125" s="17">
        <f>'AEO 2023 Table 47 Raw'!Y109</f>
        <v>90.540947000000003</v>
      </c>
      <c r="W125" s="17">
        <f>'AEO 2023 Table 47 Raw'!Z109</f>
        <v>92.441147000000001</v>
      </c>
      <c r="X125" s="17">
        <f>'AEO 2023 Table 47 Raw'!AA109</f>
        <v>94.360625999999996</v>
      </c>
      <c r="Y125" s="17">
        <f>'AEO 2023 Table 47 Raw'!AB109</f>
        <v>96.298569000000001</v>
      </c>
      <c r="Z125" s="17">
        <f>'AEO 2023 Table 47 Raw'!AC109</f>
        <v>98.252655000000004</v>
      </c>
      <c r="AA125" s="17">
        <f>'AEO 2023 Table 47 Raw'!AD109</f>
        <v>100.218834</v>
      </c>
      <c r="AB125" s="17">
        <f>'AEO 2023 Table 47 Raw'!AE109</f>
        <v>102.197517</v>
      </c>
      <c r="AC125" s="17">
        <f>'AEO 2023 Table 47 Raw'!AF109</f>
        <v>104.200531</v>
      </c>
      <c r="AD125" s="17">
        <f>'AEO 2023 Table 47 Raw'!AG109</f>
        <v>106.229347</v>
      </c>
      <c r="AE125" s="17">
        <f>'AEO 2023 Table 47 Raw'!AH109</f>
        <v>108.28325700000001</v>
      </c>
      <c r="AF125" s="30">
        <f>'AEO 2023 Table 47 Raw'!AI109</f>
        <v>3.9E-2</v>
      </c>
    </row>
    <row r="126" spans="1:32" ht="15" customHeight="1">
      <c r="A126" s="7" t="s">
        <v>655</v>
      </c>
      <c r="B126" s="16" t="s">
        <v>606</v>
      </c>
      <c r="C126" s="17">
        <f>'AEO 2023 Table 47 Raw'!F110</f>
        <v>42.035438999999997</v>
      </c>
      <c r="D126" s="17">
        <f>'AEO 2023 Table 47 Raw'!G110</f>
        <v>65.305633999999998</v>
      </c>
      <c r="E126" s="17">
        <f>'AEO 2023 Table 47 Raw'!H110</f>
        <v>85.952704999999995</v>
      </c>
      <c r="F126" s="17">
        <f>'AEO 2023 Table 47 Raw'!I110</f>
        <v>100.826874</v>
      </c>
      <c r="G126" s="17">
        <f>'AEO 2023 Table 47 Raw'!J110</f>
        <v>114.9105</v>
      </c>
      <c r="H126" s="17">
        <f>'AEO 2023 Table 47 Raw'!K110</f>
        <v>124.001762</v>
      </c>
      <c r="I126" s="17">
        <f>'AEO 2023 Table 47 Raw'!L110</f>
        <v>132.22051999999999</v>
      </c>
      <c r="J126" s="17">
        <f>'AEO 2023 Table 47 Raw'!M110</f>
        <v>136.34762599999999</v>
      </c>
      <c r="K126" s="17">
        <f>'AEO 2023 Table 47 Raw'!N110</f>
        <v>140.56552099999999</v>
      </c>
      <c r="L126" s="17">
        <f>'AEO 2023 Table 47 Raw'!O110</f>
        <v>144.867615</v>
      </c>
      <c r="M126" s="17">
        <f>'AEO 2023 Table 47 Raw'!P110</f>
        <v>149.23921200000001</v>
      </c>
      <c r="N126" s="17">
        <f>'AEO 2023 Table 47 Raw'!Q110</f>
        <v>153.69073499999999</v>
      </c>
      <c r="O126" s="17">
        <f>'AEO 2023 Table 47 Raw'!R110</f>
        <v>158.22726399999999</v>
      </c>
      <c r="P126" s="17">
        <f>'AEO 2023 Table 47 Raw'!S110</f>
        <v>162.81016500000001</v>
      </c>
      <c r="Q126" s="17">
        <f>'AEO 2023 Table 47 Raw'!T110</f>
        <v>167.47184799999999</v>
      </c>
      <c r="R126" s="17">
        <f>'AEO 2023 Table 47 Raw'!U110</f>
        <v>172.249008</v>
      </c>
      <c r="S126" s="17">
        <f>'AEO 2023 Table 47 Raw'!V110</f>
        <v>177.13464400000001</v>
      </c>
      <c r="T126" s="17">
        <f>'AEO 2023 Table 47 Raw'!W110</f>
        <v>182.10375999999999</v>
      </c>
      <c r="U126" s="17">
        <f>'AEO 2023 Table 47 Raw'!X110</f>
        <v>187.15948499999999</v>
      </c>
      <c r="V126" s="17">
        <f>'AEO 2023 Table 47 Raw'!Y110</f>
        <v>192.320404</v>
      </c>
      <c r="W126" s="17">
        <f>'AEO 2023 Table 47 Raw'!Z110</f>
        <v>197.591431</v>
      </c>
      <c r="X126" s="17">
        <f>'AEO 2023 Table 47 Raw'!AA110</f>
        <v>202.97283899999999</v>
      </c>
      <c r="Y126" s="17">
        <f>'AEO 2023 Table 47 Raw'!AB110</f>
        <v>208.46565200000001</v>
      </c>
      <c r="Z126" s="17">
        <f>'AEO 2023 Table 47 Raw'!AC110</f>
        <v>214.06880200000001</v>
      </c>
      <c r="AA126" s="17">
        <f>'AEO 2023 Table 47 Raw'!AD110</f>
        <v>219.78054800000001</v>
      </c>
      <c r="AB126" s="17">
        <f>'AEO 2023 Table 47 Raw'!AE110</f>
        <v>225.60205099999999</v>
      </c>
      <c r="AC126" s="17">
        <f>'AEO 2023 Table 47 Raw'!AF110</f>
        <v>231.54188500000001</v>
      </c>
      <c r="AD126" s="17">
        <f>'AEO 2023 Table 47 Raw'!AG110</f>
        <v>237.602844</v>
      </c>
      <c r="AE126" s="17">
        <f>'AEO 2023 Table 47 Raw'!AH110</f>
        <v>243.78623999999999</v>
      </c>
      <c r="AF126" s="30">
        <f>'AEO 2023 Table 47 Raw'!AI110</f>
        <v>6.5000000000000002E-2</v>
      </c>
    </row>
    <row r="127" spans="1:32" ht="15" customHeight="1">
      <c r="A127" s="7" t="s">
        <v>656</v>
      </c>
      <c r="B127" s="16" t="s">
        <v>608</v>
      </c>
      <c r="C127" s="17">
        <f>'AEO 2023 Table 47 Raw'!F111</f>
        <v>4.9029309999999997</v>
      </c>
      <c r="D127" s="17">
        <f>'AEO 2023 Table 47 Raw'!G111</f>
        <v>6.6316170000000003</v>
      </c>
      <c r="E127" s="17">
        <f>'AEO 2023 Table 47 Raw'!H111</f>
        <v>7.559685</v>
      </c>
      <c r="F127" s="17">
        <f>'AEO 2023 Table 47 Raw'!I111</f>
        <v>8.050122</v>
      </c>
      <c r="G127" s="17">
        <f>'AEO 2023 Table 47 Raw'!J111</f>
        <v>8.2876220000000007</v>
      </c>
      <c r="H127" s="17">
        <f>'AEO 2023 Table 47 Raw'!K111</f>
        <v>8.5268130000000006</v>
      </c>
      <c r="I127" s="17">
        <f>'AEO 2023 Table 47 Raw'!L111</f>
        <v>8.7675959999999993</v>
      </c>
      <c r="J127" s="17">
        <f>'AEO 2023 Table 47 Raw'!M111</f>
        <v>9.0110759999999992</v>
      </c>
      <c r="K127" s="17">
        <f>'AEO 2023 Table 47 Raw'!N111</f>
        <v>9.2586300000000001</v>
      </c>
      <c r="L127" s="17">
        <f>'AEO 2023 Table 47 Raw'!O111</f>
        <v>9.5081220000000002</v>
      </c>
      <c r="M127" s="17">
        <f>'AEO 2023 Table 47 Raw'!P111</f>
        <v>9.7557609999999997</v>
      </c>
      <c r="N127" s="17">
        <f>'AEO 2023 Table 47 Raw'!Q111</f>
        <v>10.003282</v>
      </c>
      <c r="O127" s="17">
        <f>'AEO 2023 Table 47 Raw'!R111</f>
        <v>10.25118</v>
      </c>
      <c r="P127" s="17">
        <f>'AEO 2023 Table 47 Raw'!S111</f>
        <v>10.489587</v>
      </c>
      <c r="Q127" s="17">
        <f>'AEO 2023 Table 47 Raw'!T111</f>
        <v>10.725602</v>
      </c>
      <c r="R127" s="17">
        <f>'AEO 2023 Table 47 Raw'!U111</f>
        <v>10.967332000000001</v>
      </c>
      <c r="S127" s="17">
        <f>'AEO 2023 Table 47 Raw'!V111</f>
        <v>11.212358</v>
      </c>
      <c r="T127" s="17">
        <f>'AEO 2023 Table 47 Raw'!W111</f>
        <v>11.454371999999999</v>
      </c>
      <c r="U127" s="17">
        <f>'AEO 2023 Table 47 Raw'!X111</f>
        <v>11.693458</v>
      </c>
      <c r="V127" s="17">
        <f>'AEO 2023 Table 47 Raw'!Y111</f>
        <v>11.933901000000001</v>
      </c>
      <c r="W127" s="17">
        <f>'AEO 2023 Table 47 Raw'!Z111</f>
        <v>12.176525</v>
      </c>
      <c r="X127" s="17">
        <f>'AEO 2023 Table 47 Raw'!AA111</f>
        <v>12.421250000000001</v>
      </c>
      <c r="Y127" s="17">
        <f>'AEO 2023 Table 47 Raw'!AB111</f>
        <v>12.667951</v>
      </c>
      <c r="Z127" s="17">
        <f>'AEO 2023 Table 47 Raw'!AC111</f>
        <v>12.916296000000001</v>
      </c>
      <c r="AA127" s="17">
        <f>'AEO 2023 Table 47 Raw'!AD111</f>
        <v>13.165709</v>
      </c>
      <c r="AB127" s="17">
        <f>'AEO 2023 Table 47 Raw'!AE111</f>
        <v>13.416244000000001</v>
      </c>
      <c r="AC127" s="17">
        <f>'AEO 2023 Table 47 Raw'!AF111</f>
        <v>13.669560000000001</v>
      </c>
      <c r="AD127" s="17">
        <f>'AEO 2023 Table 47 Raw'!AG111</f>
        <v>13.925858</v>
      </c>
      <c r="AE127" s="17">
        <f>'AEO 2023 Table 47 Raw'!AH111</f>
        <v>14.185025</v>
      </c>
      <c r="AF127" s="30">
        <f>'AEO 2023 Table 47 Raw'!AI111</f>
        <v>3.9E-2</v>
      </c>
    </row>
    <row r="128" spans="1:32" ht="12" customHeight="1">
      <c r="A128" s="7" t="s">
        <v>657</v>
      </c>
      <c r="B128" s="16" t="s">
        <v>610</v>
      </c>
      <c r="C128" s="17">
        <f>'AEO 2023 Table 47 Raw'!F112</f>
        <v>47.442936000000003</v>
      </c>
      <c r="D128" s="17">
        <f>'AEO 2023 Table 47 Raw'!G112</f>
        <v>63.984814</v>
      </c>
      <c r="E128" s="17">
        <f>'AEO 2023 Table 47 Raw'!H112</f>
        <v>76.679648999999998</v>
      </c>
      <c r="F128" s="17">
        <f>'AEO 2023 Table 47 Raw'!I112</f>
        <v>84.804374999999993</v>
      </c>
      <c r="G128" s="17">
        <f>'AEO 2023 Table 47 Raw'!J112</f>
        <v>96.071860999999998</v>
      </c>
      <c r="H128" s="17">
        <f>'AEO 2023 Table 47 Raw'!K112</f>
        <v>103.20470400000001</v>
      </c>
      <c r="I128" s="17">
        <f>'AEO 2023 Table 47 Raw'!L112</f>
        <v>109.64166299999999</v>
      </c>
      <c r="J128" s="17">
        <f>'AEO 2023 Table 47 Raw'!M112</f>
        <v>113.054253</v>
      </c>
      <c r="K128" s="17">
        <f>'AEO 2023 Table 47 Raw'!N112</f>
        <v>116.271835</v>
      </c>
      <c r="L128" s="17">
        <f>'AEO 2023 Table 47 Raw'!O112</f>
        <v>118.54128300000001</v>
      </c>
      <c r="M128" s="17">
        <f>'AEO 2023 Table 47 Raw'!P112</f>
        <v>119.45050000000001</v>
      </c>
      <c r="N128" s="17">
        <f>'AEO 2023 Table 47 Raw'!Q112</f>
        <v>120.097984</v>
      </c>
      <c r="O128" s="17">
        <f>'AEO 2023 Table 47 Raw'!R112</f>
        <v>120.730469</v>
      </c>
      <c r="P128" s="17">
        <f>'AEO 2023 Table 47 Raw'!S112</f>
        <v>121.325287</v>
      </c>
      <c r="Q128" s="17">
        <f>'AEO 2023 Table 47 Raw'!T112</f>
        <v>121.94425200000001</v>
      </c>
      <c r="R128" s="17">
        <f>'AEO 2023 Table 47 Raw'!U112</f>
        <v>122.356194</v>
      </c>
      <c r="S128" s="17">
        <f>'AEO 2023 Table 47 Raw'!V112</f>
        <v>122.580017</v>
      </c>
      <c r="T128" s="17">
        <f>'AEO 2023 Table 47 Raw'!W112</f>
        <v>122.83268700000001</v>
      </c>
      <c r="U128" s="17">
        <f>'AEO 2023 Table 47 Raw'!X112</f>
        <v>123.255264</v>
      </c>
      <c r="V128" s="17">
        <f>'AEO 2023 Table 47 Raw'!Y112</f>
        <v>123.997055</v>
      </c>
      <c r="W128" s="17">
        <f>'AEO 2023 Table 47 Raw'!Z112</f>
        <v>125.002296</v>
      </c>
      <c r="X128" s="17">
        <f>'AEO 2023 Table 47 Raw'!AA112</f>
        <v>126.128738</v>
      </c>
      <c r="Y128" s="17">
        <f>'AEO 2023 Table 47 Raw'!AB112</f>
        <v>127.33571600000001</v>
      </c>
      <c r="Z128" s="17">
        <f>'AEO 2023 Table 47 Raw'!AC112</f>
        <v>128.549927</v>
      </c>
      <c r="AA128" s="17">
        <f>'AEO 2023 Table 47 Raw'!AD112</f>
        <v>129.68714900000001</v>
      </c>
      <c r="AB128" s="17">
        <f>'AEO 2023 Table 47 Raw'!AE112</f>
        <v>130.74594099999999</v>
      </c>
      <c r="AC128" s="17">
        <f>'AEO 2023 Table 47 Raw'!AF112</f>
        <v>131.83163500000001</v>
      </c>
      <c r="AD128" s="17">
        <f>'AEO 2023 Table 47 Raw'!AG112</f>
        <v>133.03767400000001</v>
      </c>
      <c r="AE128" s="17">
        <f>'AEO 2023 Table 47 Raw'!AH112</f>
        <v>134.431183</v>
      </c>
      <c r="AF128" s="30">
        <f>'AEO 2023 Table 47 Raw'!AI112</f>
        <v>3.7999999999999999E-2</v>
      </c>
    </row>
    <row r="129" spans="1:32" ht="12" customHeight="1">
      <c r="A129" s="7" t="s">
        <v>658</v>
      </c>
      <c r="B129" s="16" t="s">
        <v>620</v>
      </c>
      <c r="C129" s="17">
        <f>'AEO 2023 Table 47 Raw'!F113</f>
        <v>18.514890999999999</v>
      </c>
      <c r="D129" s="17">
        <f>'AEO 2023 Table 47 Raw'!G113</f>
        <v>23.544308000000001</v>
      </c>
      <c r="E129" s="17">
        <f>'AEO 2023 Table 47 Raw'!H113</f>
        <v>27.278258999999998</v>
      </c>
      <c r="F129" s="17">
        <f>'AEO 2023 Table 47 Raw'!I113</f>
        <v>29.958317000000001</v>
      </c>
      <c r="G129" s="17">
        <f>'AEO 2023 Table 47 Raw'!J113</f>
        <v>33.320217</v>
      </c>
      <c r="H129" s="17">
        <f>'AEO 2023 Table 47 Raw'!K113</f>
        <v>35.412486999999999</v>
      </c>
      <c r="I129" s="17">
        <f>'AEO 2023 Table 47 Raw'!L113</f>
        <v>37.304820999999997</v>
      </c>
      <c r="J129" s="17">
        <f>'AEO 2023 Table 47 Raw'!M113</f>
        <v>38.347121999999999</v>
      </c>
      <c r="K129" s="17">
        <f>'AEO 2023 Table 47 Raw'!N113</f>
        <v>39.329655000000002</v>
      </c>
      <c r="L129" s="17">
        <f>'AEO 2023 Table 47 Raw'!O113</f>
        <v>40.027821000000003</v>
      </c>
      <c r="M129" s="17">
        <f>'AEO 2023 Table 47 Raw'!P113</f>
        <v>40.319026999999998</v>
      </c>
      <c r="N129" s="17">
        <f>'AEO 2023 Table 47 Raw'!Q113</f>
        <v>40.531295999999998</v>
      </c>
      <c r="O129" s="17">
        <f>'AEO 2023 Table 47 Raw'!R113</f>
        <v>40.737929999999999</v>
      </c>
      <c r="P129" s="17">
        <f>'AEO 2023 Table 47 Raw'!S113</f>
        <v>40.931778000000001</v>
      </c>
      <c r="Q129" s="17">
        <f>'AEO 2023 Table 47 Raw'!T113</f>
        <v>41.131241000000003</v>
      </c>
      <c r="R129" s="17">
        <f>'AEO 2023 Table 47 Raw'!U113</f>
        <v>41.267432999999997</v>
      </c>
      <c r="S129" s="17">
        <f>'AEO 2023 Table 47 Raw'!V113</f>
        <v>41.346015999999999</v>
      </c>
      <c r="T129" s="17">
        <f>'AEO 2023 Table 47 Raw'!W113</f>
        <v>41.431797000000003</v>
      </c>
      <c r="U129" s="17">
        <f>'AEO 2023 Table 47 Raw'!X113</f>
        <v>41.566597000000002</v>
      </c>
      <c r="V129" s="17">
        <f>'AEO 2023 Table 47 Raw'!Y113</f>
        <v>41.795025000000003</v>
      </c>
      <c r="W129" s="17">
        <f>'AEO 2023 Table 47 Raw'!Z113</f>
        <v>42.100310999999998</v>
      </c>
      <c r="X129" s="17">
        <f>'AEO 2023 Table 47 Raw'!AA113</f>
        <v>42.440052000000001</v>
      </c>
      <c r="Y129" s="17">
        <f>'AEO 2023 Table 47 Raw'!AB113</f>
        <v>42.802154999999999</v>
      </c>
      <c r="Z129" s="17">
        <f>'AEO 2023 Table 47 Raw'!AC113</f>
        <v>43.164817999999997</v>
      </c>
      <c r="AA129" s="17">
        <f>'AEO 2023 Table 47 Raw'!AD113</f>
        <v>43.502853000000002</v>
      </c>
      <c r="AB129" s="17">
        <f>'AEO 2023 Table 47 Raw'!AE113</f>
        <v>43.815761999999999</v>
      </c>
      <c r="AC129" s="17">
        <f>'AEO 2023 Table 47 Raw'!AF113</f>
        <v>44.134929999999997</v>
      </c>
      <c r="AD129" s="17">
        <f>'AEO 2023 Table 47 Raw'!AG113</f>
        <v>44.488182000000002</v>
      </c>
      <c r="AE129" s="17">
        <f>'AEO 2023 Table 47 Raw'!AH113</f>
        <v>44.895415999999997</v>
      </c>
      <c r="AF129" s="30">
        <f>'AEO 2023 Table 47 Raw'!AI113</f>
        <v>3.2000000000000001E-2</v>
      </c>
    </row>
    <row r="130" spans="1:32" ht="12" customHeight="1">
      <c r="A130" s="7" t="s">
        <v>659</v>
      </c>
      <c r="B130" s="16" t="s">
        <v>606</v>
      </c>
      <c r="C130" s="17">
        <f>'AEO 2023 Table 47 Raw'!F114</f>
        <v>28.078714000000002</v>
      </c>
      <c r="D130" s="17">
        <f>'AEO 2023 Table 47 Raw'!G114</f>
        <v>39.546764000000003</v>
      </c>
      <c r="E130" s="17">
        <f>'AEO 2023 Table 47 Raw'!H114</f>
        <v>48.440437000000003</v>
      </c>
      <c r="F130" s="17">
        <f>'AEO 2023 Table 47 Raw'!I114</f>
        <v>53.814338999999997</v>
      </c>
      <c r="G130" s="17">
        <f>'AEO 2023 Table 47 Raw'!J114</f>
        <v>61.674225</v>
      </c>
      <c r="H130" s="17">
        <f>'AEO 2023 Table 47 Raw'!K114</f>
        <v>66.691176999999996</v>
      </c>
      <c r="I130" s="17">
        <f>'AEO 2023 Table 47 Raw'!L114</f>
        <v>71.213875000000002</v>
      </c>
      <c r="J130" s="17">
        <f>'AEO 2023 Table 47 Raw'!M114</f>
        <v>73.566772</v>
      </c>
      <c r="K130" s="17">
        <f>'AEO 2023 Table 47 Raw'!N114</f>
        <v>75.785445999999993</v>
      </c>
      <c r="L130" s="17">
        <f>'AEO 2023 Table 47 Raw'!O114</f>
        <v>77.344414</v>
      </c>
      <c r="M130" s="17">
        <f>'AEO 2023 Table 47 Raw'!P114</f>
        <v>77.955794999999995</v>
      </c>
      <c r="N130" s="17">
        <f>'AEO 2023 Table 47 Raw'!Q114</f>
        <v>78.385551000000007</v>
      </c>
      <c r="O130" s="17">
        <f>'AEO 2023 Table 47 Raw'!R114</f>
        <v>78.806213</v>
      </c>
      <c r="P130" s="17">
        <f>'AEO 2023 Table 47 Raw'!S114</f>
        <v>79.202354</v>
      </c>
      <c r="Q130" s="17">
        <f>'AEO 2023 Table 47 Raw'!T114</f>
        <v>79.617142000000001</v>
      </c>
      <c r="R130" s="17">
        <f>'AEO 2023 Table 47 Raw'!U114</f>
        <v>79.889267000000004</v>
      </c>
      <c r="S130" s="17">
        <f>'AEO 2023 Table 47 Raw'!V114</f>
        <v>80.031859999999995</v>
      </c>
      <c r="T130" s="17">
        <f>'AEO 2023 Table 47 Raw'!W114</f>
        <v>80.196190000000001</v>
      </c>
      <c r="U130" s="17">
        <f>'AEO 2023 Table 47 Raw'!X114</f>
        <v>80.480971999999994</v>
      </c>
      <c r="V130" s="17">
        <f>'AEO 2023 Table 47 Raw'!Y114</f>
        <v>80.990279999999998</v>
      </c>
      <c r="W130" s="17">
        <f>'AEO 2023 Table 47 Raw'!Z114</f>
        <v>81.685349000000002</v>
      </c>
      <c r="X130" s="17">
        <f>'AEO 2023 Table 47 Raw'!AA114</f>
        <v>82.466942000000003</v>
      </c>
      <c r="Y130" s="17">
        <f>'AEO 2023 Table 47 Raw'!AB114</f>
        <v>83.306633000000005</v>
      </c>
      <c r="Z130" s="17">
        <f>'AEO 2023 Table 47 Raw'!AC114</f>
        <v>84.153221000000002</v>
      </c>
      <c r="AA130" s="17">
        <f>'AEO 2023 Table 47 Raw'!AD114</f>
        <v>84.947968000000003</v>
      </c>
      <c r="AB130" s="17">
        <f>'AEO 2023 Table 47 Raw'!AE114</f>
        <v>85.690010000000001</v>
      </c>
      <c r="AC130" s="17">
        <f>'AEO 2023 Table 47 Raw'!AF114</f>
        <v>86.452820000000003</v>
      </c>
      <c r="AD130" s="17">
        <f>'AEO 2023 Table 47 Raw'!AG114</f>
        <v>87.301688999999996</v>
      </c>
      <c r="AE130" s="17">
        <f>'AEO 2023 Table 47 Raw'!AH114</f>
        <v>88.283600000000007</v>
      </c>
      <c r="AF130" s="30">
        <f>'AEO 2023 Table 47 Raw'!AI114</f>
        <v>4.2000000000000003E-2</v>
      </c>
    </row>
    <row r="131" spans="1:32" ht="12" customHeight="1">
      <c r="A131" s="7" t="s">
        <v>660</v>
      </c>
      <c r="B131" s="16" t="s">
        <v>608</v>
      </c>
      <c r="C131" s="17">
        <f>'AEO 2023 Table 47 Raw'!F115</f>
        <v>0.84932799999999997</v>
      </c>
      <c r="D131" s="17">
        <f>'AEO 2023 Table 47 Raw'!G115</f>
        <v>0.89373599999999997</v>
      </c>
      <c r="E131" s="17">
        <f>'AEO 2023 Table 47 Raw'!H115</f>
        <v>0.960955</v>
      </c>
      <c r="F131" s="17">
        <f>'AEO 2023 Table 47 Raw'!I115</f>
        <v>1.031712</v>
      </c>
      <c r="G131" s="17">
        <f>'AEO 2023 Table 47 Raw'!J115</f>
        <v>1.077413</v>
      </c>
      <c r="H131" s="17">
        <f>'AEO 2023 Table 47 Raw'!K115</f>
        <v>1.10103</v>
      </c>
      <c r="I131" s="17">
        <f>'AEO 2023 Table 47 Raw'!L115</f>
        <v>1.1229610000000001</v>
      </c>
      <c r="J131" s="17">
        <f>'AEO 2023 Table 47 Raw'!M115</f>
        <v>1.14036</v>
      </c>
      <c r="K131" s="17">
        <f>'AEO 2023 Table 47 Raw'!N115</f>
        <v>1.1567350000000001</v>
      </c>
      <c r="L131" s="17">
        <f>'AEO 2023 Table 47 Raw'!O115</f>
        <v>1.169046</v>
      </c>
      <c r="M131" s="17">
        <f>'AEO 2023 Table 47 Raw'!P115</f>
        <v>1.1756770000000001</v>
      </c>
      <c r="N131" s="17">
        <f>'AEO 2023 Table 47 Raw'!Q115</f>
        <v>1.1811229999999999</v>
      </c>
      <c r="O131" s="17">
        <f>'AEO 2023 Table 47 Raw'!R115</f>
        <v>1.186334</v>
      </c>
      <c r="P131" s="17">
        <f>'AEO 2023 Table 47 Raw'!S115</f>
        <v>1.1911659999999999</v>
      </c>
      <c r="Q131" s="17">
        <f>'AEO 2023 Table 47 Raw'!T115</f>
        <v>1.1958610000000001</v>
      </c>
      <c r="R131" s="17">
        <f>'AEO 2023 Table 47 Raw'!U115</f>
        <v>1.1994929999999999</v>
      </c>
      <c r="S131" s="17">
        <f>'AEO 2023 Table 47 Raw'!V115</f>
        <v>1.2021440000000001</v>
      </c>
      <c r="T131" s="17">
        <f>'AEO 2023 Table 47 Raw'!W115</f>
        <v>1.2047049999999999</v>
      </c>
      <c r="U131" s="17">
        <f>'AEO 2023 Table 47 Raw'!X115</f>
        <v>1.2077059999999999</v>
      </c>
      <c r="V131" s="17">
        <f>'AEO 2023 Table 47 Raw'!Y115</f>
        <v>1.2117629999999999</v>
      </c>
      <c r="W131" s="17">
        <f>'AEO 2023 Table 47 Raw'!Z115</f>
        <v>1.2166319999999999</v>
      </c>
      <c r="X131" s="17">
        <f>'AEO 2023 Table 47 Raw'!AA115</f>
        <v>1.221738</v>
      </c>
      <c r="Y131" s="17">
        <f>'AEO 2023 Table 47 Raw'!AB115</f>
        <v>1.226926</v>
      </c>
      <c r="Z131" s="17">
        <f>'AEO 2023 Table 47 Raw'!AC115</f>
        <v>1.231905</v>
      </c>
      <c r="AA131" s="17">
        <f>'AEO 2023 Table 47 Raw'!AD115</f>
        <v>1.2363299999999999</v>
      </c>
      <c r="AB131" s="17">
        <f>'AEO 2023 Table 47 Raw'!AE115</f>
        <v>1.2401800000000001</v>
      </c>
      <c r="AC131" s="17">
        <f>'AEO 2023 Table 47 Raw'!AF115</f>
        <v>1.243879</v>
      </c>
      <c r="AD131" s="17">
        <f>'AEO 2023 Table 47 Raw'!AG115</f>
        <v>1.247797</v>
      </c>
      <c r="AE131" s="17">
        <f>'AEO 2023 Table 47 Raw'!AH115</f>
        <v>1.2521850000000001</v>
      </c>
      <c r="AF131" s="30">
        <f>'AEO 2023 Table 47 Raw'!AI115</f>
        <v>1.4E-2</v>
      </c>
    </row>
    <row r="132" spans="1:32" ht="12" customHeight="1">
      <c r="A132" s="7" t="s">
        <v>661</v>
      </c>
      <c r="B132" s="16" t="s">
        <v>610</v>
      </c>
      <c r="C132" s="17">
        <f>'AEO 2023 Table 47 Raw'!F116</f>
        <v>142.31442300000001</v>
      </c>
      <c r="D132" s="17">
        <f>'AEO 2023 Table 47 Raw'!G116</f>
        <v>151.89007599999999</v>
      </c>
      <c r="E132" s="17">
        <f>'AEO 2023 Table 47 Raw'!H116</f>
        <v>163.864655</v>
      </c>
      <c r="F132" s="17">
        <f>'AEO 2023 Table 47 Raw'!I116</f>
        <v>171.73625200000001</v>
      </c>
      <c r="G132" s="17">
        <f>'AEO 2023 Table 47 Raw'!J116</f>
        <v>178.46945199999999</v>
      </c>
      <c r="H132" s="17">
        <f>'AEO 2023 Table 47 Raw'!K116</f>
        <v>183.10032699999999</v>
      </c>
      <c r="I132" s="17">
        <f>'AEO 2023 Table 47 Raw'!L116</f>
        <v>186.982193</v>
      </c>
      <c r="J132" s="17">
        <f>'AEO 2023 Table 47 Raw'!M116</f>
        <v>189.93190000000001</v>
      </c>
      <c r="K132" s="17">
        <f>'AEO 2023 Table 47 Raw'!N116</f>
        <v>192.93220500000001</v>
      </c>
      <c r="L132" s="17">
        <f>'AEO 2023 Table 47 Raw'!O116</f>
        <v>196.037003</v>
      </c>
      <c r="M132" s="17">
        <f>'AEO 2023 Table 47 Raw'!P116</f>
        <v>199.21478300000001</v>
      </c>
      <c r="N132" s="17">
        <f>'AEO 2023 Table 47 Raw'!Q116</f>
        <v>202.44252</v>
      </c>
      <c r="O132" s="17">
        <f>'AEO 2023 Table 47 Raw'!R116</f>
        <v>205.73057600000001</v>
      </c>
      <c r="P132" s="17">
        <f>'AEO 2023 Table 47 Raw'!S116</f>
        <v>209.08891299999999</v>
      </c>
      <c r="Q132" s="17">
        <f>'AEO 2023 Table 47 Raw'!T116</f>
        <v>212.51480100000001</v>
      </c>
      <c r="R132" s="17">
        <f>'AEO 2023 Table 47 Raw'!U116</f>
        <v>216.002655</v>
      </c>
      <c r="S132" s="17">
        <f>'AEO 2023 Table 47 Raw'!V116</f>
        <v>219.55929599999999</v>
      </c>
      <c r="T132" s="17">
        <f>'AEO 2023 Table 47 Raw'!W116</f>
        <v>223.19146699999999</v>
      </c>
      <c r="U132" s="17">
        <f>'AEO 2023 Table 47 Raw'!X116</f>
        <v>226.899384</v>
      </c>
      <c r="V132" s="17">
        <f>'AEO 2023 Table 47 Raw'!Y116</f>
        <v>230.68907200000001</v>
      </c>
      <c r="W132" s="17">
        <f>'AEO 2023 Table 47 Raw'!Z116</f>
        <v>234.55947900000001</v>
      </c>
      <c r="X132" s="17">
        <f>'AEO 2023 Table 47 Raw'!AA116</f>
        <v>238.509064</v>
      </c>
      <c r="Y132" s="17">
        <f>'AEO 2023 Table 47 Raw'!AB116</f>
        <v>242.53810100000001</v>
      </c>
      <c r="Z132" s="17">
        <f>'AEO 2023 Table 47 Raw'!AC116</f>
        <v>246.64561499999999</v>
      </c>
      <c r="AA132" s="17">
        <f>'AEO 2023 Table 47 Raw'!AD116</f>
        <v>250.83862300000001</v>
      </c>
      <c r="AB132" s="17">
        <f>'AEO 2023 Table 47 Raw'!AE116</f>
        <v>255.11831699999999</v>
      </c>
      <c r="AC132" s="17">
        <f>'AEO 2023 Table 47 Raw'!AF116</f>
        <v>259.48089599999997</v>
      </c>
      <c r="AD132" s="17">
        <f>'AEO 2023 Table 47 Raw'!AG116</f>
        <v>263.92275999999998</v>
      </c>
      <c r="AE132" s="17">
        <f>'AEO 2023 Table 47 Raw'!AH116</f>
        <v>268.437927</v>
      </c>
      <c r="AF132" s="30">
        <f>'AEO 2023 Table 47 Raw'!AI116</f>
        <v>2.3E-2</v>
      </c>
    </row>
    <row r="133" spans="1:32" ht="12" customHeight="1">
      <c r="A133" s="7" t="s">
        <v>662</v>
      </c>
      <c r="B133" s="16" t="s">
        <v>622</v>
      </c>
      <c r="C133" s="17">
        <f>'AEO 2023 Table 47 Raw'!F117</f>
        <v>110.081108</v>
      </c>
      <c r="D133" s="17">
        <f>'AEO 2023 Table 47 Raw'!G117</f>
        <v>115.58123000000001</v>
      </c>
      <c r="E133" s="17">
        <f>'AEO 2023 Table 47 Raw'!H117</f>
        <v>122.967361</v>
      </c>
      <c r="F133" s="17">
        <f>'AEO 2023 Table 47 Raw'!I117</f>
        <v>127.819969</v>
      </c>
      <c r="G133" s="17">
        <f>'AEO 2023 Table 47 Raw'!J117</f>
        <v>132.20107999999999</v>
      </c>
      <c r="H133" s="17">
        <f>'AEO 2023 Table 47 Raw'!K117</f>
        <v>135.314087</v>
      </c>
      <c r="I133" s="17">
        <f>'AEO 2023 Table 47 Raw'!L117</f>
        <v>137.98341400000001</v>
      </c>
      <c r="J133" s="17">
        <f>'AEO 2023 Table 47 Raw'!M117</f>
        <v>140.101517</v>
      </c>
      <c r="K133" s="17">
        <f>'AEO 2023 Table 47 Raw'!N117</f>
        <v>142.25581399999999</v>
      </c>
      <c r="L133" s="17">
        <f>'AEO 2023 Table 47 Raw'!O117</f>
        <v>144.48762500000001</v>
      </c>
      <c r="M133" s="17">
        <f>'AEO 2023 Table 47 Raw'!P117</f>
        <v>146.77302599999999</v>
      </c>
      <c r="N133" s="17">
        <f>'AEO 2023 Table 47 Raw'!Q117</f>
        <v>149.094009</v>
      </c>
      <c r="O133" s="17">
        <f>'AEO 2023 Table 47 Raw'!R117</f>
        <v>151.45791600000001</v>
      </c>
      <c r="P133" s="17">
        <f>'AEO 2023 Table 47 Raw'!S117</f>
        <v>153.87184099999999</v>
      </c>
      <c r="Q133" s="17">
        <f>'AEO 2023 Table 47 Raw'!T117</f>
        <v>156.33377100000001</v>
      </c>
      <c r="R133" s="17">
        <f>'AEO 2023 Table 47 Raw'!U117</f>
        <v>158.83955399999999</v>
      </c>
      <c r="S133" s="17">
        <f>'AEO 2023 Table 47 Raw'!V117</f>
        <v>161.39404300000001</v>
      </c>
      <c r="T133" s="17">
        <f>'AEO 2023 Table 47 Raw'!W117</f>
        <v>164.00202899999999</v>
      </c>
      <c r="U133" s="17">
        <f>'AEO 2023 Table 47 Raw'!X117</f>
        <v>166.662949</v>
      </c>
      <c r="V133" s="17">
        <f>'AEO 2023 Table 47 Raw'!Y117</f>
        <v>169.381439</v>
      </c>
      <c r="W133" s="17">
        <f>'AEO 2023 Table 47 Raw'!Z117</f>
        <v>172.15664699999999</v>
      </c>
      <c r="X133" s="17">
        <f>'AEO 2023 Table 47 Raw'!AA117</f>
        <v>174.987381</v>
      </c>
      <c r="Y133" s="17">
        <f>'AEO 2023 Table 47 Raw'!AB117</f>
        <v>177.87385599999999</v>
      </c>
      <c r="Z133" s="17">
        <f>'AEO 2023 Table 47 Raw'!AC117</f>
        <v>180.81530799999999</v>
      </c>
      <c r="AA133" s="17">
        <f>'AEO 2023 Table 47 Raw'!AD117</f>
        <v>183.81668099999999</v>
      </c>
      <c r="AB133" s="17">
        <f>'AEO 2023 Table 47 Raw'!AE117</f>
        <v>186.878784</v>
      </c>
      <c r="AC133" s="17">
        <f>'AEO 2023 Table 47 Raw'!AF117</f>
        <v>189.99884</v>
      </c>
      <c r="AD133" s="17">
        <f>'AEO 2023 Table 47 Raw'!AG117</f>
        <v>193.17420999999999</v>
      </c>
      <c r="AE133" s="17">
        <f>'AEO 2023 Table 47 Raw'!AH117</f>
        <v>196.40057400000001</v>
      </c>
      <c r="AF133" s="30">
        <f>'AEO 2023 Table 47 Raw'!AI117</f>
        <v>2.1000000000000001E-2</v>
      </c>
    </row>
    <row r="134" spans="1:32" ht="12" customHeight="1">
      <c r="A134" s="7" t="s">
        <v>663</v>
      </c>
      <c r="B134" s="16" t="s">
        <v>606</v>
      </c>
      <c r="C134" s="17">
        <f>'AEO 2023 Table 47 Raw'!F118</f>
        <v>17.723891999999999</v>
      </c>
      <c r="D134" s="17">
        <f>'AEO 2023 Table 47 Raw'!G118</f>
        <v>21.558128</v>
      </c>
      <c r="E134" s="17">
        <f>'AEO 2023 Table 47 Raw'!H118</f>
        <v>25.640647999999999</v>
      </c>
      <c r="F134" s="17">
        <f>'AEO 2023 Table 47 Raw'!I118</f>
        <v>28.409416</v>
      </c>
      <c r="G134" s="17">
        <f>'AEO 2023 Table 47 Raw'!J118</f>
        <v>30.442050999999999</v>
      </c>
      <c r="H134" s="17">
        <f>'AEO 2023 Table 47 Raw'!K118</f>
        <v>31.694476999999999</v>
      </c>
      <c r="I134" s="17">
        <f>'AEO 2023 Table 47 Raw'!L118</f>
        <v>32.657162</v>
      </c>
      <c r="J134" s="17">
        <f>'AEO 2023 Table 47 Raw'!M118</f>
        <v>33.257838999999997</v>
      </c>
      <c r="K134" s="17">
        <f>'AEO 2023 Table 47 Raw'!N118</f>
        <v>33.868983999999998</v>
      </c>
      <c r="L134" s="17">
        <f>'AEO 2023 Table 47 Raw'!O118</f>
        <v>34.497799000000001</v>
      </c>
      <c r="M134" s="17">
        <f>'AEO 2023 Table 47 Raw'!P118</f>
        <v>35.139740000000003</v>
      </c>
      <c r="N134" s="17">
        <f>'AEO 2023 Table 47 Raw'!Q118</f>
        <v>35.792296999999998</v>
      </c>
      <c r="O134" s="17">
        <f>'AEO 2023 Table 47 Raw'!R118</f>
        <v>36.457706000000002</v>
      </c>
      <c r="P134" s="17">
        <f>'AEO 2023 Table 47 Raw'!S118</f>
        <v>37.138069000000002</v>
      </c>
      <c r="Q134" s="17">
        <f>'AEO 2023 Table 47 Raw'!T118</f>
        <v>37.832951000000001</v>
      </c>
      <c r="R134" s="17">
        <f>'AEO 2023 Table 47 Raw'!U118</f>
        <v>38.541350999999999</v>
      </c>
      <c r="S134" s="17">
        <f>'AEO 2023 Table 47 Raw'!V118</f>
        <v>39.264755000000001</v>
      </c>
      <c r="T134" s="17">
        <f>'AEO 2023 Table 47 Raw'!W118</f>
        <v>40.004631000000003</v>
      </c>
      <c r="U134" s="17">
        <f>'AEO 2023 Table 47 Raw'!X118</f>
        <v>40.762042999999998</v>
      </c>
      <c r="V134" s="17">
        <f>'AEO 2023 Table 47 Raw'!Y118</f>
        <v>41.537818999999999</v>
      </c>
      <c r="W134" s="17">
        <f>'AEO 2023 Table 47 Raw'!Z118</f>
        <v>42.331817999999998</v>
      </c>
      <c r="X134" s="17">
        <f>'AEO 2023 Table 47 Raw'!AA118</f>
        <v>43.143847999999998</v>
      </c>
      <c r="Y134" s="17">
        <f>'AEO 2023 Table 47 Raw'!AB118</f>
        <v>43.973972000000003</v>
      </c>
      <c r="Z134" s="17">
        <f>'AEO 2023 Table 47 Raw'!AC118</f>
        <v>44.822124000000002</v>
      </c>
      <c r="AA134" s="17">
        <f>'AEO 2023 Table 47 Raw'!AD118</f>
        <v>45.689816</v>
      </c>
      <c r="AB134" s="17">
        <f>'AEO 2023 Table 47 Raw'!AE118</f>
        <v>46.577365999999998</v>
      </c>
      <c r="AC134" s="17">
        <f>'AEO 2023 Table 47 Raw'!AF118</f>
        <v>47.484093000000001</v>
      </c>
      <c r="AD134" s="17">
        <f>'AEO 2023 Table 47 Raw'!AG118</f>
        <v>48.409294000000003</v>
      </c>
      <c r="AE134" s="17">
        <f>'AEO 2023 Table 47 Raw'!AH118</f>
        <v>49.351832999999999</v>
      </c>
      <c r="AF134" s="30">
        <f>'AEO 2023 Table 47 Raw'!AI118</f>
        <v>3.6999999999999998E-2</v>
      </c>
    </row>
    <row r="135" spans="1:32" ht="12" customHeight="1">
      <c r="A135" s="7" t="s">
        <v>664</v>
      </c>
      <c r="B135" s="16" t="s">
        <v>608</v>
      </c>
      <c r="C135" s="17">
        <f>'AEO 2023 Table 47 Raw'!F119</f>
        <v>14.50943</v>
      </c>
      <c r="D135" s="17">
        <f>'AEO 2023 Table 47 Raw'!G119</f>
        <v>14.750728000000001</v>
      </c>
      <c r="E135" s="17">
        <f>'AEO 2023 Table 47 Raw'!H119</f>
        <v>15.256656</v>
      </c>
      <c r="F135" s="17">
        <f>'AEO 2023 Table 47 Raw'!I119</f>
        <v>15.506875000000001</v>
      </c>
      <c r="G135" s="17">
        <f>'AEO 2023 Table 47 Raw'!J119</f>
        <v>15.82633</v>
      </c>
      <c r="H135" s="17">
        <f>'AEO 2023 Table 47 Raw'!K119</f>
        <v>16.091740000000001</v>
      </c>
      <c r="I135" s="17">
        <f>'AEO 2023 Table 47 Raw'!L119</f>
        <v>16.341602000000002</v>
      </c>
      <c r="J135" s="17">
        <f>'AEO 2023 Table 47 Raw'!M119</f>
        <v>16.572548000000001</v>
      </c>
      <c r="K135" s="17">
        <f>'AEO 2023 Table 47 Raw'!N119</f>
        <v>16.807404999999999</v>
      </c>
      <c r="L135" s="17">
        <f>'AEO 2023 Table 47 Raw'!O119</f>
        <v>17.051577000000002</v>
      </c>
      <c r="M135" s="17">
        <f>'AEO 2023 Table 47 Raw'!P119</f>
        <v>17.302004</v>
      </c>
      <c r="N135" s="17">
        <f>'AEO 2023 Table 47 Raw'!Q119</f>
        <v>17.556206</v>
      </c>
      <c r="O135" s="17">
        <f>'AEO 2023 Table 47 Raw'!R119</f>
        <v>17.814955000000001</v>
      </c>
      <c r="P135" s="17">
        <f>'AEO 2023 Table 47 Raw'!S119</f>
        <v>18.079001999999999</v>
      </c>
      <c r="Q135" s="17">
        <f>'AEO 2023 Table 47 Raw'!T119</f>
        <v>18.348101</v>
      </c>
      <c r="R135" s="17">
        <f>'AEO 2023 Table 47 Raw'!U119</f>
        <v>18.621765</v>
      </c>
      <c r="S135" s="17">
        <f>'AEO 2023 Table 47 Raw'!V119</f>
        <v>18.900500999999998</v>
      </c>
      <c r="T135" s="17">
        <f>'AEO 2023 Table 47 Raw'!W119</f>
        <v>19.184811</v>
      </c>
      <c r="U135" s="17">
        <f>'AEO 2023 Table 47 Raw'!X119</f>
        <v>19.474388000000001</v>
      </c>
      <c r="V135" s="17">
        <f>'AEO 2023 Table 47 Raw'!Y119</f>
        <v>19.769831</v>
      </c>
      <c r="W135" s="17">
        <f>'AEO 2023 Table 47 Raw'!Z119</f>
        <v>20.071031999999999</v>
      </c>
      <c r="X135" s="17">
        <f>'AEO 2023 Table 47 Raw'!AA119</f>
        <v>20.377831</v>
      </c>
      <c r="Y135" s="17">
        <f>'AEO 2023 Table 47 Raw'!AB119</f>
        <v>20.690248</v>
      </c>
      <c r="Z135" s="17">
        <f>'AEO 2023 Table 47 Raw'!AC119</f>
        <v>21.008171000000001</v>
      </c>
      <c r="AA135" s="17">
        <f>'AEO 2023 Table 47 Raw'!AD119</f>
        <v>21.332118999999999</v>
      </c>
      <c r="AB135" s="17">
        <f>'AEO 2023 Table 47 Raw'!AE119</f>
        <v>21.662158999999999</v>
      </c>
      <c r="AC135" s="17">
        <f>'AEO 2023 Table 47 Raw'!AF119</f>
        <v>21.997971</v>
      </c>
      <c r="AD135" s="17">
        <f>'AEO 2023 Table 47 Raw'!AG119</f>
        <v>22.339255999999999</v>
      </c>
      <c r="AE135" s="17">
        <f>'AEO 2023 Table 47 Raw'!AH119</f>
        <v>22.685524000000001</v>
      </c>
      <c r="AF135" s="30">
        <f>'AEO 2023 Table 47 Raw'!AI119</f>
        <v>1.6E-2</v>
      </c>
    </row>
    <row r="136" spans="1:32" ht="12" customHeight="1">
      <c r="A136" s="7" t="s">
        <v>665</v>
      </c>
      <c r="B136" s="16" t="s">
        <v>610</v>
      </c>
      <c r="C136" s="17">
        <f>'AEO 2023 Table 47 Raw'!F120</f>
        <v>48.721522999999998</v>
      </c>
      <c r="D136" s="17">
        <f>'AEO 2023 Table 47 Raw'!G120</f>
        <v>61.768990000000002</v>
      </c>
      <c r="E136" s="17">
        <f>'AEO 2023 Table 47 Raw'!H120</f>
        <v>73.845116000000004</v>
      </c>
      <c r="F136" s="17">
        <f>'AEO 2023 Table 47 Raw'!I120</f>
        <v>82.664268000000007</v>
      </c>
      <c r="G136" s="17">
        <f>'AEO 2023 Table 47 Raw'!J120</f>
        <v>90.551765000000003</v>
      </c>
      <c r="H136" s="17">
        <f>'AEO 2023 Table 47 Raw'!K120</f>
        <v>94.869156000000004</v>
      </c>
      <c r="I136" s="17">
        <f>'AEO 2023 Table 47 Raw'!L120</f>
        <v>98.194419999999994</v>
      </c>
      <c r="J136" s="17">
        <f>'AEO 2023 Table 47 Raw'!M120</f>
        <v>100.99239300000001</v>
      </c>
      <c r="K136" s="17">
        <f>'AEO 2023 Table 47 Raw'!N120</f>
        <v>103.867386</v>
      </c>
      <c r="L136" s="17">
        <f>'AEO 2023 Table 47 Raw'!O120</f>
        <v>106.882401</v>
      </c>
      <c r="M136" s="17">
        <f>'AEO 2023 Table 47 Raw'!P120</f>
        <v>109.995766</v>
      </c>
      <c r="N136" s="17">
        <f>'AEO 2023 Table 47 Raw'!Q120</f>
        <v>113.19216900000001</v>
      </c>
      <c r="O136" s="17">
        <f>'AEO 2023 Table 47 Raw'!R120</f>
        <v>116.47422</v>
      </c>
      <c r="P136" s="17">
        <f>'AEO 2023 Table 47 Raw'!S120</f>
        <v>119.84822800000001</v>
      </c>
      <c r="Q136" s="17">
        <f>'AEO 2023 Table 47 Raw'!T120</f>
        <v>123.249786</v>
      </c>
      <c r="R136" s="17">
        <f>'AEO 2023 Table 47 Raw'!U120</f>
        <v>126.73764799999999</v>
      </c>
      <c r="S136" s="17">
        <f>'AEO 2023 Table 47 Raw'!V120</f>
        <v>130.315765</v>
      </c>
      <c r="T136" s="17">
        <f>'AEO 2023 Table 47 Raw'!W120</f>
        <v>133.98472599999999</v>
      </c>
      <c r="U136" s="17">
        <f>'AEO 2023 Table 47 Raw'!X120</f>
        <v>137.747986</v>
      </c>
      <c r="V136" s="17">
        <f>'AEO 2023 Table 47 Raw'!Y120</f>
        <v>141.534378</v>
      </c>
      <c r="W136" s="17">
        <f>'AEO 2023 Table 47 Raw'!Z120</f>
        <v>145.41456600000001</v>
      </c>
      <c r="X136" s="17">
        <f>'AEO 2023 Table 47 Raw'!AA120</f>
        <v>149.39035000000001</v>
      </c>
      <c r="Y136" s="17">
        <f>'AEO 2023 Table 47 Raw'!AB120</f>
        <v>153.46047999999999</v>
      </c>
      <c r="Z136" s="17">
        <f>'AEO 2023 Table 47 Raw'!AC120</f>
        <v>157.62562600000001</v>
      </c>
      <c r="AA136" s="17">
        <f>'AEO 2023 Table 47 Raw'!AD120</f>
        <v>161.804001</v>
      </c>
      <c r="AB136" s="17">
        <f>'AEO 2023 Table 47 Raw'!AE120</f>
        <v>166.075638</v>
      </c>
      <c r="AC136" s="17">
        <f>'AEO 2023 Table 47 Raw'!AF120</f>
        <v>170.446091</v>
      </c>
      <c r="AD136" s="17">
        <f>'AEO 2023 Table 47 Raw'!AG120</f>
        <v>174.919006</v>
      </c>
      <c r="AE136" s="17">
        <f>'AEO 2023 Table 47 Raw'!AH120</f>
        <v>179.497559</v>
      </c>
      <c r="AF136" s="30">
        <f>'AEO 2023 Table 47 Raw'!AI120</f>
        <v>4.8000000000000001E-2</v>
      </c>
    </row>
    <row r="137" spans="1:32" ht="12" customHeight="1">
      <c r="A137" s="7" t="s">
        <v>666</v>
      </c>
      <c r="B137" s="16" t="s">
        <v>624</v>
      </c>
      <c r="C137" s="17">
        <f>'AEO 2023 Table 47 Raw'!F121</f>
        <v>40.367882000000002</v>
      </c>
      <c r="D137" s="17">
        <f>'AEO 2023 Table 47 Raw'!G121</f>
        <v>51.182053000000003</v>
      </c>
      <c r="E137" s="17">
        <f>'AEO 2023 Table 47 Raw'!H121</f>
        <v>61.307991000000001</v>
      </c>
      <c r="F137" s="17">
        <f>'AEO 2023 Table 47 Raw'!I121</f>
        <v>68.604468999999995</v>
      </c>
      <c r="G137" s="17">
        <f>'AEO 2023 Table 47 Raw'!J121</f>
        <v>75.149856999999997</v>
      </c>
      <c r="H137" s="17">
        <f>'AEO 2023 Table 47 Raw'!K121</f>
        <v>78.746758</v>
      </c>
      <c r="I137" s="17">
        <f>'AEO 2023 Table 47 Raw'!L121</f>
        <v>81.512482000000006</v>
      </c>
      <c r="J137" s="17">
        <f>'AEO 2023 Table 47 Raw'!M121</f>
        <v>83.836219999999997</v>
      </c>
      <c r="K137" s="17">
        <f>'AEO 2023 Table 47 Raw'!N121</f>
        <v>86.223915000000005</v>
      </c>
      <c r="L137" s="17">
        <f>'AEO 2023 Table 47 Raw'!O121</f>
        <v>88.727737000000005</v>
      </c>
      <c r="M137" s="17">
        <f>'AEO 2023 Table 47 Raw'!P121</f>
        <v>91.313179000000005</v>
      </c>
      <c r="N137" s="17">
        <f>'AEO 2023 Table 47 Raw'!Q121</f>
        <v>93.967590000000001</v>
      </c>
      <c r="O137" s="17">
        <f>'AEO 2023 Table 47 Raw'!R121</f>
        <v>96.693107999999995</v>
      </c>
      <c r="P137" s="17">
        <f>'AEO 2023 Table 47 Raw'!S121</f>
        <v>99.494986999999995</v>
      </c>
      <c r="Q137" s="17">
        <f>'AEO 2023 Table 47 Raw'!T121</f>
        <v>102.32</v>
      </c>
      <c r="R137" s="17">
        <f>'AEO 2023 Table 47 Raw'!U121</f>
        <v>105.216705</v>
      </c>
      <c r="S137" s="17">
        <f>'AEO 2023 Table 47 Raw'!V121</f>
        <v>108.188377</v>
      </c>
      <c r="T137" s="17">
        <f>'AEO 2023 Table 47 Raw'!W121</f>
        <v>111.235527</v>
      </c>
      <c r="U137" s="17">
        <f>'AEO 2023 Table 47 Raw'!X121</f>
        <v>114.361046</v>
      </c>
      <c r="V137" s="17">
        <f>'AEO 2023 Table 47 Raw'!Y121</f>
        <v>117.506035</v>
      </c>
      <c r="W137" s="17">
        <f>'AEO 2023 Table 47 Raw'!Z121</f>
        <v>120.728973</v>
      </c>
      <c r="X137" s="17">
        <f>'AEO 2023 Table 47 Raw'!AA121</f>
        <v>124.031364</v>
      </c>
      <c r="Y137" s="17">
        <f>'AEO 2023 Table 47 Raw'!AB121</f>
        <v>127.412148</v>
      </c>
      <c r="Z137" s="17">
        <f>'AEO 2023 Table 47 Raw'!AC121</f>
        <v>130.871872</v>
      </c>
      <c r="AA137" s="17">
        <f>'AEO 2023 Table 47 Raw'!AD121</f>
        <v>134.342804</v>
      </c>
      <c r="AB137" s="17">
        <f>'AEO 2023 Table 47 Raw'!AE121</f>
        <v>137.89123499999999</v>
      </c>
      <c r="AC137" s="17">
        <f>'AEO 2023 Table 47 Raw'!AF121</f>
        <v>141.52177399999999</v>
      </c>
      <c r="AD137" s="17">
        <f>'AEO 2023 Table 47 Raw'!AG121</f>
        <v>145.23748800000001</v>
      </c>
      <c r="AE137" s="17">
        <f>'AEO 2023 Table 47 Raw'!AH121</f>
        <v>149.04101600000001</v>
      </c>
      <c r="AF137" s="30">
        <f>'AEO 2023 Table 47 Raw'!AI121</f>
        <v>4.8000000000000001E-2</v>
      </c>
    </row>
    <row r="138" spans="1:32" ht="12" customHeight="1">
      <c r="A138" s="7" t="s">
        <v>667</v>
      </c>
      <c r="B138" s="16" t="s">
        <v>606</v>
      </c>
      <c r="C138" s="17">
        <f>'AEO 2023 Table 47 Raw'!F122</f>
        <v>4.8107499999999996</v>
      </c>
      <c r="D138" s="17">
        <f>'AEO 2023 Table 47 Raw'!G122</f>
        <v>6.1307200000000002</v>
      </c>
      <c r="E138" s="17">
        <f>'AEO 2023 Table 47 Raw'!H122</f>
        <v>7.171532</v>
      </c>
      <c r="F138" s="17">
        <f>'AEO 2023 Table 47 Raw'!I122</f>
        <v>7.9921449999999998</v>
      </c>
      <c r="G138" s="17">
        <f>'AEO 2023 Table 47 Raw'!J122</f>
        <v>8.7539029999999993</v>
      </c>
      <c r="H138" s="17">
        <f>'AEO 2023 Table 47 Raw'!K122</f>
        <v>9.1908320000000003</v>
      </c>
      <c r="I138" s="17">
        <f>'AEO 2023 Table 47 Raw'!L122</f>
        <v>9.5208630000000003</v>
      </c>
      <c r="J138" s="17">
        <f>'AEO 2023 Table 47 Raw'!M122</f>
        <v>9.7937060000000002</v>
      </c>
      <c r="K138" s="17">
        <f>'AEO 2023 Table 47 Raw'!N122</f>
        <v>10.074055</v>
      </c>
      <c r="L138" s="17">
        <f>'AEO 2023 Table 47 Raw'!O122</f>
        <v>10.367825</v>
      </c>
      <c r="M138" s="17">
        <f>'AEO 2023 Table 47 Raw'!P122</f>
        <v>10.671106999999999</v>
      </c>
      <c r="N138" s="17">
        <f>'AEO 2023 Table 47 Raw'!Q122</f>
        <v>10.982485</v>
      </c>
      <c r="O138" s="17">
        <f>'AEO 2023 Table 47 Raw'!R122</f>
        <v>11.302196</v>
      </c>
      <c r="P138" s="17">
        <f>'AEO 2023 Table 47 Raw'!S122</f>
        <v>11.630836</v>
      </c>
      <c r="Q138" s="17">
        <f>'AEO 2023 Table 47 Raw'!T122</f>
        <v>11.962536999999999</v>
      </c>
      <c r="R138" s="17">
        <f>'AEO 2023 Table 47 Raw'!U122</f>
        <v>12.302671</v>
      </c>
      <c r="S138" s="17">
        <f>'AEO 2023 Table 47 Raw'!V122</f>
        <v>12.651629</v>
      </c>
      <c r="T138" s="17">
        <f>'AEO 2023 Table 47 Raw'!W122</f>
        <v>13.009482</v>
      </c>
      <c r="U138" s="17">
        <f>'AEO 2023 Table 47 Raw'!X122</f>
        <v>13.376611</v>
      </c>
      <c r="V138" s="17">
        <f>'AEO 2023 Table 47 Raw'!Y122</f>
        <v>13.746362</v>
      </c>
      <c r="W138" s="17">
        <f>'AEO 2023 Table 47 Raw'!Z122</f>
        <v>14.125339</v>
      </c>
      <c r="X138" s="17">
        <f>'AEO 2023 Table 47 Raw'!AA122</f>
        <v>14.513700999999999</v>
      </c>
      <c r="Y138" s="17">
        <f>'AEO 2023 Table 47 Raw'!AB122</f>
        <v>14.911319000000001</v>
      </c>
      <c r="Z138" s="17">
        <f>'AEO 2023 Table 47 Raw'!AC122</f>
        <v>15.318254</v>
      </c>
      <c r="AA138" s="17">
        <f>'AEO 2023 Table 47 Raw'!AD122</f>
        <v>15.726773</v>
      </c>
      <c r="AB138" s="17">
        <f>'AEO 2023 Table 47 Raw'!AE122</f>
        <v>16.144462999999998</v>
      </c>
      <c r="AC138" s="17">
        <f>'AEO 2023 Table 47 Raw'!AF122</f>
        <v>16.571867000000001</v>
      </c>
      <c r="AD138" s="17">
        <f>'AEO 2023 Table 47 Raw'!AG122</f>
        <v>17.009353999999998</v>
      </c>
      <c r="AE138" s="17">
        <f>'AEO 2023 Table 47 Raw'!AH122</f>
        <v>17.457253999999999</v>
      </c>
      <c r="AF138" s="30">
        <f>'AEO 2023 Table 47 Raw'!AI122</f>
        <v>4.7E-2</v>
      </c>
    </row>
    <row r="139" spans="1:32" ht="12" customHeight="1">
      <c r="A139" s="7" t="s">
        <v>668</v>
      </c>
      <c r="B139" s="16" t="s">
        <v>608</v>
      </c>
      <c r="C139" s="17">
        <f>'AEO 2023 Table 47 Raw'!F123</f>
        <v>3.542891</v>
      </c>
      <c r="D139" s="17">
        <f>'AEO 2023 Table 47 Raw'!G123</f>
        <v>4.4562160000000004</v>
      </c>
      <c r="E139" s="17">
        <f>'AEO 2023 Table 47 Raw'!H123</f>
        <v>5.3655970000000002</v>
      </c>
      <c r="F139" s="17">
        <f>'AEO 2023 Table 47 Raw'!I123</f>
        <v>6.0676459999999999</v>
      </c>
      <c r="G139" s="17">
        <f>'AEO 2023 Table 47 Raw'!J123</f>
        <v>6.6479980000000003</v>
      </c>
      <c r="H139" s="17">
        <f>'AEO 2023 Table 47 Raw'!K123</f>
        <v>6.9315740000000003</v>
      </c>
      <c r="I139" s="17">
        <f>'AEO 2023 Table 47 Raw'!L123</f>
        <v>7.161073</v>
      </c>
      <c r="J139" s="17">
        <f>'AEO 2023 Table 47 Raw'!M123</f>
        <v>7.3624660000000004</v>
      </c>
      <c r="K139" s="17">
        <f>'AEO 2023 Table 47 Raw'!N123</f>
        <v>7.5694160000000004</v>
      </c>
      <c r="L139" s="17">
        <f>'AEO 2023 Table 47 Raw'!O123</f>
        <v>7.7868430000000002</v>
      </c>
      <c r="M139" s="17">
        <f>'AEO 2023 Table 47 Raw'!P123</f>
        <v>8.0114780000000003</v>
      </c>
      <c r="N139" s="17">
        <f>'AEO 2023 Table 47 Raw'!Q123</f>
        <v>8.2420969999999993</v>
      </c>
      <c r="O139" s="17">
        <f>'AEO 2023 Table 47 Raw'!R123</f>
        <v>8.4789100000000008</v>
      </c>
      <c r="P139" s="17">
        <f>'AEO 2023 Table 47 Raw'!S123</f>
        <v>8.7224079999999997</v>
      </c>
      <c r="Q139" s="17">
        <f>'AEO 2023 Table 47 Raw'!T123</f>
        <v>8.9672540000000005</v>
      </c>
      <c r="R139" s="17">
        <f>'AEO 2023 Table 47 Raw'!U123</f>
        <v>9.2182739999999992</v>
      </c>
      <c r="S139" s="17">
        <f>'AEO 2023 Table 47 Raw'!V123</f>
        <v>9.4757580000000008</v>
      </c>
      <c r="T139" s="17">
        <f>'AEO 2023 Table 47 Raw'!W123</f>
        <v>9.7397179999999999</v>
      </c>
      <c r="U139" s="17">
        <f>'AEO 2023 Table 47 Raw'!X123</f>
        <v>10.010329</v>
      </c>
      <c r="V139" s="17">
        <f>'AEO 2023 Table 47 Raw'!Y123</f>
        <v>10.281976999999999</v>
      </c>
      <c r="W139" s="17">
        <f>'AEO 2023 Table 47 Raw'!Z123</f>
        <v>10.560243</v>
      </c>
      <c r="X139" s="17">
        <f>'AEO 2023 Table 47 Raw'!AA123</f>
        <v>10.845281999999999</v>
      </c>
      <c r="Y139" s="17">
        <f>'AEO 2023 Table 47 Raw'!AB123</f>
        <v>11.137014000000001</v>
      </c>
      <c r="Z139" s="17">
        <f>'AEO 2023 Table 47 Raw'!AC123</f>
        <v>11.435499999999999</v>
      </c>
      <c r="AA139" s="17">
        <f>'AEO 2023 Table 47 Raw'!AD123</f>
        <v>11.734435</v>
      </c>
      <c r="AB139" s="17">
        <f>'AEO 2023 Table 47 Raw'!AE123</f>
        <v>12.039953000000001</v>
      </c>
      <c r="AC139" s="17">
        <f>'AEO 2023 Table 47 Raw'!AF123</f>
        <v>12.352451</v>
      </c>
      <c r="AD139" s="17">
        <f>'AEO 2023 Table 47 Raw'!AG123</f>
        <v>12.67216</v>
      </c>
      <c r="AE139" s="17">
        <f>'AEO 2023 Table 47 Raw'!AH123</f>
        <v>12.999294000000001</v>
      </c>
      <c r="AF139" s="30">
        <f>'AEO 2023 Table 47 Raw'!AI123</f>
        <v>4.8000000000000001E-2</v>
      </c>
    </row>
    <row r="140" spans="1:32" ht="12" customHeight="1">
      <c r="A140" s="7" t="s">
        <v>669</v>
      </c>
      <c r="B140" s="16" t="s">
        <v>610</v>
      </c>
      <c r="C140" s="17">
        <f>'AEO 2023 Table 47 Raw'!F124</f>
        <v>782.72277799999995</v>
      </c>
      <c r="D140" s="17">
        <f>'AEO 2023 Table 47 Raw'!G124</f>
        <v>779.99255400000004</v>
      </c>
      <c r="E140" s="17">
        <f>'AEO 2023 Table 47 Raw'!H124</f>
        <v>777.24194299999999</v>
      </c>
      <c r="F140" s="17">
        <f>'AEO 2023 Table 47 Raw'!I124</f>
        <v>836.20019500000001</v>
      </c>
      <c r="G140" s="17">
        <f>'AEO 2023 Table 47 Raw'!J124</f>
        <v>900.88647500000002</v>
      </c>
      <c r="H140" s="17">
        <f>'AEO 2023 Table 47 Raw'!K124</f>
        <v>959.77856399999996</v>
      </c>
      <c r="I140" s="17">
        <f>'AEO 2023 Table 47 Raw'!L124</f>
        <v>1015.328857</v>
      </c>
      <c r="J140" s="17">
        <f>'AEO 2023 Table 47 Raw'!M124</f>
        <v>1071.4494629999999</v>
      </c>
      <c r="K140" s="17">
        <f>'AEO 2023 Table 47 Raw'!N124</f>
        <v>1127.8001710000001</v>
      </c>
      <c r="L140" s="17">
        <f>'AEO 2023 Table 47 Raw'!O124</f>
        <v>1184.857544</v>
      </c>
      <c r="M140" s="17">
        <f>'AEO 2023 Table 47 Raw'!P124</f>
        <v>1242.602173</v>
      </c>
      <c r="N140" s="17">
        <f>'AEO 2023 Table 47 Raw'!Q124</f>
        <v>1300.8637699999999</v>
      </c>
      <c r="O140" s="17">
        <f>'AEO 2023 Table 47 Raw'!R124</f>
        <v>1359.7788089999999</v>
      </c>
      <c r="P140" s="17">
        <f>'AEO 2023 Table 47 Raw'!S124</f>
        <v>1419.6533199999999</v>
      </c>
      <c r="Q140" s="17">
        <f>'AEO 2023 Table 47 Raw'!T124</f>
        <v>1480.3670649999999</v>
      </c>
      <c r="R140" s="17">
        <f>'AEO 2023 Table 47 Raw'!U124</f>
        <v>1541.5150149999999</v>
      </c>
      <c r="S140" s="17">
        <f>'AEO 2023 Table 47 Raw'!V124</f>
        <v>1603.139404</v>
      </c>
      <c r="T140" s="17">
        <f>'AEO 2023 Table 47 Raw'!W124</f>
        <v>1665.5854489999999</v>
      </c>
      <c r="U140" s="17">
        <f>'AEO 2023 Table 47 Raw'!X124</f>
        <v>1729.3858640000001</v>
      </c>
      <c r="V140" s="17">
        <f>'AEO 2023 Table 47 Raw'!Y124</f>
        <v>1795.155029</v>
      </c>
      <c r="W140" s="17">
        <f>'AEO 2023 Table 47 Raw'!Z124</f>
        <v>1862.857422</v>
      </c>
      <c r="X140" s="17">
        <f>'AEO 2023 Table 47 Raw'!AA124</f>
        <v>1931.973999</v>
      </c>
      <c r="Y140" s="17">
        <f>'AEO 2023 Table 47 Raw'!AB124</f>
        <v>2001.8626710000001</v>
      </c>
      <c r="Z140" s="17">
        <f>'AEO 2023 Table 47 Raw'!AC124</f>
        <v>2071.8183589999999</v>
      </c>
      <c r="AA140" s="17">
        <f>'AEO 2023 Table 47 Raw'!AD124</f>
        <v>2141.7058109999998</v>
      </c>
      <c r="AB140" s="17">
        <f>'AEO 2023 Table 47 Raw'!AE124</f>
        <v>2211.8625489999999</v>
      </c>
      <c r="AC140" s="17">
        <f>'AEO 2023 Table 47 Raw'!AF124</f>
        <v>2282.0432129999999</v>
      </c>
      <c r="AD140" s="17">
        <f>'AEO 2023 Table 47 Raw'!AG124</f>
        <v>2351.5871579999998</v>
      </c>
      <c r="AE140" s="17">
        <f>'AEO 2023 Table 47 Raw'!AH124</f>
        <v>2419.7944339999999</v>
      </c>
      <c r="AF140" s="30">
        <f>'AEO 2023 Table 47 Raw'!AI124</f>
        <v>4.1000000000000002E-2</v>
      </c>
    </row>
    <row r="141" spans="1:32" ht="12" customHeight="1">
      <c r="A141" s="7" t="s">
        <v>670</v>
      </c>
      <c r="B141" s="16" t="s">
        <v>626</v>
      </c>
      <c r="C141" s="17">
        <f>'AEO 2023 Table 47 Raw'!F125</f>
        <v>607.629639</v>
      </c>
      <c r="D141" s="17">
        <f>'AEO 2023 Table 47 Raw'!G125</f>
        <v>579.78564500000005</v>
      </c>
      <c r="E141" s="17">
        <f>'AEO 2023 Table 47 Raw'!H125</f>
        <v>554.85424799999998</v>
      </c>
      <c r="F141" s="17">
        <f>'AEO 2023 Table 47 Raw'!I125</f>
        <v>591.023865</v>
      </c>
      <c r="G141" s="17">
        <f>'AEO 2023 Table 47 Raw'!J125</f>
        <v>632.18890399999998</v>
      </c>
      <c r="H141" s="17">
        <f>'AEO 2023 Table 47 Raw'!K125</f>
        <v>672.03393600000004</v>
      </c>
      <c r="I141" s="17">
        <f>'AEO 2023 Table 47 Raw'!L125</f>
        <v>711.24945100000002</v>
      </c>
      <c r="J141" s="17">
        <f>'AEO 2023 Table 47 Raw'!M125</f>
        <v>750.78301999999996</v>
      </c>
      <c r="K141" s="17">
        <f>'AEO 2023 Table 47 Raw'!N125</f>
        <v>790.37164299999995</v>
      </c>
      <c r="L141" s="17">
        <f>'AEO 2023 Table 47 Raw'!O125</f>
        <v>830.36956799999996</v>
      </c>
      <c r="M141" s="17">
        <f>'AEO 2023 Table 47 Raw'!P125</f>
        <v>870.75842299999999</v>
      </c>
      <c r="N141" s="17">
        <f>'AEO 2023 Table 47 Raw'!Q125</f>
        <v>911.40508999999997</v>
      </c>
      <c r="O141" s="17">
        <f>'AEO 2023 Table 47 Raw'!R125</f>
        <v>952.40625</v>
      </c>
      <c r="P141" s="17">
        <f>'AEO 2023 Table 47 Raw'!S125</f>
        <v>993.98687700000005</v>
      </c>
      <c r="Q141" s="17">
        <f>'AEO 2023 Table 47 Raw'!T125</f>
        <v>1036.053101</v>
      </c>
      <c r="R141" s="17">
        <f>'AEO 2023 Table 47 Raw'!U125</f>
        <v>1078.296143</v>
      </c>
      <c r="S141" s="17">
        <f>'AEO 2023 Table 47 Raw'!V125</f>
        <v>1120.742432</v>
      </c>
      <c r="T141" s="17">
        <f>'AEO 2023 Table 47 Raw'!W125</f>
        <v>1163.6453859999999</v>
      </c>
      <c r="U141" s="17">
        <f>'AEO 2023 Table 47 Raw'!X125</f>
        <v>1207.394775</v>
      </c>
      <c r="V141" s="17">
        <f>'AEO 2023 Table 47 Raw'!Y125</f>
        <v>1252.449341</v>
      </c>
      <c r="W141" s="17">
        <f>'AEO 2023 Table 47 Raw'!Z125</f>
        <v>1298.7775879999999</v>
      </c>
      <c r="X141" s="17">
        <f>'AEO 2023 Table 47 Raw'!AA125</f>
        <v>1345.984375</v>
      </c>
      <c r="Y141" s="17">
        <f>'AEO 2023 Table 47 Raw'!AB125</f>
        <v>1393.5820309999999</v>
      </c>
      <c r="Z141" s="17">
        <f>'AEO 2023 Table 47 Raw'!AC125</f>
        <v>1441.0375979999999</v>
      </c>
      <c r="AA141" s="17">
        <f>'AEO 2023 Table 47 Raw'!AD125</f>
        <v>1488.2482910000001</v>
      </c>
      <c r="AB141" s="17">
        <f>'AEO 2023 Table 47 Raw'!AE125</f>
        <v>1535.4626459999999</v>
      </c>
      <c r="AC141" s="17">
        <f>'AEO 2023 Table 47 Raw'!AF125</f>
        <v>1582.492432</v>
      </c>
      <c r="AD141" s="17">
        <f>'AEO 2023 Table 47 Raw'!AG125</f>
        <v>1628.837769</v>
      </c>
      <c r="AE141" s="17">
        <f>'AEO 2023 Table 47 Raw'!AH125</f>
        <v>1673.9719239999999</v>
      </c>
      <c r="AF141" s="30">
        <f>'AEO 2023 Table 47 Raw'!AI125</f>
        <v>3.6999999999999998E-2</v>
      </c>
    </row>
    <row r="142" spans="1:32" ht="12" customHeight="1">
      <c r="A142" s="7" t="s">
        <v>671</v>
      </c>
      <c r="B142" s="16" t="s">
        <v>606</v>
      </c>
      <c r="C142" s="17">
        <f>'AEO 2023 Table 47 Raw'!F126</f>
        <v>87.702171000000007</v>
      </c>
      <c r="D142" s="17">
        <f>'AEO 2023 Table 47 Raw'!G126</f>
        <v>118.64717899999999</v>
      </c>
      <c r="E142" s="17">
        <f>'AEO 2023 Table 47 Raw'!H126</f>
        <v>145.718872</v>
      </c>
      <c r="F142" s="17">
        <f>'AEO 2023 Table 47 Raw'!I126</f>
        <v>163.990128</v>
      </c>
      <c r="G142" s="17">
        <f>'AEO 2023 Table 47 Raw'!J126</f>
        <v>182.23019400000001</v>
      </c>
      <c r="H142" s="17">
        <f>'AEO 2023 Table 47 Raw'!K126</f>
        <v>195.94972200000001</v>
      </c>
      <c r="I142" s="17">
        <f>'AEO 2023 Table 47 Raw'!L126</f>
        <v>206.901611</v>
      </c>
      <c r="J142" s="17">
        <f>'AEO 2023 Table 47 Raw'!M126</f>
        <v>218.06899999999999</v>
      </c>
      <c r="K142" s="17">
        <f>'AEO 2023 Table 47 Raw'!N126</f>
        <v>229.41262800000001</v>
      </c>
      <c r="L142" s="17">
        <f>'AEO 2023 Table 47 Raw'!O126</f>
        <v>241.004807</v>
      </c>
      <c r="M142" s="17">
        <f>'AEO 2023 Table 47 Raw'!P126</f>
        <v>252.84724399999999</v>
      </c>
      <c r="N142" s="17">
        <f>'AEO 2023 Table 47 Raw'!Q126</f>
        <v>264.92242399999998</v>
      </c>
      <c r="O142" s="17">
        <f>'AEO 2023 Table 47 Raw'!R126</f>
        <v>277.25662199999999</v>
      </c>
      <c r="P142" s="17">
        <f>'AEO 2023 Table 47 Raw'!S126</f>
        <v>289.89932299999998</v>
      </c>
      <c r="Q142" s="17">
        <f>'AEO 2023 Table 47 Raw'!T126</f>
        <v>302.83795199999997</v>
      </c>
      <c r="R142" s="17">
        <f>'AEO 2023 Table 47 Raw'!U126</f>
        <v>316.01998900000001</v>
      </c>
      <c r="S142" s="17">
        <f>'AEO 2023 Table 47 Raw'!V126</f>
        <v>329.458618</v>
      </c>
      <c r="T142" s="17">
        <f>'AEO 2023 Table 47 Raw'!W126</f>
        <v>343.209473</v>
      </c>
      <c r="U142" s="17">
        <f>'AEO 2023 Table 47 Raw'!X126</f>
        <v>357.36090100000001</v>
      </c>
      <c r="V142" s="17">
        <f>'AEO 2023 Table 47 Raw'!Y126</f>
        <v>372.00381499999997</v>
      </c>
      <c r="W142" s="17">
        <f>'AEO 2023 Table 47 Raw'!Z126</f>
        <v>387.13888500000002</v>
      </c>
      <c r="X142" s="17">
        <f>'AEO 2023 Table 47 Raw'!AA126</f>
        <v>402.69903599999998</v>
      </c>
      <c r="Y142" s="17">
        <f>'AEO 2023 Table 47 Raw'!AB126</f>
        <v>418.59939600000001</v>
      </c>
      <c r="Z142" s="17">
        <f>'AEO 2023 Table 47 Raw'!AC126</f>
        <v>434.743561</v>
      </c>
      <c r="AA142" s="17">
        <f>'AEO 2023 Table 47 Raw'!AD126</f>
        <v>451.11456299999998</v>
      </c>
      <c r="AB142" s="17">
        <f>'AEO 2023 Table 47 Raw'!AE126</f>
        <v>467.76574699999998</v>
      </c>
      <c r="AC142" s="17">
        <f>'AEO 2023 Table 47 Raw'!AF126</f>
        <v>484.66757200000001</v>
      </c>
      <c r="AD142" s="17">
        <f>'AEO 2023 Table 47 Raw'!AG126</f>
        <v>501.73037699999998</v>
      </c>
      <c r="AE142" s="17">
        <f>'AEO 2023 Table 47 Raw'!AH126</f>
        <v>518.85571300000004</v>
      </c>
      <c r="AF142" s="30">
        <f>'AEO 2023 Table 47 Raw'!AI126</f>
        <v>6.6000000000000003E-2</v>
      </c>
    </row>
    <row r="143" spans="1:32" ht="12" customHeight="1">
      <c r="A143" s="7" t="s">
        <v>672</v>
      </c>
      <c r="B143" s="16" t="s">
        <v>608</v>
      </c>
      <c r="C143" s="17">
        <f>'AEO 2023 Table 47 Raw'!F127</f>
        <v>87.390906999999999</v>
      </c>
      <c r="D143" s="17">
        <f>'AEO 2023 Table 47 Raw'!G127</f>
        <v>81.559792000000002</v>
      </c>
      <c r="E143" s="17">
        <f>'AEO 2023 Table 47 Raw'!H127</f>
        <v>76.668800000000005</v>
      </c>
      <c r="F143" s="17">
        <f>'AEO 2023 Table 47 Raw'!I127</f>
        <v>81.186179999999993</v>
      </c>
      <c r="G143" s="17">
        <f>'AEO 2023 Table 47 Raw'!J127</f>
        <v>86.467392000000004</v>
      </c>
      <c r="H143" s="17">
        <f>'AEO 2023 Table 47 Raw'!K127</f>
        <v>91.794830000000005</v>
      </c>
      <c r="I143" s="17">
        <f>'AEO 2023 Table 47 Raw'!L127</f>
        <v>97.177802999999997</v>
      </c>
      <c r="J143" s="17">
        <f>'AEO 2023 Table 47 Raw'!M127</f>
        <v>102.597488</v>
      </c>
      <c r="K143" s="17">
        <f>'AEO 2023 Table 47 Raw'!N127</f>
        <v>108.01593800000001</v>
      </c>
      <c r="L143" s="17">
        <f>'AEO 2023 Table 47 Raw'!O127</f>
        <v>113.483192</v>
      </c>
      <c r="M143" s="17">
        <f>'AEO 2023 Table 47 Raw'!P127</f>
        <v>118.996407</v>
      </c>
      <c r="N143" s="17">
        <f>'AEO 2023 Table 47 Raw'!Q127</f>
        <v>124.536186</v>
      </c>
      <c r="O143" s="17">
        <f>'AEO 2023 Table 47 Raw'!R127</f>
        <v>130.11586</v>
      </c>
      <c r="P143" s="17">
        <f>'AEO 2023 Table 47 Raw'!S127</f>
        <v>135.76705899999999</v>
      </c>
      <c r="Q143" s="17">
        <f>'AEO 2023 Table 47 Raw'!T127</f>
        <v>141.47612000000001</v>
      </c>
      <c r="R143" s="17">
        <f>'AEO 2023 Table 47 Raw'!U127</f>
        <v>147.198837</v>
      </c>
      <c r="S143" s="17">
        <f>'AEO 2023 Table 47 Raw'!V127</f>
        <v>152.938492</v>
      </c>
      <c r="T143" s="17">
        <f>'AEO 2023 Table 47 Raw'!W127</f>
        <v>158.73074299999999</v>
      </c>
      <c r="U143" s="17">
        <f>'AEO 2023 Table 47 Raw'!X127</f>
        <v>164.63017300000001</v>
      </c>
      <c r="V143" s="17">
        <f>'AEO 2023 Table 47 Raw'!Y127</f>
        <v>170.70181299999999</v>
      </c>
      <c r="W143" s="17">
        <f>'AEO 2023 Table 47 Raw'!Z127</f>
        <v>176.94079600000001</v>
      </c>
      <c r="X143" s="17">
        <f>'AEO 2023 Table 47 Raw'!AA127</f>
        <v>183.29051200000001</v>
      </c>
      <c r="Y143" s="17">
        <f>'AEO 2023 Table 47 Raw'!AB127</f>
        <v>189.68124399999999</v>
      </c>
      <c r="Z143" s="17">
        <f>'AEO 2023 Table 47 Raw'!AC127</f>
        <v>196.03698700000001</v>
      </c>
      <c r="AA143" s="17">
        <f>'AEO 2023 Table 47 Raw'!AD127</f>
        <v>202.342896</v>
      </c>
      <c r="AB143" s="17">
        <f>'AEO 2023 Table 47 Raw'!AE127</f>
        <v>208.634064</v>
      </c>
      <c r="AC143" s="17">
        <f>'AEO 2023 Table 47 Raw'!AF127</f>
        <v>214.88330099999999</v>
      </c>
      <c r="AD143" s="17">
        <f>'AEO 2023 Table 47 Raw'!AG127</f>
        <v>221.019318</v>
      </c>
      <c r="AE143" s="17">
        <f>'AEO 2023 Table 47 Raw'!AH127</f>
        <v>226.96713299999999</v>
      </c>
      <c r="AF143" s="30">
        <f>'AEO 2023 Table 47 Raw'!AI127</f>
        <v>3.5000000000000003E-2</v>
      </c>
    </row>
    <row r="144" spans="1:32" ht="12" customHeight="1">
      <c r="A144" s="7" t="s">
        <v>673</v>
      </c>
      <c r="B144" s="16" t="s">
        <v>610</v>
      </c>
      <c r="C144" s="17">
        <f>'AEO 2023 Table 47 Raw'!F128</f>
        <v>105.801849</v>
      </c>
      <c r="D144" s="17">
        <f>'AEO 2023 Table 47 Raw'!G128</f>
        <v>131.08637999999999</v>
      </c>
      <c r="E144" s="17">
        <f>'AEO 2023 Table 47 Raw'!H128</f>
        <v>148.97323600000001</v>
      </c>
      <c r="F144" s="17">
        <f>'AEO 2023 Table 47 Raw'!I128</f>
        <v>162.49697900000001</v>
      </c>
      <c r="G144" s="17">
        <f>'AEO 2023 Table 47 Raw'!J128</f>
        <v>182.242538</v>
      </c>
      <c r="H144" s="17">
        <f>'AEO 2023 Table 47 Raw'!K128</f>
        <v>199.04045099999999</v>
      </c>
      <c r="I144" s="17">
        <f>'AEO 2023 Table 47 Raw'!L128</f>
        <v>215.68579099999999</v>
      </c>
      <c r="J144" s="17">
        <f>'AEO 2023 Table 47 Raw'!M128</f>
        <v>233.66879299999999</v>
      </c>
      <c r="K144" s="17">
        <f>'AEO 2023 Table 47 Raw'!N128</f>
        <v>252.08363299999999</v>
      </c>
      <c r="L144" s="17">
        <f>'AEO 2023 Table 47 Raw'!O128</f>
        <v>270.79431199999999</v>
      </c>
      <c r="M144" s="17">
        <f>'AEO 2023 Table 47 Raw'!P128</f>
        <v>289.70480300000003</v>
      </c>
      <c r="N144" s="17">
        <f>'AEO 2023 Table 47 Raw'!Q128</f>
        <v>308.69137599999999</v>
      </c>
      <c r="O144" s="17">
        <f>'AEO 2023 Table 47 Raw'!R128</f>
        <v>327.61547899999999</v>
      </c>
      <c r="P144" s="17">
        <f>'AEO 2023 Table 47 Raw'!S128</f>
        <v>346.53881799999999</v>
      </c>
      <c r="Q144" s="17">
        <f>'AEO 2023 Table 47 Raw'!T128</f>
        <v>365.61932400000001</v>
      </c>
      <c r="R144" s="17">
        <f>'AEO 2023 Table 47 Raw'!U128</f>
        <v>385.17947400000003</v>
      </c>
      <c r="S144" s="17">
        <f>'AEO 2023 Table 47 Raw'!V128</f>
        <v>405.21984900000001</v>
      </c>
      <c r="T144" s="17">
        <f>'AEO 2023 Table 47 Raw'!W128</f>
        <v>425.707581</v>
      </c>
      <c r="U144" s="17">
        <f>'AEO 2023 Table 47 Raw'!X128</f>
        <v>446.58886699999999</v>
      </c>
      <c r="V144" s="17">
        <f>'AEO 2023 Table 47 Raw'!Y128</f>
        <v>467.84079000000003</v>
      </c>
      <c r="W144" s="17">
        <f>'AEO 2023 Table 47 Raw'!Z128</f>
        <v>489.42877199999998</v>
      </c>
      <c r="X144" s="17">
        <f>'AEO 2023 Table 47 Raw'!AA128</f>
        <v>511.33187900000001</v>
      </c>
      <c r="Y144" s="17">
        <f>'AEO 2023 Table 47 Raw'!AB128</f>
        <v>533.48980700000004</v>
      </c>
      <c r="Z144" s="17">
        <f>'AEO 2023 Table 47 Raw'!AC128</f>
        <v>555.85424799999998</v>
      </c>
      <c r="AA144" s="17">
        <f>'AEO 2023 Table 47 Raw'!AD128</f>
        <v>578.37213099999997</v>
      </c>
      <c r="AB144" s="17">
        <f>'AEO 2023 Table 47 Raw'!AE128</f>
        <v>600.98870799999997</v>
      </c>
      <c r="AC144" s="17">
        <f>'AEO 2023 Table 47 Raw'!AF128</f>
        <v>623.63964799999997</v>
      </c>
      <c r="AD144" s="17">
        <f>'AEO 2023 Table 47 Raw'!AG128</f>
        <v>646.26062000000002</v>
      </c>
      <c r="AE144" s="17">
        <f>'AEO 2023 Table 47 Raw'!AH128</f>
        <v>668.79229699999996</v>
      </c>
      <c r="AF144" s="30">
        <f>'AEO 2023 Table 47 Raw'!AI128</f>
        <v>6.8000000000000005E-2</v>
      </c>
    </row>
    <row r="145" spans="1:32" ht="12" customHeight="1">
      <c r="A145" s="7" t="s">
        <v>674</v>
      </c>
      <c r="B145" s="16" t="s">
        <v>628</v>
      </c>
      <c r="C145" s="17">
        <f>'AEO 2023 Table 47 Raw'!F129</f>
        <v>75.193489</v>
      </c>
      <c r="D145" s="17">
        <f>'AEO 2023 Table 47 Raw'!G129</f>
        <v>88.749320999999995</v>
      </c>
      <c r="E145" s="17">
        <f>'AEO 2023 Table 47 Raw'!H129</f>
        <v>96.573020999999997</v>
      </c>
      <c r="F145" s="17">
        <f>'AEO 2023 Table 47 Raw'!I129</f>
        <v>102.475159</v>
      </c>
      <c r="G145" s="17">
        <f>'AEO 2023 Table 47 Raw'!J129</f>
        <v>114.042053</v>
      </c>
      <c r="H145" s="17">
        <f>'AEO 2023 Table 47 Raw'!K129</f>
        <v>124.892517</v>
      </c>
      <c r="I145" s="17">
        <f>'AEO 2023 Table 47 Raw'!L129</f>
        <v>135.918442</v>
      </c>
      <c r="J145" s="17">
        <f>'AEO 2023 Table 47 Raw'!M129</f>
        <v>147.58873</v>
      </c>
      <c r="K145" s="17">
        <f>'AEO 2023 Table 47 Raw'!N129</f>
        <v>159.55355800000001</v>
      </c>
      <c r="L145" s="17">
        <f>'AEO 2023 Table 47 Raw'!O129</f>
        <v>171.721115</v>
      </c>
      <c r="M145" s="17">
        <f>'AEO 2023 Table 47 Raw'!P129</f>
        <v>184.025848</v>
      </c>
      <c r="N145" s="17">
        <f>'AEO 2023 Table 47 Raw'!Q129</f>
        <v>196.38386499999999</v>
      </c>
      <c r="O145" s="17">
        <f>'AEO 2023 Table 47 Raw'!R129</f>
        <v>208.70137</v>
      </c>
      <c r="P145" s="17">
        <f>'AEO 2023 Table 47 Raw'!S129</f>
        <v>221.01852400000001</v>
      </c>
      <c r="Q145" s="17">
        <f>'AEO 2023 Table 47 Raw'!T129</f>
        <v>233.43985000000001</v>
      </c>
      <c r="R145" s="17">
        <f>'AEO 2023 Table 47 Raw'!U129</f>
        <v>246.18055699999999</v>
      </c>
      <c r="S145" s="17">
        <f>'AEO 2023 Table 47 Raw'!V129</f>
        <v>259.24078400000002</v>
      </c>
      <c r="T145" s="17">
        <f>'AEO 2023 Table 47 Raw'!W129</f>
        <v>272.59823599999999</v>
      </c>
      <c r="U145" s="17">
        <f>'AEO 2023 Table 47 Raw'!X129</f>
        <v>286.21472199999999</v>
      </c>
      <c r="V145" s="17">
        <f>'AEO 2023 Table 47 Raw'!Y129</f>
        <v>300.07556199999999</v>
      </c>
      <c r="W145" s="17">
        <f>'AEO 2023 Table 47 Raw'!Z129</f>
        <v>314.157196</v>
      </c>
      <c r="X145" s="17">
        <f>'AEO 2023 Table 47 Raw'!AA129</f>
        <v>328.44482399999998</v>
      </c>
      <c r="Y145" s="17">
        <f>'AEO 2023 Table 47 Raw'!AB129</f>
        <v>342.89700299999998</v>
      </c>
      <c r="Z145" s="17">
        <f>'AEO 2023 Table 47 Raw'!AC129</f>
        <v>357.48037699999998</v>
      </c>
      <c r="AA145" s="17">
        <f>'AEO 2023 Table 47 Raw'!AD129</f>
        <v>372.15881300000001</v>
      </c>
      <c r="AB145" s="17">
        <f>'AEO 2023 Table 47 Raw'!AE129</f>
        <v>386.89511099999999</v>
      </c>
      <c r="AC145" s="17">
        <f>'AEO 2023 Table 47 Raw'!AF129</f>
        <v>401.64532500000001</v>
      </c>
      <c r="AD145" s="17">
        <f>'AEO 2023 Table 47 Raw'!AG129</f>
        <v>416.36498999999998</v>
      </c>
      <c r="AE145" s="17">
        <f>'AEO 2023 Table 47 Raw'!AH129</f>
        <v>431.01361100000003</v>
      </c>
      <c r="AF145" s="30">
        <f>'AEO 2023 Table 47 Raw'!AI129</f>
        <v>6.4000000000000001E-2</v>
      </c>
    </row>
    <row r="146" spans="1:32" ht="12" customHeight="1">
      <c r="A146" s="7" t="s">
        <v>675</v>
      </c>
      <c r="B146" s="16" t="s">
        <v>606</v>
      </c>
      <c r="C146" s="17">
        <f>'AEO 2023 Table 47 Raw'!F130</f>
        <v>20.681094999999999</v>
      </c>
      <c r="D146" s="17">
        <f>'AEO 2023 Table 47 Raw'!G130</f>
        <v>31.151104</v>
      </c>
      <c r="E146" s="17">
        <f>'AEO 2023 Table 47 Raw'!H130</f>
        <v>40.734214999999999</v>
      </c>
      <c r="F146" s="17">
        <f>'AEO 2023 Table 47 Raw'!I130</f>
        <v>48.025737999999997</v>
      </c>
      <c r="G146" s="17">
        <f>'AEO 2023 Table 47 Raw'!J130</f>
        <v>54.971947</v>
      </c>
      <c r="H146" s="17">
        <f>'AEO 2023 Table 47 Raw'!K130</f>
        <v>59.613852999999999</v>
      </c>
      <c r="I146" s="17">
        <f>'AEO 2023 Table 47 Raw'!L130</f>
        <v>63.869911000000002</v>
      </c>
      <c r="J146" s="17">
        <f>'AEO 2023 Table 47 Raw'!M130</f>
        <v>68.771148999999994</v>
      </c>
      <c r="K146" s="17">
        <f>'AEO 2023 Table 47 Raw'!N130</f>
        <v>73.772148000000001</v>
      </c>
      <c r="L146" s="17">
        <f>'AEO 2023 Table 47 Raw'!O130</f>
        <v>78.840309000000005</v>
      </c>
      <c r="M146" s="17">
        <f>'AEO 2023 Table 47 Raw'!P130</f>
        <v>83.953598</v>
      </c>
      <c r="N146" s="17">
        <f>'AEO 2023 Table 47 Raw'!Q130</f>
        <v>89.082618999999994</v>
      </c>
      <c r="O146" s="17">
        <f>'AEO 2023 Table 47 Raw'!R130</f>
        <v>94.194580000000002</v>
      </c>
      <c r="P146" s="17">
        <f>'AEO 2023 Table 47 Raw'!S130</f>
        <v>99.306160000000006</v>
      </c>
      <c r="Q146" s="17">
        <f>'AEO 2023 Table 47 Raw'!T130</f>
        <v>104.45790100000001</v>
      </c>
      <c r="R146" s="17">
        <f>'AEO 2023 Table 47 Raw'!U130</f>
        <v>109.730125</v>
      </c>
      <c r="S146" s="17">
        <f>'AEO 2023 Table 47 Raw'!V130</f>
        <v>115.12342099999999</v>
      </c>
      <c r="T146" s="17">
        <f>'AEO 2023 Table 47 Raw'!W130</f>
        <v>120.629929</v>
      </c>
      <c r="U146" s="17">
        <f>'AEO 2023 Table 47 Raw'!X130</f>
        <v>126.239189</v>
      </c>
      <c r="V146" s="17">
        <f>'AEO 2023 Table 47 Raw'!Y130</f>
        <v>131.944626</v>
      </c>
      <c r="W146" s="17">
        <f>'AEO 2023 Table 47 Raw'!Z130</f>
        <v>137.73826600000001</v>
      </c>
      <c r="X146" s="17">
        <f>'AEO 2023 Table 47 Raw'!AA130</f>
        <v>143.61595199999999</v>
      </c>
      <c r="Y146" s="17">
        <f>'AEO 2023 Table 47 Raw'!AB130</f>
        <v>149.56410199999999</v>
      </c>
      <c r="Z146" s="17">
        <f>'AEO 2023 Table 47 Raw'!AC130</f>
        <v>155.57214400000001</v>
      </c>
      <c r="AA146" s="17">
        <f>'AEO 2023 Table 47 Raw'!AD130</f>
        <v>161.627579</v>
      </c>
      <c r="AB146" s="17">
        <f>'AEO 2023 Table 47 Raw'!AE130</f>
        <v>167.71759</v>
      </c>
      <c r="AC146" s="17">
        <f>'AEO 2023 Table 47 Raw'!AF130</f>
        <v>173.827698</v>
      </c>
      <c r="AD146" s="17">
        <f>'AEO 2023 Table 47 Raw'!AG130</f>
        <v>179.94335899999999</v>
      </c>
      <c r="AE146" s="17">
        <f>'AEO 2023 Table 47 Raw'!AH130</f>
        <v>186.051331</v>
      </c>
      <c r="AF146" s="30">
        <f>'AEO 2023 Table 47 Raw'!AI130</f>
        <v>8.2000000000000003E-2</v>
      </c>
    </row>
    <row r="147" spans="1:32" ht="12" customHeight="1">
      <c r="A147" s="7" t="s">
        <v>676</v>
      </c>
      <c r="B147" s="16" t="s">
        <v>608</v>
      </c>
      <c r="C147" s="17">
        <f>'AEO 2023 Table 47 Raw'!F131</f>
        <v>9.9272690000000008</v>
      </c>
      <c r="D147" s="17">
        <f>'AEO 2023 Table 47 Raw'!G131</f>
        <v>11.185945</v>
      </c>
      <c r="E147" s="17">
        <f>'AEO 2023 Table 47 Raw'!H131</f>
        <v>11.666002000000001</v>
      </c>
      <c r="F147" s="17">
        <f>'AEO 2023 Table 47 Raw'!I131</f>
        <v>11.996092000000001</v>
      </c>
      <c r="G147" s="17">
        <f>'AEO 2023 Table 47 Raw'!J131</f>
        <v>13.228529999999999</v>
      </c>
      <c r="H147" s="17">
        <f>'AEO 2023 Table 47 Raw'!K131</f>
        <v>14.534067</v>
      </c>
      <c r="I147" s="17">
        <f>'AEO 2023 Table 47 Raw'!L131</f>
        <v>15.897460000000001</v>
      </c>
      <c r="J147" s="17">
        <f>'AEO 2023 Table 47 Raw'!M131</f>
        <v>17.308926</v>
      </c>
      <c r="K147" s="17">
        <f>'AEO 2023 Table 47 Raw'!N131</f>
        <v>18.757919000000001</v>
      </c>
      <c r="L147" s="17">
        <f>'AEO 2023 Table 47 Raw'!O131</f>
        <v>20.232868</v>
      </c>
      <c r="M147" s="17">
        <f>'AEO 2023 Table 47 Raw'!P131</f>
        <v>21.725401000000002</v>
      </c>
      <c r="N147" s="17">
        <f>'AEO 2023 Table 47 Raw'!Q131</f>
        <v>23.224907000000002</v>
      </c>
      <c r="O147" s="17">
        <f>'AEO 2023 Table 47 Raw'!R131</f>
        <v>24.719524</v>
      </c>
      <c r="P147" s="17">
        <f>'AEO 2023 Table 47 Raw'!S131</f>
        <v>26.214109000000001</v>
      </c>
      <c r="Q147" s="17">
        <f>'AEO 2023 Table 47 Raw'!T131</f>
        <v>27.721582000000001</v>
      </c>
      <c r="R147" s="17">
        <f>'AEO 2023 Table 47 Raw'!U131</f>
        <v>29.26877</v>
      </c>
      <c r="S147" s="17">
        <f>'AEO 2023 Table 47 Raw'!V131</f>
        <v>30.855650000000001</v>
      </c>
      <c r="T147" s="17">
        <f>'AEO 2023 Table 47 Raw'!W131</f>
        <v>32.479407999999999</v>
      </c>
      <c r="U147" s="17">
        <f>'AEO 2023 Table 47 Raw'!X131</f>
        <v>34.134968000000001</v>
      </c>
      <c r="V147" s="17">
        <f>'AEO 2023 Table 47 Raw'!Y131</f>
        <v>35.820602000000001</v>
      </c>
      <c r="W147" s="17">
        <f>'AEO 2023 Table 47 Raw'!Z131</f>
        <v>37.533295000000003</v>
      </c>
      <c r="X147" s="17">
        <f>'AEO 2023 Table 47 Raw'!AA131</f>
        <v>39.271095000000003</v>
      </c>
      <c r="Y147" s="17">
        <f>'AEO 2023 Table 47 Raw'!AB131</f>
        <v>41.028694000000002</v>
      </c>
      <c r="Z147" s="17">
        <f>'AEO 2023 Table 47 Raw'!AC131</f>
        <v>42.801788000000002</v>
      </c>
      <c r="AA147" s="17">
        <f>'AEO 2023 Table 47 Raw'!AD131</f>
        <v>44.585773000000003</v>
      </c>
      <c r="AB147" s="17">
        <f>'AEO 2023 Table 47 Raw'!AE131</f>
        <v>46.375937999999998</v>
      </c>
      <c r="AC147" s="17">
        <f>'AEO 2023 Table 47 Raw'!AF131</f>
        <v>48.166649</v>
      </c>
      <c r="AD147" s="17">
        <f>'AEO 2023 Table 47 Raw'!AG131</f>
        <v>49.952205999999997</v>
      </c>
      <c r="AE147" s="17">
        <f>'AEO 2023 Table 47 Raw'!AH131</f>
        <v>51.727398000000001</v>
      </c>
      <c r="AF147" s="30">
        <f>'AEO 2023 Table 47 Raw'!AI131</f>
        <v>6.0999999999999999E-2</v>
      </c>
    </row>
    <row r="148" spans="1:32" ht="12" customHeight="1">
      <c r="A148" s="7" t="s">
        <v>677</v>
      </c>
      <c r="B148" s="16" t="s">
        <v>610</v>
      </c>
      <c r="C148" s="17">
        <f>'AEO 2023 Table 47 Raw'!F132</f>
        <v>375.91976899999997</v>
      </c>
      <c r="D148" s="17">
        <f>'AEO 2023 Table 47 Raw'!G132</f>
        <v>481.70532200000002</v>
      </c>
      <c r="E148" s="17">
        <f>'AEO 2023 Table 47 Raw'!H132</f>
        <v>566.80071999999996</v>
      </c>
      <c r="F148" s="17">
        <f>'AEO 2023 Table 47 Raw'!I132</f>
        <v>619.48498500000005</v>
      </c>
      <c r="G148" s="17">
        <f>'AEO 2023 Table 47 Raw'!J132</f>
        <v>692.50787400000002</v>
      </c>
      <c r="H148" s="17">
        <f>'AEO 2023 Table 47 Raw'!K132</f>
        <v>742.44305399999996</v>
      </c>
      <c r="I148" s="17">
        <f>'AEO 2023 Table 47 Raw'!L132</f>
        <v>789.48498500000005</v>
      </c>
      <c r="J148" s="17">
        <f>'AEO 2023 Table 47 Raw'!M132</f>
        <v>826.39794900000004</v>
      </c>
      <c r="K148" s="17">
        <f>'AEO 2023 Table 47 Raw'!N132</f>
        <v>863.72631799999999</v>
      </c>
      <c r="L148" s="17">
        <f>'AEO 2023 Table 47 Raw'!O132</f>
        <v>901.85369900000001</v>
      </c>
      <c r="M148" s="17">
        <f>'AEO 2023 Table 47 Raw'!P132</f>
        <v>941.02893100000006</v>
      </c>
      <c r="N148" s="17">
        <f>'AEO 2023 Table 47 Raw'!Q132</f>
        <v>981.25726299999997</v>
      </c>
      <c r="O148" s="17">
        <f>'AEO 2023 Table 47 Raw'!R132</f>
        <v>1022.627808</v>
      </c>
      <c r="P148" s="17">
        <f>'AEO 2023 Table 47 Raw'!S132</f>
        <v>1065.224731</v>
      </c>
      <c r="Q148" s="17">
        <f>'AEO 2023 Table 47 Raw'!T132</f>
        <v>1108.5661620000001</v>
      </c>
      <c r="R148" s="17">
        <f>'AEO 2023 Table 47 Raw'!U132</f>
        <v>1153.0804439999999</v>
      </c>
      <c r="S148" s="17">
        <f>'AEO 2023 Table 47 Raw'!V132</f>
        <v>1198.8654790000001</v>
      </c>
      <c r="T148" s="17">
        <f>'AEO 2023 Table 47 Raw'!W132</f>
        <v>1245.9023440000001</v>
      </c>
      <c r="U148" s="17">
        <f>'AEO 2023 Table 47 Raw'!X132</f>
        <v>1294.303101</v>
      </c>
      <c r="V148" s="17">
        <f>'AEO 2023 Table 47 Raw'!Y132</f>
        <v>1343.3957519999999</v>
      </c>
      <c r="W148" s="17">
        <f>'AEO 2023 Table 47 Raw'!Z132</f>
        <v>1393.615845</v>
      </c>
      <c r="X148" s="17">
        <f>'AEO 2023 Table 47 Raw'!AA132</f>
        <v>1445.0317379999999</v>
      </c>
      <c r="Y148" s="17">
        <f>'AEO 2023 Table 47 Raw'!AB132</f>
        <v>1497.6895750000001</v>
      </c>
      <c r="Z148" s="17">
        <f>'AEO 2023 Table 47 Raw'!AC132</f>
        <v>1551.5473629999999</v>
      </c>
      <c r="AA148" s="17">
        <f>'AEO 2023 Table 47 Raw'!AD132</f>
        <v>1605.368774</v>
      </c>
      <c r="AB148" s="17">
        <f>'AEO 2023 Table 47 Raw'!AE132</f>
        <v>1660.1064449999999</v>
      </c>
      <c r="AC148" s="17">
        <f>'AEO 2023 Table 47 Raw'!AF132</f>
        <v>1716.0744629999999</v>
      </c>
      <c r="AD148" s="17">
        <f>'AEO 2023 Table 47 Raw'!AG132</f>
        <v>1773.384644</v>
      </c>
      <c r="AE148" s="17">
        <f>'AEO 2023 Table 47 Raw'!AH132</f>
        <v>1832.1719969999999</v>
      </c>
      <c r="AF148" s="30">
        <f>'AEO 2023 Table 47 Raw'!AI132</f>
        <v>5.8000000000000003E-2</v>
      </c>
    </row>
    <row r="149" spans="1:32" ht="12" customHeight="1">
      <c r="A149" s="7" t="s">
        <v>678</v>
      </c>
      <c r="B149" s="16" t="s">
        <v>630</v>
      </c>
      <c r="C149" s="17">
        <f>'AEO 2023 Table 47 Raw'!F133</f>
        <v>202.08255</v>
      </c>
      <c r="D149" s="17">
        <f>'AEO 2023 Table 47 Raw'!G133</f>
        <v>239.99041700000001</v>
      </c>
      <c r="E149" s="17">
        <f>'AEO 2023 Table 47 Raw'!H133</f>
        <v>264.53637700000002</v>
      </c>
      <c r="F149" s="17">
        <f>'AEO 2023 Table 47 Raw'!I133</f>
        <v>278.37924199999998</v>
      </c>
      <c r="G149" s="17">
        <f>'AEO 2023 Table 47 Raw'!J133</f>
        <v>305.40206899999998</v>
      </c>
      <c r="H149" s="17">
        <f>'AEO 2023 Table 47 Raw'!K133</f>
        <v>325.109375</v>
      </c>
      <c r="I149" s="17">
        <f>'AEO 2023 Table 47 Raw'!L133</f>
        <v>344.39532500000001</v>
      </c>
      <c r="J149" s="17">
        <f>'AEO 2023 Table 47 Raw'!M133</f>
        <v>361.64950599999997</v>
      </c>
      <c r="K149" s="17">
        <f>'AEO 2023 Table 47 Raw'!N133</f>
        <v>379.05777</v>
      </c>
      <c r="L149" s="17">
        <f>'AEO 2023 Table 47 Raw'!O133</f>
        <v>396.874908</v>
      </c>
      <c r="M149" s="17">
        <f>'AEO 2023 Table 47 Raw'!P133</f>
        <v>415.19317599999999</v>
      </c>
      <c r="N149" s="17">
        <f>'AEO 2023 Table 47 Raw'!Q133</f>
        <v>434.01336700000002</v>
      </c>
      <c r="O149" s="17">
        <f>'AEO 2023 Table 47 Raw'!R133</f>
        <v>453.38519300000002</v>
      </c>
      <c r="P149" s="17">
        <f>'AEO 2023 Table 47 Raw'!S133</f>
        <v>473.35357699999997</v>
      </c>
      <c r="Q149" s="17">
        <f>'AEO 2023 Table 47 Raw'!T133</f>
        <v>493.69140599999997</v>
      </c>
      <c r="R149" s="17">
        <f>'AEO 2023 Table 47 Raw'!U133</f>
        <v>514.59161400000005</v>
      </c>
      <c r="S149" s="17">
        <f>'AEO 2023 Table 47 Raw'!V133</f>
        <v>536.10888699999998</v>
      </c>
      <c r="T149" s="17">
        <f>'AEO 2023 Table 47 Raw'!W133</f>
        <v>558.22985800000004</v>
      </c>
      <c r="U149" s="17">
        <f>'AEO 2023 Table 47 Raw'!X133</f>
        <v>581.01440400000001</v>
      </c>
      <c r="V149" s="17">
        <f>'AEO 2023 Table 47 Raw'!Y133</f>
        <v>604.13098100000002</v>
      </c>
      <c r="W149" s="17">
        <f>'AEO 2023 Table 47 Raw'!Z133</f>
        <v>627.776794</v>
      </c>
      <c r="X149" s="17">
        <f>'AEO 2023 Table 47 Raw'!AA133</f>
        <v>651.98644999999999</v>
      </c>
      <c r="Y149" s="17">
        <f>'AEO 2023 Table 47 Raw'!AB133</f>
        <v>676.78234899999995</v>
      </c>
      <c r="Z149" s="17">
        <f>'AEO 2023 Table 47 Raw'!AC133</f>
        <v>702.13751200000002</v>
      </c>
      <c r="AA149" s="17">
        <f>'AEO 2023 Table 47 Raw'!AD133</f>
        <v>727.42218000000003</v>
      </c>
      <c r="AB149" s="17">
        <f>'AEO 2023 Table 47 Raw'!AE133</f>
        <v>753.10339399999998</v>
      </c>
      <c r="AC149" s="17">
        <f>'AEO 2023 Table 47 Raw'!AF133</f>
        <v>779.35504200000003</v>
      </c>
      <c r="AD149" s="17">
        <f>'AEO 2023 Table 47 Raw'!AG133</f>
        <v>806.23724400000003</v>
      </c>
      <c r="AE149" s="17">
        <f>'AEO 2023 Table 47 Raw'!AH133</f>
        <v>833.82495100000006</v>
      </c>
      <c r="AF149" s="30">
        <f>'AEO 2023 Table 47 Raw'!AI133</f>
        <v>5.1999999999999998E-2</v>
      </c>
    </row>
    <row r="150" spans="1:32" ht="15" customHeight="1">
      <c r="A150" s="7" t="s">
        <v>679</v>
      </c>
      <c r="B150" s="16" t="s">
        <v>606</v>
      </c>
      <c r="C150" s="17">
        <f>'AEO 2023 Table 47 Raw'!F134</f>
        <v>155.46173099999999</v>
      </c>
      <c r="D150" s="17">
        <f>'AEO 2023 Table 47 Raw'!G134</f>
        <v>220.74285900000001</v>
      </c>
      <c r="E150" s="17">
        <f>'AEO 2023 Table 47 Raw'!H134</f>
        <v>279.43624899999998</v>
      </c>
      <c r="F150" s="17">
        <f>'AEO 2023 Table 47 Raw'!I134</f>
        <v>317.849243</v>
      </c>
      <c r="G150" s="17">
        <f>'AEO 2023 Table 47 Raw'!J134</f>
        <v>362.02066000000002</v>
      </c>
      <c r="H150" s="17">
        <f>'AEO 2023 Table 47 Raw'!K134</f>
        <v>390.80450400000001</v>
      </c>
      <c r="I150" s="17">
        <f>'AEO 2023 Table 47 Raw'!L134</f>
        <v>417.08648699999998</v>
      </c>
      <c r="J150" s="17">
        <f>'AEO 2023 Table 47 Raw'!M134</f>
        <v>435.25451700000002</v>
      </c>
      <c r="K150" s="17">
        <f>'AEO 2023 Table 47 Raw'!N134</f>
        <v>453.67334</v>
      </c>
      <c r="L150" s="17">
        <f>'AEO 2023 Table 47 Raw'!O134</f>
        <v>472.444458</v>
      </c>
      <c r="M150" s="17">
        <f>'AEO 2023 Table 47 Raw'!P134</f>
        <v>491.71816999999999</v>
      </c>
      <c r="N150" s="17">
        <f>'AEO 2023 Table 47 Raw'!Q134</f>
        <v>511.49902300000002</v>
      </c>
      <c r="O150" s="17">
        <f>'AEO 2023 Table 47 Raw'!R134</f>
        <v>531.82147199999997</v>
      </c>
      <c r="P150" s="17">
        <f>'AEO 2023 Table 47 Raw'!S134</f>
        <v>552.72070299999996</v>
      </c>
      <c r="Q150" s="17">
        <f>'AEO 2023 Table 47 Raw'!T134</f>
        <v>573.96124299999997</v>
      </c>
      <c r="R150" s="17">
        <f>'AEO 2023 Table 47 Raw'!U134</f>
        <v>595.76293899999996</v>
      </c>
      <c r="S150" s="17">
        <f>'AEO 2023 Table 47 Raw'!V134</f>
        <v>618.16339100000005</v>
      </c>
      <c r="T150" s="17">
        <f>'AEO 2023 Table 47 Raw'!W134</f>
        <v>641.15844700000002</v>
      </c>
      <c r="U150" s="17">
        <f>'AEO 2023 Table 47 Raw'!X134</f>
        <v>664.79449499999998</v>
      </c>
      <c r="V150" s="17">
        <f>'AEO 2023 Table 47 Raw'!Y134</f>
        <v>688.76110800000004</v>
      </c>
      <c r="W150" s="17">
        <f>'AEO 2023 Table 47 Raw'!Z134</f>
        <v>713.28021200000001</v>
      </c>
      <c r="X150" s="17">
        <f>'AEO 2023 Table 47 Raw'!AA134</f>
        <v>738.38207999999997</v>
      </c>
      <c r="Y150" s="17">
        <f>'AEO 2023 Table 47 Raw'!AB134</f>
        <v>764.08868399999994</v>
      </c>
      <c r="Z150" s="17">
        <f>'AEO 2023 Table 47 Raw'!AC134</f>
        <v>790.38763400000005</v>
      </c>
      <c r="AA150" s="17">
        <f>'AEO 2023 Table 47 Raw'!AD134</f>
        <v>816.730591</v>
      </c>
      <c r="AB150" s="17">
        <f>'AEO 2023 Table 47 Raw'!AE134</f>
        <v>843.56140100000005</v>
      </c>
      <c r="AC150" s="17">
        <f>'AEO 2023 Table 47 Raw'!AF134</f>
        <v>871.00286900000003</v>
      </c>
      <c r="AD150" s="17">
        <f>'AEO 2023 Table 47 Raw'!AG134</f>
        <v>899.10162400000002</v>
      </c>
      <c r="AE150" s="17">
        <f>'AEO 2023 Table 47 Raw'!AH134</f>
        <v>927.90972899999997</v>
      </c>
      <c r="AF150" s="30">
        <f>'AEO 2023 Table 47 Raw'!AI134</f>
        <v>6.6000000000000003E-2</v>
      </c>
    </row>
    <row r="151" spans="1:32" ht="15" customHeight="1">
      <c r="A151" s="7" t="s">
        <v>680</v>
      </c>
      <c r="B151" s="16" t="s">
        <v>608</v>
      </c>
      <c r="C151" s="17">
        <f>'AEO 2023 Table 47 Raw'!F135</f>
        <v>18.375473</v>
      </c>
      <c r="D151" s="17">
        <f>'AEO 2023 Table 47 Raw'!G135</f>
        <v>20.972035999999999</v>
      </c>
      <c r="E151" s="17">
        <f>'AEO 2023 Table 47 Raw'!H135</f>
        <v>22.828130999999999</v>
      </c>
      <c r="F151" s="17">
        <f>'AEO 2023 Table 47 Raw'!I135</f>
        <v>23.256474000000001</v>
      </c>
      <c r="G151" s="17">
        <f>'AEO 2023 Table 47 Raw'!J135</f>
        <v>25.085111999999999</v>
      </c>
      <c r="H151" s="17">
        <f>'AEO 2023 Table 47 Raw'!K135</f>
        <v>26.529171000000002</v>
      </c>
      <c r="I151" s="17">
        <f>'AEO 2023 Table 47 Raw'!L135</f>
        <v>28.003108999999998</v>
      </c>
      <c r="J151" s="17">
        <f>'AEO 2023 Table 47 Raw'!M135</f>
        <v>29.493925000000001</v>
      </c>
      <c r="K151" s="17">
        <f>'AEO 2023 Table 47 Raw'!N135</f>
        <v>30.995201000000002</v>
      </c>
      <c r="L151" s="17">
        <f>'AEO 2023 Table 47 Raw'!O135</f>
        <v>32.534325000000003</v>
      </c>
      <c r="M151" s="17">
        <f>'AEO 2023 Table 47 Raw'!P135</f>
        <v>34.117558000000002</v>
      </c>
      <c r="N151" s="17">
        <f>'AEO 2023 Table 47 Raw'!Q135</f>
        <v>35.744843000000003</v>
      </c>
      <c r="O151" s="17">
        <f>'AEO 2023 Table 47 Raw'!R135</f>
        <v>37.421059</v>
      </c>
      <c r="P151" s="17">
        <f>'AEO 2023 Table 47 Raw'!S135</f>
        <v>39.150475</v>
      </c>
      <c r="Q151" s="17">
        <f>'AEO 2023 Table 47 Raw'!T135</f>
        <v>40.913345</v>
      </c>
      <c r="R151" s="17">
        <f>'AEO 2023 Table 47 Raw'!U135</f>
        <v>42.7258</v>
      </c>
      <c r="S151" s="17">
        <f>'AEO 2023 Table 47 Raw'!V135</f>
        <v>44.593226999999999</v>
      </c>
      <c r="T151" s="17">
        <f>'AEO 2023 Table 47 Raw'!W135</f>
        <v>46.514130000000002</v>
      </c>
      <c r="U151" s="17">
        <f>'AEO 2023 Table 47 Raw'!X135</f>
        <v>48.494213000000002</v>
      </c>
      <c r="V151" s="17">
        <f>'AEO 2023 Table 47 Raw'!Y135</f>
        <v>50.503624000000002</v>
      </c>
      <c r="W151" s="17">
        <f>'AEO 2023 Table 47 Raw'!Z135</f>
        <v>52.558903000000001</v>
      </c>
      <c r="X151" s="17">
        <f>'AEO 2023 Table 47 Raw'!AA135</f>
        <v>54.663254000000002</v>
      </c>
      <c r="Y151" s="17">
        <f>'AEO 2023 Table 47 Raw'!AB135</f>
        <v>56.818660999999999</v>
      </c>
      <c r="Z151" s="17">
        <f>'AEO 2023 Table 47 Raw'!AC135</f>
        <v>59.022284999999997</v>
      </c>
      <c r="AA151" s="17">
        <f>'AEO 2023 Table 47 Raw'!AD135</f>
        <v>61.216000000000001</v>
      </c>
      <c r="AB151" s="17">
        <f>'AEO 2023 Table 47 Raw'!AE135</f>
        <v>63.441715000000002</v>
      </c>
      <c r="AC151" s="17">
        <f>'AEO 2023 Table 47 Raw'!AF135</f>
        <v>65.716399999999993</v>
      </c>
      <c r="AD151" s="17">
        <f>'AEO 2023 Table 47 Raw'!AG135</f>
        <v>68.045783999999998</v>
      </c>
      <c r="AE151" s="17">
        <f>'AEO 2023 Table 47 Raw'!AH135</f>
        <v>70.437195000000003</v>
      </c>
      <c r="AF151" s="30">
        <f>'AEO 2023 Table 47 Raw'!AI135</f>
        <v>4.9000000000000002E-2</v>
      </c>
    </row>
    <row r="152" spans="1:32" ht="15" customHeight="1">
      <c r="A152" s="7" t="s">
        <v>681</v>
      </c>
      <c r="B152" s="16" t="s">
        <v>610</v>
      </c>
      <c r="C152" s="17">
        <f>'AEO 2023 Table 47 Raw'!F136</f>
        <v>162.27954099999999</v>
      </c>
      <c r="D152" s="17">
        <f>'AEO 2023 Table 47 Raw'!G136</f>
        <v>220.34437600000001</v>
      </c>
      <c r="E152" s="17">
        <f>'AEO 2023 Table 47 Raw'!H136</f>
        <v>283.60168499999997</v>
      </c>
      <c r="F152" s="17">
        <f>'AEO 2023 Table 47 Raw'!I136</f>
        <v>335.28662100000003</v>
      </c>
      <c r="G152" s="17">
        <f>'AEO 2023 Table 47 Raw'!J136</f>
        <v>373.78436299999998</v>
      </c>
      <c r="H152" s="17">
        <f>'AEO 2023 Table 47 Raw'!K136</f>
        <v>399.65692100000001</v>
      </c>
      <c r="I152" s="17">
        <f>'AEO 2023 Table 47 Raw'!L136</f>
        <v>424.588165</v>
      </c>
      <c r="J152" s="17">
        <f>'AEO 2023 Table 47 Raw'!M136</f>
        <v>444.73553500000003</v>
      </c>
      <c r="K152" s="17">
        <f>'AEO 2023 Table 47 Raw'!N136</f>
        <v>465.55981400000002</v>
      </c>
      <c r="L152" s="17">
        <f>'AEO 2023 Table 47 Raw'!O136</f>
        <v>486.492706</v>
      </c>
      <c r="M152" s="17">
        <f>'AEO 2023 Table 47 Raw'!P136</f>
        <v>508.21795700000001</v>
      </c>
      <c r="N152" s="17">
        <f>'AEO 2023 Table 47 Raw'!Q136</f>
        <v>530.80432099999996</v>
      </c>
      <c r="O152" s="17">
        <f>'AEO 2023 Table 47 Raw'!R136</f>
        <v>554.29113800000005</v>
      </c>
      <c r="P152" s="17">
        <f>'AEO 2023 Table 47 Raw'!S136</f>
        <v>578.72289999999998</v>
      </c>
      <c r="Q152" s="17">
        <f>'AEO 2023 Table 47 Raw'!T136</f>
        <v>603.86834699999997</v>
      </c>
      <c r="R152" s="17">
        <f>'AEO 2023 Table 47 Raw'!U136</f>
        <v>629.992615</v>
      </c>
      <c r="S152" s="17">
        <f>'AEO 2023 Table 47 Raw'!V136</f>
        <v>657.12609899999995</v>
      </c>
      <c r="T152" s="17">
        <f>'AEO 2023 Table 47 Raw'!W136</f>
        <v>685.28576699999996</v>
      </c>
      <c r="U152" s="17">
        <f>'AEO 2023 Table 47 Raw'!X136</f>
        <v>714.50665300000003</v>
      </c>
      <c r="V152" s="17">
        <f>'AEO 2023 Table 47 Raw'!Y136</f>
        <v>744.58624299999997</v>
      </c>
      <c r="W152" s="17">
        <f>'AEO 2023 Table 47 Raw'!Z136</f>
        <v>775.77813700000002</v>
      </c>
      <c r="X152" s="17">
        <f>'AEO 2023 Table 47 Raw'!AA136</f>
        <v>808.120544</v>
      </c>
      <c r="Y152" s="17">
        <f>'AEO 2023 Table 47 Raw'!AB136</f>
        <v>841.64727800000003</v>
      </c>
      <c r="Z152" s="17">
        <f>'AEO 2023 Table 47 Raw'!AC136</f>
        <v>876.40563999999995</v>
      </c>
      <c r="AA152" s="17">
        <f>'AEO 2023 Table 47 Raw'!AD136</f>
        <v>912.07891800000004</v>
      </c>
      <c r="AB152" s="17">
        <f>'AEO 2023 Table 47 Raw'!AE136</f>
        <v>949.02533000000005</v>
      </c>
      <c r="AC152" s="17">
        <f>'AEO 2023 Table 47 Raw'!AF136</f>
        <v>987.29339600000003</v>
      </c>
      <c r="AD152" s="17">
        <f>'AEO 2023 Table 47 Raw'!AG136</f>
        <v>1026.921143</v>
      </c>
      <c r="AE152" s="17">
        <f>'AEO 2023 Table 47 Raw'!AH136</f>
        <v>1067.9521480000001</v>
      </c>
      <c r="AF152" s="30">
        <f>'AEO 2023 Table 47 Raw'!AI136</f>
        <v>7.0000000000000007E-2</v>
      </c>
    </row>
    <row r="153" spans="1:32" ht="15" customHeight="1">
      <c r="A153" s="7" t="s">
        <v>682</v>
      </c>
      <c r="B153" s="16" t="s">
        <v>632</v>
      </c>
      <c r="C153" s="17">
        <f>'AEO 2023 Table 47 Raw'!F137</f>
        <v>47.925185999999997</v>
      </c>
      <c r="D153" s="17">
        <f>'AEO 2023 Table 47 Raw'!G137</f>
        <v>65.206665000000001</v>
      </c>
      <c r="E153" s="17">
        <f>'AEO 2023 Table 47 Raw'!H137</f>
        <v>84.260093999999995</v>
      </c>
      <c r="F153" s="17">
        <f>'AEO 2023 Table 47 Raw'!I137</f>
        <v>98.283669000000003</v>
      </c>
      <c r="G153" s="17">
        <f>'AEO 2023 Table 47 Raw'!J137</f>
        <v>106.965828</v>
      </c>
      <c r="H153" s="17">
        <f>'AEO 2023 Table 47 Raw'!K137</f>
        <v>113.162628</v>
      </c>
      <c r="I153" s="17">
        <f>'AEO 2023 Table 47 Raw'!L137</f>
        <v>119.248817</v>
      </c>
      <c r="J153" s="17">
        <f>'AEO 2023 Table 47 Raw'!M137</f>
        <v>124.49781</v>
      </c>
      <c r="K153" s="17">
        <f>'AEO 2023 Table 47 Raw'!N137</f>
        <v>129.91471899999999</v>
      </c>
      <c r="L153" s="17">
        <f>'AEO 2023 Table 47 Raw'!O137</f>
        <v>135.37001000000001</v>
      </c>
      <c r="M153" s="17">
        <f>'AEO 2023 Table 47 Raw'!P137</f>
        <v>140.99529999999999</v>
      </c>
      <c r="N153" s="17">
        <f>'AEO 2023 Table 47 Raw'!Q137</f>
        <v>146.82103000000001</v>
      </c>
      <c r="O153" s="17">
        <f>'AEO 2023 Table 47 Raw'!R137</f>
        <v>152.85952800000001</v>
      </c>
      <c r="P153" s="17">
        <f>'AEO 2023 Table 47 Raw'!S137</f>
        <v>159.126328</v>
      </c>
      <c r="Q153" s="17">
        <f>'AEO 2023 Table 47 Raw'!T137</f>
        <v>165.56712300000001</v>
      </c>
      <c r="R153" s="17">
        <f>'AEO 2023 Table 47 Raw'!U137</f>
        <v>172.23751799999999</v>
      </c>
      <c r="S153" s="17">
        <f>'AEO 2023 Table 47 Raw'!V137</f>
        <v>179.143967</v>
      </c>
      <c r="T153" s="17">
        <f>'AEO 2023 Table 47 Raw'!W137</f>
        <v>186.28448499999999</v>
      </c>
      <c r="U153" s="17">
        <f>'AEO 2023 Table 47 Raw'!X137</f>
        <v>193.666122</v>
      </c>
      <c r="V153" s="17">
        <f>'AEO 2023 Table 47 Raw'!Y137</f>
        <v>201.24624600000001</v>
      </c>
      <c r="W153" s="17">
        <f>'AEO 2023 Table 47 Raw'!Z137</f>
        <v>209.07875100000001</v>
      </c>
      <c r="X153" s="17">
        <f>'AEO 2023 Table 47 Raw'!AA137</f>
        <v>217.173676</v>
      </c>
      <c r="Y153" s="17">
        <f>'AEO 2023 Table 47 Raw'!AB137</f>
        <v>225.537994</v>
      </c>
      <c r="Z153" s="17">
        <f>'AEO 2023 Table 47 Raw'!AC137</f>
        <v>234.18237300000001</v>
      </c>
      <c r="AA153" s="17">
        <f>'AEO 2023 Table 47 Raw'!AD137</f>
        <v>243.03521699999999</v>
      </c>
      <c r="AB153" s="17">
        <f>'AEO 2023 Table 47 Raw'!AE137</f>
        <v>252.17364499999999</v>
      </c>
      <c r="AC153" s="17">
        <f>'AEO 2023 Table 47 Raw'!AF137</f>
        <v>261.61105300000003</v>
      </c>
      <c r="AD153" s="17">
        <f>'AEO 2023 Table 47 Raw'!AG137</f>
        <v>271.35537699999998</v>
      </c>
      <c r="AE153" s="17">
        <f>'AEO 2023 Table 47 Raw'!AH137</f>
        <v>281.41656499999999</v>
      </c>
      <c r="AF153" s="30">
        <f>'AEO 2023 Table 47 Raw'!AI137</f>
        <v>6.5000000000000002E-2</v>
      </c>
    </row>
    <row r="154" spans="1:32" ht="15" customHeight="1">
      <c r="A154" s="7" t="s">
        <v>683</v>
      </c>
      <c r="B154" s="16" t="s">
        <v>606</v>
      </c>
      <c r="C154" s="17">
        <f>'AEO 2023 Table 47 Raw'!F138</f>
        <v>111.985527</v>
      </c>
      <c r="D154" s="17">
        <f>'AEO 2023 Table 47 Raw'!G138</f>
        <v>151.942352</v>
      </c>
      <c r="E154" s="17">
        <f>'AEO 2023 Table 47 Raw'!H138</f>
        <v>195.23732000000001</v>
      </c>
      <c r="F154" s="17">
        <f>'AEO 2023 Table 47 Raw'!I138</f>
        <v>232.306488</v>
      </c>
      <c r="G154" s="17">
        <f>'AEO 2023 Table 47 Raw'!J138</f>
        <v>261.88717700000001</v>
      </c>
      <c r="H154" s="17">
        <f>'AEO 2023 Table 47 Raw'!K138</f>
        <v>281.36276199999998</v>
      </c>
      <c r="I154" s="17">
        <f>'AEO 2023 Table 47 Raw'!L138</f>
        <v>300.00149499999998</v>
      </c>
      <c r="J154" s="17">
        <f>'AEO 2023 Table 47 Raw'!M138</f>
        <v>314.694458</v>
      </c>
      <c r="K154" s="17">
        <f>'AEO 2023 Table 47 Raw'!N138</f>
        <v>329.890533</v>
      </c>
      <c r="L154" s="17">
        <f>'AEO 2023 Table 47 Raw'!O138</f>
        <v>345.15454099999999</v>
      </c>
      <c r="M154" s="17">
        <f>'AEO 2023 Table 47 Raw'!P138</f>
        <v>361.03707900000001</v>
      </c>
      <c r="N154" s="17">
        <f>'AEO 2023 Table 47 Raw'!Q138</f>
        <v>377.57427999999999</v>
      </c>
      <c r="O154" s="17">
        <f>'AEO 2023 Table 47 Raw'!R138</f>
        <v>394.79260299999999</v>
      </c>
      <c r="P154" s="17">
        <f>'AEO 2023 Table 47 Raw'!S138</f>
        <v>412.71994000000001</v>
      </c>
      <c r="Q154" s="17">
        <f>'AEO 2023 Table 47 Raw'!T138</f>
        <v>431.18127399999997</v>
      </c>
      <c r="R154" s="17">
        <f>'AEO 2023 Table 47 Raw'!U138</f>
        <v>450.384613</v>
      </c>
      <c r="S154" s="17">
        <f>'AEO 2023 Table 47 Raw'!V138</f>
        <v>470.35406499999999</v>
      </c>
      <c r="T154" s="17">
        <f>'AEO 2023 Table 47 Raw'!W138</f>
        <v>491.10906999999997</v>
      </c>
      <c r="U154" s="17">
        <f>'AEO 2023 Table 47 Raw'!X138</f>
        <v>512.677368</v>
      </c>
      <c r="V154" s="17">
        <f>'AEO 2023 Table 47 Raw'!Y138</f>
        <v>534.90020800000002</v>
      </c>
      <c r="W154" s="17">
        <f>'AEO 2023 Table 47 Raw'!Z138</f>
        <v>557.97601299999997</v>
      </c>
      <c r="X154" s="17">
        <f>'AEO 2023 Table 47 Raw'!AA138</f>
        <v>581.93243399999994</v>
      </c>
      <c r="Y154" s="17">
        <f>'AEO 2023 Table 47 Raw'!AB138</f>
        <v>606.79632600000002</v>
      </c>
      <c r="Z154" s="17">
        <f>'AEO 2023 Table 47 Raw'!AC138</f>
        <v>632.60412599999995</v>
      </c>
      <c r="AA154" s="17">
        <f>'AEO 2023 Table 47 Raw'!AD138</f>
        <v>659.11236599999995</v>
      </c>
      <c r="AB154" s="17">
        <f>'AEO 2023 Table 47 Raw'!AE138</f>
        <v>686.60070800000005</v>
      </c>
      <c r="AC154" s="17">
        <f>'AEO 2023 Table 47 Raw'!AF138</f>
        <v>715.10357699999997</v>
      </c>
      <c r="AD154" s="17">
        <f>'AEO 2023 Table 47 Raw'!AG138</f>
        <v>744.650757</v>
      </c>
      <c r="AE154" s="17">
        <f>'AEO 2023 Table 47 Raw'!AH138</f>
        <v>775.27581799999996</v>
      </c>
      <c r="AF154" s="30">
        <f>'AEO 2023 Table 47 Raw'!AI138</f>
        <v>7.1999999999999995E-2</v>
      </c>
    </row>
    <row r="155" spans="1:32" ht="15" customHeight="1">
      <c r="A155" s="7" t="s">
        <v>684</v>
      </c>
      <c r="B155" s="16" t="s">
        <v>608</v>
      </c>
      <c r="C155" s="17">
        <f>'AEO 2023 Table 47 Raw'!F139</f>
        <v>2.3688289999999999</v>
      </c>
      <c r="D155" s="17">
        <f>'AEO 2023 Table 47 Raw'!G139</f>
        <v>3.1953429999999998</v>
      </c>
      <c r="E155" s="17">
        <f>'AEO 2023 Table 47 Raw'!H139</f>
        <v>4.1042870000000002</v>
      </c>
      <c r="F155" s="17">
        <f>'AEO 2023 Table 47 Raw'!I139</f>
        <v>4.6964689999999996</v>
      </c>
      <c r="G155" s="17">
        <f>'AEO 2023 Table 47 Raw'!J139</f>
        <v>4.9313560000000001</v>
      </c>
      <c r="H155" s="17">
        <f>'AEO 2023 Table 47 Raw'!K139</f>
        <v>5.1315350000000004</v>
      </c>
      <c r="I155" s="17">
        <f>'AEO 2023 Table 47 Raw'!L139</f>
        <v>5.3378620000000003</v>
      </c>
      <c r="J155" s="17">
        <f>'AEO 2023 Table 47 Raw'!M139</f>
        <v>5.5432589999999999</v>
      </c>
      <c r="K155" s="17">
        <f>'AEO 2023 Table 47 Raw'!N139</f>
        <v>5.7545710000000003</v>
      </c>
      <c r="L155" s="17">
        <f>'AEO 2023 Table 47 Raw'!O139</f>
        <v>5.968172</v>
      </c>
      <c r="M155" s="17">
        <f>'AEO 2023 Table 47 Raw'!P139</f>
        <v>6.1855859999999998</v>
      </c>
      <c r="N155" s="17">
        <f>'AEO 2023 Table 47 Raw'!Q139</f>
        <v>6.4089879999999999</v>
      </c>
      <c r="O155" s="17">
        <f>'AEO 2023 Table 47 Raw'!R139</f>
        <v>6.6390180000000001</v>
      </c>
      <c r="P155" s="17">
        <f>'AEO 2023 Table 47 Raw'!S139</f>
        <v>6.8765869999999998</v>
      </c>
      <c r="Q155" s="17">
        <f>'AEO 2023 Table 47 Raw'!T139</f>
        <v>7.1200349999999997</v>
      </c>
      <c r="R155" s="17">
        <f>'AEO 2023 Table 47 Raw'!U139</f>
        <v>7.3704929999999997</v>
      </c>
      <c r="S155" s="17">
        <f>'AEO 2023 Table 47 Raw'!V139</f>
        <v>7.6280970000000003</v>
      </c>
      <c r="T155" s="17">
        <f>'AEO 2023 Table 47 Raw'!W139</f>
        <v>7.8922679999999996</v>
      </c>
      <c r="U155" s="17">
        <f>'AEO 2023 Table 47 Raw'!X139</f>
        <v>8.1631269999999994</v>
      </c>
      <c r="V155" s="17">
        <f>'AEO 2023 Table 47 Raw'!Y139</f>
        <v>8.4397870000000008</v>
      </c>
      <c r="W155" s="17">
        <f>'AEO 2023 Table 47 Raw'!Z139</f>
        <v>8.7234130000000007</v>
      </c>
      <c r="X155" s="17">
        <f>'AEO 2023 Table 47 Raw'!AA139</f>
        <v>9.0144040000000007</v>
      </c>
      <c r="Y155" s="17">
        <f>'AEO 2023 Table 47 Raw'!AB139</f>
        <v>9.3128930000000008</v>
      </c>
      <c r="Z155" s="17">
        <f>'AEO 2023 Table 47 Raw'!AC139</f>
        <v>9.6191580000000005</v>
      </c>
      <c r="AA155" s="17">
        <f>'AEO 2023 Table 47 Raw'!AD139</f>
        <v>9.93126</v>
      </c>
      <c r="AB155" s="17">
        <f>'AEO 2023 Table 47 Raw'!AE139</f>
        <v>10.250947</v>
      </c>
      <c r="AC155" s="17">
        <f>'AEO 2023 Table 47 Raw'!AF139</f>
        <v>10.578808</v>
      </c>
      <c r="AD155" s="17">
        <f>'AEO 2023 Table 47 Raw'!AG139</f>
        <v>10.914996</v>
      </c>
      <c r="AE155" s="17">
        <f>'AEO 2023 Table 47 Raw'!AH139</f>
        <v>11.259789</v>
      </c>
      <c r="AF155" s="30">
        <f>'AEO 2023 Table 47 Raw'!AI139</f>
        <v>5.7000000000000002E-2</v>
      </c>
    </row>
    <row r="156" spans="1:32" ht="15" customHeight="1">
      <c r="A156" s="7" t="s">
        <v>685</v>
      </c>
      <c r="B156" s="16" t="s">
        <v>610</v>
      </c>
      <c r="C156" s="17">
        <f>'AEO 2023 Table 47 Raw'!F140</f>
        <v>108.068314</v>
      </c>
      <c r="D156" s="17">
        <f>'AEO 2023 Table 47 Raw'!G140</f>
        <v>134.33866900000001</v>
      </c>
      <c r="E156" s="17">
        <f>'AEO 2023 Table 47 Raw'!H140</f>
        <v>160.460846</v>
      </c>
      <c r="F156" s="17">
        <f>'AEO 2023 Table 47 Raw'!I140</f>
        <v>175.372849</v>
      </c>
      <c r="G156" s="17">
        <f>'AEO 2023 Table 47 Raw'!J140</f>
        <v>190.59790000000001</v>
      </c>
      <c r="H156" s="17">
        <f>'AEO 2023 Table 47 Raw'!K140</f>
        <v>200.96203600000001</v>
      </c>
      <c r="I156" s="17">
        <f>'AEO 2023 Table 47 Raw'!L140</f>
        <v>209.95349100000001</v>
      </c>
      <c r="J156" s="17">
        <f>'AEO 2023 Table 47 Raw'!M140</f>
        <v>219.482651</v>
      </c>
      <c r="K156" s="17">
        <f>'AEO 2023 Table 47 Raw'!N140</f>
        <v>229.459</v>
      </c>
      <c r="L156" s="17">
        <f>'AEO 2023 Table 47 Raw'!O140</f>
        <v>239.86399800000001</v>
      </c>
      <c r="M156" s="17">
        <f>'AEO 2023 Table 47 Raw'!P140</f>
        <v>250.63970900000001</v>
      </c>
      <c r="N156" s="17">
        <f>'AEO 2023 Table 47 Raw'!Q140</f>
        <v>261.76123000000001</v>
      </c>
      <c r="O156" s="17">
        <f>'AEO 2023 Table 47 Raw'!R140</f>
        <v>273.22671500000001</v>
      </c>
      <c r="P156" s="17">
        <f>'AEO 2023 Table 47 Raw'!S140</f>
        <v>285.03585800000002</v>
      </c>
      <c r="Q156" s="17">
        <f>'AEO 2023 Table 47 Raw'!T140</f>
        <v>297.30960099999999</v>
      </c>
      <c r="R156" s="17">
        <f>'AEO 2023 Table 47 Raw'!U140</f>
        <v>309.96319599999998</v>
      </c>
      <c r="S156" s="17">
        <f>'AEO 2023 Table 47 Raw'!V140</f>
        <v>322.98092700000001</v>
      </c>
      <c r="T156" s="17">
        <f>'AEO 2023 Table 47 Raw'!W140</f>
        <v>336.36114500000002</v>
      </c>
      <c r="U156" s="17">
        <f>'AEO 2023 Table 47 Raw'!X140</f>
        <v>350.11276199999998</v>
      </c>
      <c r="V156" s="17">
        <f>'AEO 2023 Table 47 Raw'!Y140</f>
        <v>364.35461400000003</v>
      </c>
      <c r="W156" s="17">
        <f>'AEO 2023 Table 47 Raw'!Z140</f>
        <v>378.99136399999998</v>
      </c>
      <c r="X156" s="17">
        <f>'AEO 2023 Table 47 Raw'!AA140</f>
        <v>394.01416</v>
      </c>
      <c r="Y156" s="17">
        <f>'AEO 2023 Table 47 Raw'!AB140</f>
        <v>409.428406</v>
      </c>
      <c r="Z156" s="17">
        <f>'AEO 2023 Table 47 Raw'!AC140</f>
        <v>425.250519</v>
      </c>
      <c r="AA156" s="17">
        <f>'AEO 2023 Table 47 Raw'!AD140</f>
        <v>441.58010899999999</v>
      </c>
      <c r="AB156" s="17">
        <f>'AEO 2023 Table 47 Raw'!AE140</f>
        <v>458.33084100000002</v>
      </c>
      <c r="AC156" s="17">
        <f>'AEO 2023 Table 47 Raw'!AF140</f>
        <v>475.49792500000001</v>
      </c>
      <c r="AD156" s="17">
        <f>'AEO 2023 Table 47 Raw'!AG140</f>
        <v>493.08587599999998</v>
      </c>
      <c r="AE156" s="17">
        <f>'AEO 2023 Table 47 Raw'!AH140</f>
        <v>511.11007699999999</v>
      </c>
      <c r="AF156" s="30">
        <f>'AEO 2023 Table 47 Raw'!AI140</f>
        <v>5.7000000000000002E-2</v>
      </c>
    </row>
    <row r="157" spans="1:32" ht="15" customHeight="1">
      <c r="A157" s="7" t="s">
        <v>686</v>
      </c>
      <c r="B157" s="16" t="s">
        <v>634</v>
      </c>
      <c r="C157" s="17">
        <f>'AEO 2023 Table 47 Raw'!F141</f>
        <v>45.485579999999999</v>
      </c>
      <c r="D157" s="17">
        <f>'AEO 2023 Table 47 Raw'!G141</f>
        <v>55.676124999999999</v>
      </c>
      <c r="E157" s="17">
        <f>'AEO 2023 Table 47 Raw'!H141</f>
        <v>66.977654000000001</v>
      </c>
      <c r="F157" s="17">
        <f>'AEO 2023 Table 47 Raw'!I141</f>
        <v>72.654563999999993</v>
      </c>
      <c r="G157" s="17">
        <f>'AEO 2023 Table 47 Raw'!J141</f>
        <v>78.271675000000002</v>
      </c>
      <c r="H157" s="17">
        <f>'AEO 2023 Table 47 Raw'!K141</f>
        <v>82.364295999999996</v>
      </c>
      <c r="I157" s="17">
        <f>'AEO 2023 Table 47 Raw'!L141</f>
        <v>86.127701000000002</v>
      </c>
      <c r="J157" s="17">
        <f>'AEO 2023 Table 47 Raw'!M141</f>
        <v>90.092490999999995</v>
      </c>
      <c r="K157" s="17">
        <f>'AEO 2023 Table 47 Raw'!N141</f>
        <v>94.245590000000007</v>
      </c>
      <c r="L157" s="17">
        <f>'AEO 2023 Table 47 Raw'!O141</f>
        <v>98.584045000000003</v>
      </c>
      <c r="M157" s="17">
        <f>'AEO 2023 Table 47 Raw'!P141</f>
        <v>103.082115</v>
      </c>
      <c r="N157" s="17">
        <f>'AEO 2023 Table 47 Raw'!Q141</f>
        <v>107.73053</v>
      </c>
      <c r="O157" s="17">
        <f>'AEO 2023 Table 47 Raw'!R141</f>
        <v>112.529045</v>
      </c>
      <c r="P157" s="17">
        <f>'AEO 2023 Table 47 Raw'!S141</f>
        <v>117.478104</v>
      </c>
      <c r="Q157" s="17">
        <f>'AEO 2023 Table 47 Raw'!T141</f>
        <v>122.62938699999999</v>
      </c>
      <c r="R157" s="17">
        <f>'AEO 2023 Table 47 Raw'!U141</f>
        <v>127.946747</v>
      </c>
      <c r="S157" s="17">
        <f>'AEO 2023 Table 47 Raw'!V141</f>
        <v>133.42456100000001</v>
      </c>
      <c r="T157" s="17">
        <f>'AEO 2023 Table 47 Raw'!W141</f>
        <v>139.062714</v>
      </c>
      <c r="U157" s="17">
        <f>'AEO 2023 Table 47 Raw'!X141</f>
        <v>144.863831</v>
      </c>
      <c r="V157" s="17">
        <f>'AEO 2023 Table 47 Raw'!Y141</f>
        <v>150.87931800000001</v>
      </c>
      <c r="W157" s="17">
        <f>'AEO 2023 Table 47 Raw'!Z141</f>
        <v>157.06916799999999</v>
      </c>
      <c r="X157" s="17">
        <f>'AEO 2023 Table 47 Raw'!AA141</f>
        <v>163.43048099999999</v>
      </c>
      <c r="Y157" s="17">
        <f>'AEO 2023 Table 47 Raw'!AB141</f>
        <v>169.96601899999999</v>
      </c>
      <c r="Z157" s="17">
        <f>'AEO 2023 Table 47 Raw'!AC141</f>
        <v>176.68287699999999</v>
      </c>
      <c r="AA157" s="17">
        <f>'AEO 2023 Table 47 Raw'!AD141</f>
        <v>183.623535</v>
      </c>
      <c r="AB157" s="17">
        <f>'AEO 2023 Table 47 Raw'!AE141</f>
        <v>190.75221300000001</v>
      </c>
      <c r="AC157" s="17">
        <f>'AEO 2023 Table 47 Raw'!AF141</f>
        <v>198.06779499999999</v>
      </c>
      <c r="AD157" s="17">
        <f>'AEO 2023 Table 47 Raw'!AG141</f>
        <v>205.57281499999999</v>
      </c>
      <c r="AE157" s="17">
        <f>'AEO 2023 Table 47 Raw'!AH141</f>
        <v>213.27409399999999</v>
      </c>
      <c r="AF157" s="30">
        <f>'AEO 2023 Table 47 Raw'!AI141</f>
        <v>5.7000000000000002E-2</v>
      </c>
    </row>
    <row r="158" spans="1:32" ht="15" customHeight="1">
      <c r="A158" s="7" t="s">
        <v>687</v>
      </c>
      <c r="B158" s="16" t="s">
        <v>606</v>
      </c>
      <c r="C158" s="17">
        <f>'AEO 2023 Table 47 Raw'!F142</f>
        <v>57.727024</v>
      </c>
      <c r="D158" s="17">
        <f>'AEO 2023 Table 47 Raw'!G142</f>
        <v>72.771004000000005</v>
      </c>
      <c r="E158" s="17">
        <f>'AEO 2023 Table 47 Raw'!H142</f>
        <v>86.377089999999995</v>
      </c>
      <c r="F158" s="17">
        <f>'AEO 2023 Table 47 Raw'!I142</f>
        <v>95.095618999999999</v>
      </c>
      <c r="G158" s="17">
        <f>'AEO 2023 Table 47 Raw'!J142</f>
        <v>104.223206</v>
      </c>
      <c r="H158" s="17">
        <f>'AEO 2023 Table 47 Raw'!K142</f>
        <v>110.09704600000001</v>
      </c>
      <c r="I158" s="17">
        <f>'AEO 2023 Table 47 Raw'!L142</f>
        <v>114.92420199999999</v>
      </c>
      <c r="J158" s="17">
        <f>'AEO 2023 Table 47 Raw'!M142</f>
        <v>120.06993900000001</v>
      </c>
      <c r="K158" s="17">
        <f>'AEO 2023 Table 47 Raw'!N142</f>
        <v>125.454285</v>
      </c>
      <c r="L158" s="17">
        <f>'AEO 2023 Table 47 Raw'!O142</f>
        <v>131.06126399999999</v>
      </c>
      <c r="M158" s="17">
        <f>'AEO 2023 Table 47 Raw'!P142</f>
        <v>136.86163300000001</v>
      </c>
      <c r="N158" s="17">
        <f>'AEO 2023 Table 47 Raw'!Q142</f>
        <v>142.84060700000001</v>
      </c>
      <c r="O158" s="17">
        <f>'AEO 2023 Table 47 Raw'!R142</f>
        <v>148.99646000000001</v>
      </c>
      <c r="P158" s="17">
        <f>'AEO 2023 Table 47 Raw'!S142</f>
        <v>155.32835399999999</v>
      </c>
      <c r="Q158" s="17">
        <f>'AEO 2023 Table 47 Raw'!T142</f>
        <v>161.89987199999999</v>
      </c>
      <c r="R158" s="17">
        <f>'AEO 2023 Table 47 Raw'!U142</f>
        <v>168.666382</v>
      </c>
      <c r="S158" s="17">
        <f>'AEO 2023 Table 47 Raw'!V142</f>
        <v>175.618225</v>
      </c>
      <c r="T158" s="17">
        <f>'AEO 2023 Table 47 Raw'!W142</f>
        <v>182.753784</v>
      </c>
      <c r="U158" s="17">
        <f>'AEO 2023 Table 47 Raw'!X142</f>
        <v>190.07925399999999</v>
      </c>
      <c r="V158" s="17">
        <f>'AEO 2023 Table 47 Raw'!Y142</f>
        <v>197.656296</v>
      </c>
      <c r="W158" s="17">
        <f>'AEO 2023 Table 47 Raw'!Z142</f>
        <v>205.43386799999999</v>
      </c>
      <c r="X158" s="17">
        <f>'AEO 2023 Table 47 Raw'!AA142</f>
        <v>213.40623500000001</v>
      </c>
      <c r="Y158" s="17">
        <f>'AEO 2023 Table 47 Raw'!AB142</f>
        <v>221.57566800000001</v>
      </c>
      <c r="Z158" s="17">
        <f>'AEO 2023 Table 47 Raw'!AC142</f>
        <v>229.95066800000001</v>
      </c>
      <c r="AA158" s="17">
        <f>'AEO 2023 Table 47 Raw'!AD142</f>
        <v>238.58374000000001</v>
      </c>
      <c r="AB158" s="17">
        <f>'AEO 2023 Table 47 Raw'!AE142</f>
        <v>247.42799400000001</v>
      </c>
      <c r="AC158" s="17">
        <f>'AEO 2023 Table 47 Raw'!AF142</f>
        <v>256.47988900000001</v>
      </c>
      <c r="AD158" s="17">
        <f>'AEO 2023 Table 47 Raw'!AG142</f>
        <v>265.74093599999998</v>
      </c>
      <c r="AE158" s="17">
        <f>'AEO 2023 Table 47 Raw'!AH142</f>
        <v>275.21890300000001</v>
      </c>
      <c r="AF158" s="30">
        <f>'AEO 2023 Table 47 Raw'!AI142</f>
        <v>5.7000000000000002E-2</v>
      </c>
    </row>
    <row r="159" spans="1:32" ht="15" customHeight="1">
      <c r="A159" s="7" t="s">
        <v>688</v>
      </c>
      <c r="B159" s="16" t="s">
        <v>608</v>
      </c>
      <c r="C159" s="17">
        <f>'AEO 2023 Table 47 Raw'!F143</f>
        <v>4.855702</v>
      </c>
      <c r="D159" s="17">
        <f>'AEO 2023 Table 47 Raw'!G143</f>
        <v>5.891534</v>
      </c>
      <c r="E159" s="17">
        <f>'AEO 2023 Table 47 Raw'!H143</f>
        <v>7.1060939999999997</v>
      </c>
      <c r="F159" s="17">
        <f>'AEO 2023 Table 47 Raw'!I143</f>
        <v>7.6226510000000003</v>
      </c>
      <c r="G159" s="17">
        <f>'AEO 2023 Table 47 Raw'!J143</f>
        <v>8.1030320000000007</v>
      </c>
      <c r="H159" s="17">
        <f>'AEO 2023 Table 47 Raw'!K143</f>
        <v>8.5006830000000004</v>
      </c>
      <c r="I159" s="17">
        <f>'AEO 2023 Table 47 Raw'!L143</f>
        <v>8.9015810000000002</v>
      </c>
      <c r="J159" s="17">
        <f>'AEO 2023 Table 47 Raw'!M143</f>
        <v>9.3202309999999997</v>
      </c>
      <c r="K159" s="17">
        <f>'AEO 2023 Table 47 Raw'!N143</f>
        <v>9.7591210000000004</v>
      </c>
      <c r="L159" s="17">
        <f>'AEO 2023 Table 47 Raw'!O143</f>
        <v>10.218685000000001</v>
      </c>
      <c r="M159" s="17">
        <f>'AEO 2023 Table 47 Raw'!P143</f>
        <v>10.695945999999999</v>
      </c>
      <c r="N159" s="17">
        <f>'AEO 2023 Table 47 Raw'!Q143</f>
        <v>11.190096</v>
      </c>
      <c r="O159" s="17">
        <f>'AEO 2023 Table 47 Raw'!R143</f>
        <v>11.701198</v>
      </c>
      <c r="P159" s="17">
        <f>'AEO 2023 Table 47 Raw'!S143</f>
        <v>12.229378000000001</v>
      </c>
      <c r="Q159" s="17">
        <f>'AEO 2023 Table 47 Raw'!T143</f>
        <v>12.780315999999999</v>
      </c>
      <c r="R159" s="17">
        <f>'AEO 2023 Table 47 Raw'!U143</f>
        <v>13.350054</v>
      </c>
      <c r="S159" s="17">
        <f>'AEO 2023 Table 47 Raw'!V143</f>
        <v>13.938138</v>
      </c>
      <c r="T159" s="17">
        <f>'AEO 2023 Table 47 Raw'!W143</f>
        <v>14.544650000000001</v>
      </c>
      <c r="U159" s="17">
        <f>'AEO 2023 Table 47 Raw'!X143</f>
        <v>15.169689</v>
      </c>
      <c r="V159" s="17">
        <f>'AEO 2023 Table 47 Raw'!Y143</f>
        <v>15.819004</v>
      </c>
      <c r="W159" s="17">
        <f>'AEO 2023 Table 47 Raw'!Z143</f>
        <v>16.488309999999998</v>
      </c>
      <c r="X159" s="17">
        <f>'AEO 2023 Table 47 Raw'!AA143</f>
        <v>17.177424999999999</v>
      </c>
      <c r="Y159" s="17">
        <f>'AEO 2023 Table 47 Raw'!AB143</f>
        <v>17.886718999999999</v>
      </c>
      <c r="Z159" s="17">
        <f>'AEO 2023 Table 47 Raw'!AC143</f>
        <v>18.616985</v>
      </c>
      <c r="AA159" s="17">
        <f>'AEO 2023 Table 47 Raw'!AD143</f>
        <v>19.372869000000001</v>
      </c>
      <c r="AB159" s="17">
        <f>'AEO 2023 Table 47 Raw'!AE143</f>
        <v>20.150623</v>
      </c>
      <c r="AC159" s="17">
        <f>'AEO 2023 Table 47 Raw'!AF143</f>
        <v>20.950258000000002</v>
      </c>
      <c r="AD159" s="17">
        <f>'AEO 2023 Table 47 Raw'!AG143</f>
        <v>21.772144000000001</v>
      </c>
      <c r="AE159" s="17">
        <f>'AEO 2023 Table 47 Raw'!AH143</f>
        <v>22.617076999999998</v>
      </c>
      <c r="AF159" s="30">
        <f>'AEO 2023 Table 47 Raw'!AI143</f>
        <v>5.6000000000000001E-2</v>
      </c>
    </row>
    <row r="160" spans="1:32" ht="15" customHeight="1">
      <c r="A160" s="7" t="s">
        <v>689</v>
      </c>
      <c r="B160" s="16" t="s">
        <v>610</v>
      </c>
      <c r="C160" s="17">
        <f>'AEO 2023 Table 47 Raw'!F144</f>
        <v>87.274039999999999</v>
      </c>
      <c r="D160" s="17">
        <f>'AEO 2023 Table 47 Raw'!G144</f>
        <v>97.675728000000007</v>
      </c>
      <c r="E160" s="17">
        <f>'AEO 2023 Table 47 Raw'!H144</f>
        <v>104.957893</v>
      </c>
      <c r="F160" s="17">
        <f>'AEO 2023 Table 47 Raw'!I144</f>
        <v>111.186455</v>
      </c>
      <c r="G160" s="17">
        <f>'AEO 2023 Table 47 Raw'!J144</f>
        <v>117.21154</v>
      </c>
      <c r="H160" s="17">
        <f>'AEO 2023 Table 47 Raw'!K144</f>
        <v>121.512398</v>
      </c>
      <c r="I160" s="17">
        <f>'AEO 2023 Table 47 Raw'!L144</f>
        <v>125.17572</v>
      </c>
      <c r="J160" s="17">
        <f>'AEO 2023 Table 47 Raw'!M144</f>
        <v>128.093277</v>
      </c>
      <c r="K160" s="17">
        <f>'AEO 2023 Table 47 Raw'!N144</f>
        <v>130.81806900000001</v>
      </c>
      <c r="L160" s="17">
        <f>'AEO 2023 Table 47 Raw'!O144</f>
        <v>133.28259299999999</v>
      </c>
      <c r="M160" s="17">
        <f>'AEO 2023 Table 47 Raw'!P144</f>
        <v>135.629974</v>
      </c>
      <c r="N160" s="17">
        <f>'AEO 2023 Table 47 Raw'!Q144</f>
        <v>137.85252399999999</v>
      </c>
      <c r="O160" s="17">
        <f>'AEO 2023 Table 47 Raw'!R144</f>
        <v>139.94085699999999</v>
      </c>
      <c r="P160" s="17">
        <f>'AEO 2023 Table 47 Raw'!S144</f>
        <v>141.886719</v>
      </c>
      <c r="Q160" s="17">
        <f>'AEO 2023 Table 47 Raw'!T144</f>
        <v>143.68980400000001</v>
      </c>
      <c r="R160" s="17">
        <f>'AEO 2023 Table 47 Raw'!U144</f>
        <v>145.369553</v>
      </c>
      <c r="S160" s="17">
        <f>'AEO 2023 Table 47 Raw'!V144</f>
        <v>146.93897999999999</v>
      </c>
      <c r="T160" s="17">
        <f>'AEO 2023 Table 47 Raw'!W144</f>
        <v>148.411224</v>
      </c>
      <c r="U160" s="17">
        <f>'AEO 2023 Table 47 Raw'!X144</f>
        <v>149.79480000000001</v>
      </c>
      <c r="V160" s="17">
        <f>'AEO 2023 Table 47 Raw'!Y144</f>
        <v>151.101685</v>
      </c>
      <c r="W160" s="17">
        <f>'AEO 2023 Table 47 Raw'!Z144</f>
        <v>152.338089</v>
      </c>
      <c r="X160" s="17">
        <f>'AEO 2023 Table 47 Raw'!AA144</f>
        <v>153.50933800000001</v>
      </c>
      <c r="Y160" s="17">
        <f>'AEO 2023 Table 47 Raw'!AB144</f>
        <v>154.61885100000001</v>
      </c>
      <c r="Z160" s="17">
        <f>'AEO 2023 Table 47 Raw'!AC144</f>
        <v>155.67060900000001</v>
      </c>
      <c r="AA160" s="17">
        <f>'AEO 2023 Table 47 Raw'!AD144</f>
        <v>156.67411799999999</v>
      </c>
      <c r="AB160" s="17">
        <f>'AEO 2023 Table 47 Raw'!AE144</f>
        <v>157.629074</v>
      </c>
      <c r="AC160" s="17">
        <f>'AEO 2023 Table 47 Raw'!AF144</f>
        <v>158.53407300000001</v>
      </c>
      <c r="AD160" s="17">
        <f>'AEO 2023 Table 47 Raw'!AG144</f>
        <v>159.38314800000001</v>
      </c>
      <c r="AE160" s="17">
        <f>'AEO 2023 Table 47 Raw'!AH144</f>
        <v>160.178146</v>
      </c>
      <c r="AF160" s="30">
        <f>'AEO 2023 Table 47 Raw'!AI144</f>
        <v>2.1999999999999999E-2</v>
      </c>
    </row>
    <row r="161" spans="1:32" ht="15" customHeight="1">
      <c r="A161" s="7" t="s">
        <v>690</v>
      </c>
      <c r="B161" s="15" t="s">
        <v>112</v>
      </c>
      <c r="C161" s="11">
        <f>'AEO 2023 Table 47 Raw'!F145</f>
        <v>55.069285999999998</v>
      </c>
      <c r="D161" s="11">
        <f>'AEO 2023 Table 47 Raw'!G145</f>
        <v>58.950187999999997</v>
      </c>
      <c r="E161" s="11">
        <f>'AEO 2023 Table 47 Raw'!H145</f>
        <v>60.784492</v>
      </c>
      <c r="F161" s="11">
        <f>'AEO 2023 Table 47 Raw'!I145</f>
        <v>63.028281999999997</v>
      </c>
      <c r="G161" s="11">
        <f>'AEO 2023 Table 47 Raw'!J145</f>
        <v>65.069220999999999</v>
      </c>
      <c r="H161" s="11">
        <f>'AEO 2023 Table 47 Raw'!K145</f>
        <v>66.783760000000001</v>
      </c>
      <c r="I161" s="11">
        <f>'AEO 2023 Table 47 Raw'!L145</f>
        <v>68.396538000000007</v>
      </c>
      <c r="J161" s="11">
        <f>'AEO 2023 Table 47 Raw'!M145</f>
        <v>69.879149999999996</v>
      </c>
      <c r="K161" s="11">
        <f>'AEO 2023 Table 47 Raw'!N145</f>
        <v>71.271529999999998</v>
      </c>
      <c r="L161" s="11">
        <f>'AEO 2023 Table 47 Raw'!O145</f>
        <v>72.542534000000003</v>
      </c>
      <c r="M161" s="11">
        <f>'AEO 2023 Table 47 Raw'!P145</f>
        <v>73.758780999999999</v>
      </c>
      <c r="N161" s="11">
        <f>'AEO 2023 Table 47 Raw'!Q145</f>
        <v>74.916718000000003</v>
      </c>
      <c r="O161" s="11">
        <f>'AEO 2023 Table 47 Raw'!R145</f>
        <v>76.011939999999996</v>
      </c>
      <c r="P161" s="11">
        <f>'AEO 2023 Table 47 Raw'!S145</f>
        <v>77.040688000000003</v>
      </c>
      <c r="Q161" s="11">
        <f>'AEO 2023 Table 47 Raw'!T145</f>
        <v>78.002571000000003</v>
      </c>
      <c r="R161" s="11">
        <f>'AEO 2023 Table 47 Raw'!U145</f>
        <v>78.906502000000003</v>
      </c>
      <c r="S161" s="11">
        <f>'AEO 2023 Table 47 Raw'!V145</f>
        <v>79.758544999999998</v>
      </c>
      <c r="T161" s="11">
        <f>'AEO 2023 Table 47 Raw'!W145</f>
        <v>80.564812000000003</v>
      </c>
      <c r="U161" s="11">
        <f>'AEO 2023 Table 47 Raw'!X145</f>
        <v>81.327788999999996</v>
      </c>
      <c r="V161" s="11">
        <f>'AEO 2023 Table 47 Raw'!Y145</f>
        <v>82.053589000000002</v>
      </c>
      <c r="W161" s="11">
        <f>'AEO 2023 Table 47 Raw'!Z145</f>
        <v>82.744964999999993</v>
      </c>
      <c r="X161" s="11">
        <f>'AEO 2023 Table 47 Raw'!AA145</f>
        <v>83.404449</v>
      </c>
      <c r="Y161" s="11">
        <f>'AEO 2023 Table 47 Raw'!AB145</f>
        <v>84.033835999999994</v>
      </c>
      <c r="Z161" s="11">
        <f>'AEO 2023 Table 47 Raw'!AC145</f>
        <v>84.634856999999997</v>
      </c>
      <c r="AA161" s="11">
        <f>'AEO 2023 Table 47 Raw'!AD145</f>
        <v>85.210953000000003</v>
      </c>
      <c r="AB161" s="11">
        <f>'AEO 2023 Table 47 Raw'!AE145</f>
        <v>85.762046999999995</v>
      </c>
      <c r="AC161" s="11">
        <f>'AEO 2023 Table 47 Raw'!AF145</f>
        <v>86.288871999999998</v>
      </c>
      <c r="AD161" s="11">
        <f>'AEO 2023 Table 47 Raw'!AG145</f>
        <v>86.790169000000006</v>
      </c>
      <c r="AE161" s="11">
        <f>'AEO 2023 Table 47 Raw'!AH145</f>
        <v>87.267905999999996</v>
      </c>
      <c r="AF161" s="32">
        <f>'AEO 2023 Table 47 Raw'!AI145</f>
        <v>1.7000000000000001E-2</v>
      </c>
    </row>
    <row r="162" spans="1:32" ht="15" customHeight="1">
      <c r="AF162" s="33"/>
    </row>
    <row r="163" spans="1:32" ht="12" customHeight="1">
      <c r="B163" s="15" t="s">
        <v>691</v>
      </c>
      <c r="AF163" s="33"/>
    </row>
    <row r="164" spans="1:32" ht="15" customHeight="1">
      <c r="B164" s="15" t="s">
        <v>692</v>
      </c>
      <c r="AF164" s="33"/>
    </row>
    <row r="165" spans="1:32" ht="15" customHeight="1">
      <c r="A165" s="7" t="s">
        <v>693</v>
      </c>
      <c r="B165" s="16" t="s">
        <v>606</v>
      </c>
      <c r="C165" s="18">
        <f>'AEO 2023 Table 47 Raw'!F148</f>
        <v>79.301177999999993</v>
      </c>
      <c r="D165" s="18">
        <f>'AEO 2023 Table 47 Raw'!G148</f>
        <v>101.63005099999999</v>
      </c>
      <c r="E165" s="18">
        <f>'AEO 2023 Table 47 Raw'!H148</f>
        <v>121.146072</v>
      </c>
      <c r="F165" s="18">
        <f>'AEO 2023 Table 47 Raw'!I148</f>
        <v>133.75103799999999</v>
      </c>
      <c r="G165" s="18">
        <f>'AEO 2023 Table 47 Raw'!J148</f>
        <v>144.38346899999999</v>
      </c>
      <c r="H165" s="18">
        <f>'AEO 2023 Table 47 Raw'!K148</f>
        <v>151.58453399999999</v>
      </c>
      <c r="I165" s="18">
        <f>'AEO 2023 Table 47 Raw'!L148</f>
        <v>157.44383199999999</v>
      </c>
      <c r="J165" s="18">
        <f>'AEO 2023 Table 47 Raw'!M148</f>
        <v>162.801773</v>
      </c>
      <c r="K165" s="18">
        <f>'AEO 2023 Table 47 Raw'!N148</f>
        <v>168.194412</v>
      </c>
      <c r="L165" s="18">
        <f>'AEO 2023 Table 47 Raw'!O148</f>
        <v>173.57832300000001</v>
      </c>
      <c r="M165" s="18">
        <f>'AEO 2023 Table 47 Raw'!P148</f>
        <v>179.07577499999999</v>
      </c>
      <c r="N165" s="18">
        <f>'AEO 2023 Table 47 Raw'!Q148</f>
        <v>184.704071</v>
      </c>
      <c r="O165" s="18">
        <f>'AEO 2023 Table 47 Raw'!R148</f>
        <v>190.47181699999999</v>
      </c>
      <c r="P165" s="18">
        <f>'AEO 2023 Table 47 Raw'!S148</f>
        <v>196.386841</v>
      </c>
      <c r="Q165" s="18">
        <f>'AEO 2023 Table 47 Raw'!T148</f>
        <v>202.43138099999999</v>
      </c>
      <c r="R165" s="18">
        <f>'AEO 2023 Table 47 Raw'!U148</f>
        <v>208.633804</v>
      </c>
      <c r="S165" s="18">
        <f>'AEO 2023 Table 47 Raw'!V148</f>
        <v>214.996399</v>
      </c>
      <c r="T165" s="18">
        <f>'AEO 2023 Table 47 Raw'!W148</f>
        <v>221.51997399999999</v>
      </c>
      <c r="U165" s="18">
        <f>'AEO 2023 Table 47 Raw'!X148</f>
        <v>228.20277400000001</v>
      </c>
      <c r="V165" s="18">
        <f>'AEO 2023 Table 47 Raw'!Y148</f>
        <v>235.039368</v>
      </c>
      <c r="W165" s="18">
        <f>'AEO 2023 Table 47 Raw'!Z148</f>
        <v>242.04367099999999</v>
      </c>
      <c r="X165" s="18">
        <f>'AEO 2023 Table 47 Raw'!AA148</f>
        <v>249.21748400000001</v>
      </c>
      <c r="Y165" s="18">
        <f>'AEO 2023 Table 47 Raw'!AB148</f>
        <v>256.56286599999999</v>
      </c>
      <c r="Z165" s="18">
        <f>'AEO 2023 Table 47 Raw'!AC148</f>
        <v>264.08050500000002</v>
      </c>
      <c r="AA165" s="18">
        <f>'AEO 2023 Table 47 Raw'!AD148</f>
        <v>271.71682700000002</v>
      </c>
      <c r="AB165" s="18">
        <f>'AEO 2023 Table 47 Raw'!AE148</f>
        <v>279.52886999999998</v>
      </c>
      <c r="AC165" s="18">
        <f>'AEO 2023 Table 47 Raw'!AF148</f>
        <v>287.52255200000002</v>
      </c>
      <c r="AD165" s="18">
        <f>'AEO 2023 Table 47 Raw'!AG148</f>
        <v>295.70309400000002</v>
      </c>
      <c r="AE165" s="18">
        <f>'AEO 2023 Table 47 Raw'!AH148</f>
        <v>304.07415800000001</v>
      </c>
      <c r="AF165" s="30">
        <f>'AEO 2023 Table 47 Raw'!AI148</f>
        <v>4.9000000000000002E-2</v>
      </c>
    </row>
    <row r="166" spans="1:32" ht="15" customHeight="1">
      <c r="A166" s="7" t="s">
        <v>694</v>
      </c>
      <c r="B166" s="16" t="s">
        <v>608</v>
      </c>
      <c r="C166" s="18">
        <f>'AEO 2023 Table 47 Raw'!F149</f>
        <v>47.678085000000003</v>
      </c>
      <c r="D166" s="18">
        <f>'AEO 2023 Table 47 Raw'!G149</f>
        <v>60.579250000000002</v>
      </c>
      <c r="E166" s="18">
        <f>'AEO 2023 Table 47 Raw'!H149</f>
        <v>71.433159000000003</v>
      </c>
      <c r="F166" s="18">
        <f>'AEO 2023 Table 47 Raw'!I149</f>
        <v>77.759079</v>
      </c>
      <c r="G166" s="18">
        <f>'AEO 2023 Table 47 Raw'!J149</f>
        <v>83.222747999999996</v>
      </c>
      <c r="H166" s="18">
        <f>'AEO 2023 Table 47 Raw'!K149</f>
        <v>87.090667999999994</v>
      </c>
      <c r="I166" s="18">
        <f>'AEO 2023 Table 47 Raw'!L149</f>
        <v>90.329620000000006</v>
      </c>
      <c r="J166" s="18">
        <f>'AEO 2023 Table 47 Raw'!M149</f>
        <v>93.328048999999993</v>
      </c>
      <c r="K166" s="18">
        <f>'AEO 2023 Table 47 Raw'!N149</f>
        <v>96.334464999999994</v>
      </c>
      <c r="L166" s="18">
        <f>'AEO 2023 Table 47 Raw'!O149</f>
        <v>99.321999000000005</v>
      </c>
      <c r="M166" s="18">
        <f>'AEO 2023 Table 47 Raw'!P149</f>
        <v>102.368782</v>
      </c>
      <c r="N166" s="18">
        <f>'AEO 2023 Table 47 Raw'!Q149</f>
        <v>105.485298</v>
      </c>
      <c r="O166" s="18">
        <f>'AEO 2023 Table 47 Raw'!R149</f>
        <v>108.67620100000001</v>
      </c>
      <c r="P166" s="18">
        <f>'AEO 2023 Table 47 Raw'!S149</f>
        <v>111.94573200000001</v>
      </c>
      <c r="Q166" s="18">
        <f>'AEO 2023 Table 47 Raw'!T149</f>
        <v>115.283394</v>
      </c>
      <c r="R166" s="18">
        <f>'AEO 2023 Table 47 Raw'!U149</f>
        <v>118.70564299999999</v>
      </c>
      <c r="S166" s="18">
        <f>'AEO 2023 Table 47 Raw'!V149</f>
        <v>122.213562</v>
      </c>
      <c r="T166" s="18">
        <f>'AEO 2023 Table 47 Raw'!W149</f>
        <v>125.807327</v>
      </c>
      <c r="U166" s="18">
        <f>'AEO 2023 Table 47 Raw'!X149</f>
        <v>129.48561100000001</v>
      </c>
      <c r="V166" s="18">
        <f>'AEO 2023 Table 47 Raw'!Y149</f>
        <v>133.24620100000001</v>
      </c>
      <c r="W166" s="18">
        <f>'AEO 2023 Table 47 Raw'!Z149</f>
        <v>137.09582499999999</v>
      </c>
      <c r="X166" s="18">
        <f>'AEO 2023 Table 47 Raw'!AA149</f>
        <v>141.03517199999999</v>
      </c>
      <c r="Y166" s="18">
        <f>'AEO 2023 Table 47 Raw'!AB149</f>
        <v>145.06509399999999</v>
      </c>
      <c r="Z166" s="18">
        <f>'AEO 2023 Table 47 Raw'!AC149</f>
        <v>149.185654</v>
      </c>
      <c r="AA166" s="18">
        <f>'AEO 2023 Table 47 Raw'!AD149</f>
        <v>153.36450199999999</v>
      </c>
      <c r="AB166" s="18">
        <f>'AEO 2023 Table 47 Raw'!AE149</f>
        <v>157.63568100000001</v>
      </c>
      <c r="AC166" s="18">
        <f>'AEO 2023 Table 47 Raw'!AF149</f>
        <v>162.00212099999999</v>
      </c>
      <c r="AD166" s="18">
        <f>'AEO 2023 Table 47 Raw'!AG149</f>
        <v>166.46650700000001</v>
      </c>
      <c r="AE166" s="18">
        <f>'AEO 2023 Table 47 Raw'!AH149</f>
        <v>171.03038000000001</v>
      </c>
      <c r="AF166" s="30">
        <f>'AEO 2023 Table 47 Raw'!AI149</f>
        <v>4.7E-2</v>
      </c>
    </row>
    <row r="167" spans="1:32" ht="15" customHeight="1">
      <c r="A167" s="7" t="s">
        <v>695</v>
      </c>
      <c r="B167" s="16" t="s">
        <v>610</v>
      </c>
      <c r="C167" s="18">
        <f>'AEO 2023 Table 47 Raw'!F150</f>
        <v>27.672314</v>
      </c>
      <c r="D167" s="18">
        <f>'AEO 2023 Table 47 Raw'!G150</f>
        <v>36.190651000000003</v>
      </c>
      <c r="E167" s="18">
        <f>'AEO 2023 Table 47 Raw'!H150</f>
        <v>44.102626999999998</v>
      </c>
      <c r="F167" s="18">
        <f>'AEO 2023 Table 47 Raw'!I150</f>
        <v>50.092044999999999</v>
      </c>
      <c r="G167" s="18">
        <f>'AEO 2023 Table 47 Raw'!J150</f>
        <v>54.982585999999998</v>
      </c>
      <c r="H167" s="18">
        <f>'AEO 2023 Table 47 Raw'!K150</f>
        <v>58.082782999999999</v>
      </c>
      <c r="I167" s="18">
        <f>'AEO 2023 Table 47 Raw'!L150</f>
        <v>60.489162</v>
      </c>
      <c r="J167" s="18">
        <f>'AEO 2023 Table 47 Raw'!M150</f>
        <v>62.643284000000001</v>
      </c>
      <c r="K167" s="18">
        <f>'AEO 2023 Table 47 Raw'!N150</f>
        <v>64.825858999999994</v>
      </c>
      <c r="L167" s="18">
        <f>'AEO 2023 Table 47 Raw'!O150</f>
        <v>67.022644</v>
      </c>
      <c r="M167" s="18">
        <f>'AEO 2023 Table 47 Raw'!P150</f>
        <v>69.270484999999994</v>
      </c>
      <c r="N167" s="18">
        <f>'AEO 2023 Table 47 Raw'!Q150</f>
        <v>71.575378000000001</v>
      </c>
      <c r="O167" s="18">
        <f>'AEO 2023 Table 47 Raw'!R150</f>
        <v>73.940926000000005</v>
      </c>
      <c r="P167" s="18">
        <f>'AEO 2023 Table 47 Raw'!S150</f>
        <v>76.370498999999995</v>
      </c>
      <c r="Q167" s="18">
        <f>'AEO 2023 Table 47 Raw'!T150</f>
        <v>78.857642999999996</v>
      </c>
      <c r="R167" s="18">
        <f>'AEO 2023 Table 47 Raw'!U150</f>
        <v>81.413055</v>
      </c>
      <c r="S167" s="18">
        <f>'AEO 2023 Table 47 Raw'!V150</f>
        <v>84.037871999999993</v>
      </c>
      <c r="T167" s="18">
        <f>'AEO 2023 Table 47 Raw'!W150</f>
        <v>86.732758000000004</v>
      </c>
      <c r="U167" s="18">
        <f>'AEO 2023 Table 47 Raw'!X150</f>
        <v>89.497505000000004</v>
      </c>
      <c r="V167" s="18">
        <f>'AEO 2023 Table 47 Raw'!Y150</f>
        <v>92.328818999999996</v>
      </c>
      <c r="W167" s="18">
        <f>'AEO 2023 Table 47 Raw'!Z150</f>
        <v>95.233681000000004</v>
      </c>
      <c r="X167" s="18">
        <f>'AEO 2023 Table 47 Raw'!AA150</f>
        <v>98.213158000000007</v>
      </c>
      <c r="Y167" s="18">
        <f>'AEO 2023 Table 47 Raw'!AB150</f>
        <v>101.268517</v>
      </c>
      <c r="Z167" s="18">
        <f>'AEO 2023 Table 47 Raw'!AC150</f>
        <v>104.400452</v>
      </c>
      <c r="AA167" s="18">
        <f>'AEO 2023 Table 47 Raw'!AD150</f>
        <v>107.59034</v>
      </c>
      <c r="AB167" s="18">
        <f>'AEO 2023 Table 47 Raw'!AE150</f>
        <v>110.858566</v>
      </c>
      <c r="AC167" s="18">
        <f>'AEO 2023 Table 47 Raw'!AF150</f>
        <v>114.207832</v>
      </c>
      <c r="AD167" s="18">
        <f>'AEO 2023 Table 47 Raw'!AG150</f>
        <v>117.64065600000001</v>
      </c>
      <c r="AE167" s="18">
        <f>'AEO 2023 Table 47 Raw'!AH150</f>
        <v>121.159058</v>
      </c>
      <c r="AF167" s="30">
        <f>'AEO 2023 Table 47 Raw'!AI150</f>
        <v>5.3999999999999999E-2</v>
      </c>
    </row>
    <row r="168" spans="1:32" ht="15" customHeight="1">
      <c r="A168" s="7" t="s">
        <v>696</v>
      </c>
      <c r="B168" s="16" t="s">
        <v>697</v>
      </c>
      <c r="C168" s="18">
        <f>'AEO 2023 Table 47 Raw'!F151</f>
        <v>3.9507759999999998</v>
      </c>
      <c r="D168" s="18">
        <f>'AEO 2023 Table 47 Raw'!G151</f>
        <v>4.8601390000000002</v>
      </c>
      <c r="E168" s="18">
        <f>'AEO 2023 Table 47 Raw'!H151</f>
        <v>5.6102879999999997</v>
      </c>
      <c r="F168" s="18">
        <f>'AEO 2023 Table 47 Raw'!I151</f>
        <v>5.8999009999999998</v>
      </c>
      <c r="G168" s="18">
        <f>'AEO 2023 Table 47 Raw'!J151</f>
        <v>6.1781309999999996</v>
      </c>
      <c r="H168" s="18">
        <f>'AEO 2023 Table 47 Raw'!K151</f>
        <v>6.4110950000000004</v>
      </c>
      <c r="I168" s="18">
        <f>'AEO 2023 Table 47 Raw'!L151</f>
        <v>6.6250410000000004</v>
      </c>
      <c r="J168" s="18">
        <f>'AEO 2023 Table 47 Raw'!M151</f>
        <v>6.8304140000000002</v>
      </c>
      <c r="K168" s="18">
        <f>'AEO 2023 Table 47 Raw'!N151</f>
        <v>7.0340759999999998</v>
      </c>
      <c r="L168" s="18">
        <f>'AEO 2023 Table 47 Raw'!O151</f>
        <v>7.2336809999999998</v>
      </c>
      <c r="M168" s="18">
        <f>'AEO 2023 Table 47 Raw'!P151</f>
        <v>7.4365009999999998</v>
      </c>
      <c r="N168" s="18">
        <f>'AEO 2023 Table 47 Raw'!Q151</f>
        <v>7.6434049999999996</v>
      </c>
      <c r="O168" s="18">
        <f>'AEO 2023 Table 47 Raw'!R151</f>
        <v>7.8546870000000002</v>
      </c>
      <c r="P168" s="18">
        <f>'AEO 2023 Table 47 Raw'!S151</f>
        <v>8.0706039999999994</v>
      </c>
      <c r="Q168" s="18">
        <f>'AEO 2023 Table 47 Raw'!T151</f>
        <v>8.2903300000000009</v>
      </c>
      <c r="R168" s="18">
        <f>'AEO 2023 Table 47 Raw'!U151</f>
        <v>8.5151039999999991</v>
      </c>
      <c r="S168" s="18">
        <f>'AEO 2023 Table 47 Raw'!V151</f>
        <v>8.7449670000000008</v>
      </c>
      <c r="T168" s="18">
        <f>'AEO 2023 Table 47 Raw'!W151</f>
        <v>8.9798720000000003</v>
      </c>
      <c r="U168" s="18">
        <f>'AEO 2023 Table 47 Raw'!X151</f>
        <v>9.2196569999999998</v>
      </c>
      <c r="V168" s="18">
        <f>'AEO 2023 Table 47 Raw'!Y151</f>
        <v>9.4643420000000003</v>
      </c>
      <c r="W168" s="18">
        <f>'AEO 2023 Table 47 Raw'!Z151</f>
        <v>9.7141710000000003</v>
      </c>
      <c r="X168" s="18">
        <f>'AEO 2023 Table 47 Raw'!AA151</f>
        <v>9.9691340000000004</v>
      </c>
      <c r="Y168" s="18">
        <f>'AEO 2023 Table 47 Raw'!AB151</f>
        <v>10.229227</v>
      </c>
      <c r="Z168" s="18">
        <f>'AEO 2023 Table 47 Raw'!AC151</f>
        <v>10.494389999999999</v>
      </c>
      <c r="AA168" s="18">
        <f>'AEO 2023 Table 47 Raw'!AD151</f>
        <v>10.761946999999999</v>
      </c>
      <c r="AB168" s="18">
        <f>'AEO 2023 Table 47 Raw'!AE151</f>
        <v>11.034632999999999</v>
      </c>
      <c r="AC168" s="18">
        <f>'AEO 2023 Table 47 Raw'!AF151</f>
        <v>11.31259</v>
      </c>
      <c r="AD168" s="18">
        <f>'AEO 2023 Table 47 Raw'!AG151</f>
        <v>11.595942000000001</v>
      </c>
      <c r="AE168" s="18">
        <f>'AEO 2023 Table 47 Raw'!AH151</f>
        <v>11.884709000000001</v>
      </c>
      <c r="AF168" s="30">
        <f>'AEO 2023 Table 47 Raw'!AI151</f>
        <v>0.04</v>
      </c>
    </row>
    <row r="169" spans="1:32" ht="15" customHeight="1">
      <c r="B169" s="15" t="s">
        <v>698</v>
      </c>
      <c r="AF169" s="33"/>
    </row>
    <row r="170" spans="1:32" ht="15" customHeight="1">
      <c r="A170" s="7" t="s">
        <v>699</v>
      </c>
      <c r="B170" s="16" t="s">
        <v>606</v>
      </c>
      <c r="C170" s="18">
        <f>'AEO 2023 Table 47 Raw'!F153</f>
        <v>2683.0664059999999</v>
      </c>
      <c r="D170" s="18">
        <f>'AEO 2023 Table 47 Raw'!G153</f>
        <v>3004.8544919999999</v>
      </c>
      <c r="E170" s="18">
        <f>'AEO 2023 Table 47 Raw'!H153</f>
        <v>3179.6435550000001</v>
      </c>
      <c r="F170" s="18">
        <f>'AEO 2023 Table 47 Raw'!I153</f>
        <v>3317.3186040000001</v>
      </c>
      <c r="G170" s="18">
        <f>'AEO 2023 Table 47 Raw'!J153</f>
        <v>3488.1293949999999</v>
      </c>
      <c r="H170" s="18">
        <f>'AEO 2023 Table 47 Raw'!K153</f>
        <v>3619.9882809999999</v>
      </c>
      <c r="I170" s="18">
        <f>'AEO 2023 Table 47 Raw'!L153</f>
        <v>3746.866211</v>
      </c>
      <c r="J170" s="18">
        <f>'AEO 2023 Table 47 Raw'!M153</f>
        <v>3866.138672</v>
      </c>
      <c r="K170" s="18">
        <f>'AEO 2023 Table 47 Raw'!N153</f>
        <v>3984.7014159999999</v>
      </c>
      <c r="L170" s="18">
        <f>'AEO 2023 Table 47 Raw'!O153</f>
        <v>4106.1660160000001</v>
      </c>
      <c r="M170" s="18">
        <f>'AEO 2023 Table 47 Raw'!P153</f>
        <v>4234.1674800000001</v>
      </c>
      <c r="N170" s="18">
        <f>'AEO 2023 Table 47 Raw'!Q153</f>
        <v>4364.3461909999996</v>
      </c>
      <c r="O170" s="18">
        <f>'AEO 2023 Table 47 Raw'!R153</f>
        <v>4492.8154299999997</v>
      </c>
      <c r="P170" s="18">
        <f>'AEO 2023 Table 47 Raw'!S153</f>
        <v>4623.0224609999996</v>
      </c>
      <c r="Q170" s="18">
        <f>'AEO 2023 Table 47 Raw'!T153</f>
        <v>4757.1152339999999</v>
      </c>
      <c r="R170" s="18">
        <f>'AEO 2023 Table 47 Raw'!U153</f>
        <v>4895.7231449999999</v>
      </c>
      <c r="S170" s="18">
        <f>'AEO 2023 Table 47 Raw'!V153</f>
        <v>5039.0322269999997</v>
      </c>
      <c r="T170" s="18">
        <f>'AEO 2023 Table 47 Raw'!W153</f>
        <v>5185.8525390000004</v>
      </c>
      <c r="U170" s="18">
        <f>'AEO 2023 Table 47 Raw'!X153</f>
        <v>5337.7739259999998</v>
      </c>
      <c r="V170" s="18">
        <f>'AEO 2023 Table 47 Raw'!Y153</f>
        <v>5492.0742190000001</v>
      </c>
      <c r="W170" s="18">
        <f>'AEO 2023 Table 47 Raw'!Z153</f>
        <v>5650.373047</v>
      </c>
      <c r="X170" s="18">
        <f>'AEO 2023 Table 47 Raw'!AA153</f>
        <v>5812.0830079999996</v>
      </c>
      <c r="Y170" s="18">
        <f>'AEO 2023 Table 47 Raw'!AB153</f>
        <v>5976.6274409999996</v>
      </c>
      <c r="Z170" s="18">
        <f>'AEO 2023 Table 47 Raw'!AC153</f>
        <v>6142.4643550000001</v>
      </c>
      <c r="AA170" s="18">
        <f>'AEO 2023 Table 47 Raw'!AD153</f>
        <v>6310.3242190000001</v>
      </c>
      <c r="AB170" s="18">
        <f>'AEO 2023 Table 47 Raw'!AE153</f>
        <v>6481.419922</v>
      </c>
      <c r="AC170" s="18">
        <f>'AEO 2023 Table 47 Raw'!AF153</f>
        <v>6655.6152339999999</v>
      </c>
      <c r="AD170" s="18">
        <f>'AEO 2023 Table 47 Raw'!AG153</f>
        <v>6832.3398440000001</v>
      </c>
      <c r="AE170" s="18">
        <f>'AEO 2023 Table 47 Raw'!AH153</f>
        <v>7011.6440430000002</v>
      </c>
      <c r="AF170" s="30">
        <f>'AEO 2023 Table 47 Raw'!AI153</f>
        <v>3.5000000000000003E-2</v>
      </c>
    </row>
    <row r="171" spans="1:32" ht="15" customHeight="1">
      <c r="A171" s="7" t="s">
        <v>700</v>
      </c>
      <c r="B171" s="16" t="s">
        <v>608</v>
      </c>
      <c r="C171" s="18">
        <f>'AEO 2023 Table 47 Raw'!F154</f>
        <v>1365.956543</v>
      </c>
      <c r="D171" s="18">
        <f>'AEO 2023 Table 47 Raw'!G154</f>
        <v>1815.0357670000001</v>
      </c>
      <c r="E171" s="18">
        <f>'AEO 2023 Table 47 Raw'!H154</f>
        <v>2152.5219729999999</v>
      </c>
      <c r="F171" s="18">
        <f>'AEO 2023 Table 47 Raw'!I154</f>
        <v>2352.9526369999999</v>
      </c>
      <c r="G171" s="18">
        <f>'AEO 2023 Table 47 Raw'!J154</f>
        <v>2578.5668949999999</v>
      </c>
      <c r="H171" s="18">
        <f>'AEO 2023 Table 47 Raw'!K154</f>
        <v>2707.555664</v>
      </c>
      <c r="I171" s="18">
        <f>'AEO 2023 Table 47 Raw'!L154</f>
        <v>2822.4821780000002</v>
      </c>
      <c r="J171" s="18">
        <f>'AEO 2023 Table 47 Raw'!M154</f>
        <v>2911.1027829999998</v>
      </c>
      <c r="K171" s="18">
        <f>'AEO 2023 Table 47 Raw'!N154</f>
        <v>3000.19751</v>
      </c>
      <c r="L171" s="18">
        <f>'AEO 2023 Table 47 Raw'!O154</f>
        <v>3090.4453119999998</v>
      </c>
      <c r="M171" s="18">
        <f>'AEO 2023 Table 47 Raw'!P154</f>
        <v>3183.960693</v>
      </c>
      <c r="N171" s="18">
        <f>'AEO 2023 Table 47 Raw'!Q154</f>
        <v>3279.5664059999999</v>
      </c>
      <c r="O171" s="18">
        <f>'AEO 2023 Table 47 Raw'!R154</f>
        <v>3375.6767580000001</v>
      </c>
      <c r="P171" s="18">
        <f>'AEO 2023 Table 47 Raw'!S154</f>
        <v>3473.7790530000002</v>
      </c>
      <c r="Q171" s="18">
        <f>'AEO 2023 Table 47 Raw'!T154</f>
        <v>3574.6906739999999</v>
      </c>
      <c r="R171" s="18">
        <f>'AEO 2023 Table 47 Raw'!U154</f>
        <v>3678.9440920000002</v>
      </c>
      <c r="S171" s="18">
        <f>'AEO 2023 Table 47 Raw'!V154</f>
        <v>3786.679443</v>
      </c>
      <c r="T171" s="18">
        <f>'AEO 2023 Table 47 Raw'!W154</f>
        <v>3897.4423830000001</v>
      </c>
      <c r="U171" s="18">
        <f>'AEO 2023 Table 47 Raw'!X154</f>
        <v>4012.033203</v>
      </c>
      <c r="V171" s="18">
        <f>'AEO 2023 Table 47 Raw'!Y154</f>
        <v>4128.9389650000003</v>
      </c>
      <c r="W171" s="18">
        <f>'AEO 2023 Table 47 Raw'!Z154</f>
        <v>4249.1440430000002</v>
      </c>
      <c r="X171" s="18">
        <f>'AEO 2023 Table 47 Raw'!AA154</f>
        <v>4372.451172</v>
      </c>
      <c r="Y171" s="18">
        <f>'AEO 2023 Table 47 Raw'!AB154</f>
        <v>4498.7680659999996</v>
      </c>
      <c r="Z171" s="18">
        <f>'AEO 2023 Table 47 Raw'!AC154</f>
        <v>4627.5498049999997</v>
      </c>
      <c r="AA171" s="18">
        <f>'AEO 2023 Table 47 Raw'!AD154</f>
        <v>4758.7285160000001</v>
      </c>
      <c r="AB171" s="18">
        <f>'AEO 2023 Table 47 Raw'!AE154</f>
        <v>4893.2329099999997</v>
      </c>
      <c r="AC171" s="18">
        <f>'AEO 2023 Table 47 Raw'!AF154</f>
        <v>5031.2045900000003</v>
      </c>
      <c r="AD171" s="18">
        <f>'AEO 2023 Table 47 Raw'!AG154</f>
        <v>5172.6411129999997</v>
      </c>
      <c r="AE171" s="18">
        <f>'AEO 2023 Table 47 Raw'!AH154</f>
        <v>5317.8256840000004</v>
      </c>
      <c r="AF171" s="30">
        <f>'AEO 2023 Table 47 Raw'!AI154</f>
        <v>0.05</v>
      </c>
    </row>
    <row r="172" spans="1:32" ht="12" customHeight="1">
      <c r="A172" s="7" t="s">
        <v>701</v>
      </c>
      <c r="B172" s="16" t="s">
        <v>610</v>
      </c>
      <c r="C172" s="18">
        <f>'AEO 2023 Table 47 Raw'!F155</f>
        <v>324.33532700000001</v>
      </c>
      <c r="D172" s="18">
        <f>'AEO 2023 Table 47 Raw'!G155</f>
        <v>350.07336400000003</v>
      </c>
      <c r="E172" s="18">
        <f>'AEO 2023 Table 47 Raw'!H155</f>
        <v>361.47143599999998</v>
      </c>
      <c r="F172" s="18">
        <f>'AEO 2023 Table 47 Raw'!I155</f>
        <v>372.34155299999998</v>
      </c>
      <c r="G172" s="18">
        <f>'AEO 2023 Table 47 Raw'!J155</f>
        <v>387.67550699999998</v>
      </c>
      <c r="H172" s="18">
        <f>'AEO 2023 Table 47 Raw'!K155</f>
        <v>401.05737299999998</v>
      </c>
      <c r="I172" s="18">
        <f>'AEO 2023 Table 47 Raw'!L155</f>
        <v>414.347961</v>
      </c>
      <c r="J172" s="18">
        <f>'AEO 2023 Table 47 Raw'!M155</f>
        <v>427.38775600000002</v>
      </c>
      <c r="K172" s="18">
        <f>'AEO 2023 Table 47 Raw'!N155</f>
        <v>440.263824</v>
      </c>
      <c r="L172" s="18">
        <f>'AEO 2023 Table 47 Raw'!O155</f>
        <v>453.51907299999999</v>
      </c>
      <c r="M172" s="18">
        <f>'AEO 2023 Table 47 Raw'!P155</f>
        <v>467.65096999999997</v>
      </c>
      <c r="N172" s="18">
        <f>'AEO 2023 Table 47 Raw'!Q155</f>
        <v>482.00097699999998</v>
      </c>
      <c r="O172" s="18">
        <f>'AEO 2023 Table 47 Raw'!R155</f>
        <v>496.01190200000002</v>
      </c>
      <c r="P172" s="18">
        <f>'AEO 2023 Table 47 Raw'!S155</f>
        <v>510.16720600000002</v>
      </c>
      <c r="Q172" s="18">
        <f>'AEO 2023 Table 47 Raw'!T155</f>
        <v>524.78045699999996</v>
      </c>
      <c r="R172" s="18">
        <f>'AEO 2023 Table 47 Raw'!U155</f>
        <v>539.92236300000002</v>
      </c>
      <c r="S172" s="18">
        <f>'AEO 2023 Table 47 Raw'!V155</f>
        <v>555.61492899999996</v>
      </c>
      <c r="T172" s="18">
        <f>'AEO 2023 Table 47 Raw'!W155</f>
        <v>571.68298300000004</v>
      </c>
      <c r="U172" s="18">
        <f>'AEO 2023 Table 47 Raw'!X155</f>
        <v>588.33850099999995</v>
      </c>
      <c r="V172" s="18">
        <f>'AEO 2023 Table 47 Raw'!Y155</f>
        <v>605.21984899999995</v>
      </c>
      <c r="W172" s="18">
        <f>'AEO 2023 Table 47 Raw'!Z155</f>
        <v>622.53668200000004</v>
      </c>
      <c r="X172" s="18">
        <f>'AEO 2023 Table 47 Raw'!AA155</f>
        <v>640.20806900000002</v>
      </c>
      <c r="Y172" s="18">
        <f>'AEO 2023 Table 47 Raw'!AB155</f>
        <v>658.15197799999999</v>
      </c>
      <c r="Z172" s="18">
        <f>'AEO 2023 Table 47 Raw'!AC155</f>
        <v>676.15301499999998</v>
      </c>
      <c r="AA172" s="18">
        <f>'AEO 2023 Table 47 Raw'!AD155</f>
        <v>694.35919200000001</v>
      </c>
      <c r="AB172" s="18">
        <f>'AEO 2023 Table 47 Raw'!AE155</f>
        <v>712.903503</v>
      </c>
      <c r="AC172" s="18">
        <f>'AEO 2023 Table 47 Raw'!AF155</f>
        <v>731.75134300000002</v>
      </c>
      <c r="AD172" s="18">
        <f>'AEO 2023 Table 47 Raw'!AG155</f>
        <v>750.81225600000005</v>
      </c>
      <c r="AE172" s="18">
        <f>'AEO 2023 Table 47 Raw'!AH155</f>
        <v>770.08294699999999</v>
      </c>
      <c r="AF172" s="30">
        <f>'AEO 2023 Table 47 Raw'!AI155</f>
        <v>3.1E-2</v>
      </c>
    </row>
    <row r="173" spans="1:32" ht="15" customHeight="1">
      <c r="A173" s="7" t="s">
        <v>702</v>
      </c>
      <c r="B173" s="16" t="s">
        <v>697</v>
      </c>
      <c r="C173" s="18">
        <f>'AEO 2023 Table 47 Raw'!F156</f>
        <v>0</v>
      </c>
      <c r="D173" s="18">
        <f>'AEO 2023 Table 47 Raw'!G156</f>
        <v>0</v>
      </c>
      <c r="E173" s="18">
        <f>'AEO 2023 Table 47 Raw'!H156</f>
        <v>0</v>
      </c>
      <c r="F173" s="18">
        <f>'AEO 2023 Table 47 Raw'!I156</f>
        <v>0</v>
      </c>
      <c r="G173" s="18">
        <f>'AEO 2023 Table 47 Raw'!J156</f>
        <v>0</v>
      </c>
      <c r="H173" s="18">
        <f>'AEO 2023 Table 47 Raw'!K156</f>
        <v>0</v>
      </c>
      <c r="I173" s="18">
        <f>'AEO 2023 Table 47 Raw'!L156</f>
        <v>0</v>
      </c>
      <c r="J173" s="18">
        <f>'AEO 2023 Table 47 Raw'!M156</f>
        <v>0</v>
      </c>
      <c r="K173" s="18">
        <f>'AEO 2023 Table 47 Raw'!N156</f>
        <v>0</v>
      </c>
      <c r="L173" s="18">
        <f>'AEO 2023 Table 47 Raw'!O156</f>
        <v>0</v>
      </c>
      <c r="M173" s="18">
        <f>'AEO 2023 Table 47 Raw'!P156</f>
        <v>0</v>
      </c>
      <c r="N173" s="18">
        <f>'AEO 2023 Table 47 Raw'!Q156</f>
        <v>0</v>
      </c>
      <c r="O173" s="18">
        <f>'AEO 2023 Table 47 Raw'!R156</f>
        <v>0</v>
      </c>
      <c r="P173" s="18">
        <f>'AEO 2023 Table 47 Raw'!S156</f>
        <v>0</v>
      </c>
      <c r="Q173" s="18">
        <f>'AEO 2023 Table 47 Raw'!T156</f>
        <v>0</v>
      </c>
      <c r="R173" s="18">
        <f>'AEO 2023 Table 47 Raw'!U156</f>
        <v>0</v>
      </c>
      <c r="S173" s="18">
        <f>'AEO 2023 Table 47 Raw'!V156</f>
        <v>0</v>
      </c>
      <c r="T173" s="18">
        <f>'AEO 2023 Table 47 Raw'!W156</f>
        <v>0</v>
      </c>
      <c r="U173" s="18">
        <f>'AEO 2023 Table 47 Raw'!X156</f>
        <v>0</v>
      </c>
      <c r="V173" s="18">
        <f>'AEO 2023 Table 47 Raw'!Y156</f>
        <v>0</v>
      </c>
      <c r="W173" s="18">
        <f>'AEO 2023 Table 47 Raw'!Z156</f>
        <v>0</v>
      </c>
      <c r="X173" s="18">
        <f>'AEO 2023 Table 47 Raw'!AA156</f>
        <v>0</v>
      </c>
      <c r="Y173" s="18">
        <f>'AEO 2023 Table 47 Raw'!AB156</f>
        <v>0</v>
      </c>
      <c r="Z173" s="18">
        <f>'AEO 2023 Table 47 Raw'!AC156</f>
        <v>0</v>
      </c>
      <c r="AA173" s="18">
        <f>'AEO 2023 Table 47 Raw'!AD156</f>
        <v>0</v>
      </c>
      <c r="AB173" s="18">
        <f>'AEO 2023 Table 47 Raw'!AE156</f>
        <v>0</v>
      </c>
      <c r="AC173" s="18">
        <f>'AEO 2023 Table 47 Raw'!AF156</f>
        <v>0</v>
      </c>
      <c r="AD173" s="18">
        <f>'AEO 2023 Table 47 Raw'!AG156</f>
        <v>0</v>
      </c>
      <c r="AE173" s="18">
        <f>'AEO 2023 Table 47 Raw'!AH156</f>
        <v>0</v>
      </c>
      <c r="AF173" s="30">
        <f>'AEO 2023 Table 47 Raw'!AI156</f>
        <v>0</v>
      </c>
    </row>
    <row r="174" spans="1:32" ht="15" customHeight="1">
      <c r="AF174" s="33"/>
    </row>
    <row r="175" spans="1:32" ht="15" customHeight="1">
      <c r="B175" s="15" t="s">
        <v>110</v>
      </c>
      <c r="AF175" s="33"/>
    </row>
    <row r="176" spans="1:32" ht="15" customHeight="1">
      <c r="B176" s="15" t="s">
        <v>703</v>
      </c>
      <c r="AF176" s="33"/>
    </row>
    <row r="177" spans="1:32" ht="15" customHeight="1">
      <c r="A177" s="7" t="s">
        <v>704</v>
      </c>
      <c r="B177" s="16" t="s">
        <v>520</v>
      </c>
      <c r="C177" s="17">
        <f>'AEO 2023 Table 47 Raw'!F159</f>
        <v>0</v>
      </c>
      <c r="D177" s="17">
        <f>'AEO 2023 Table 47 Raw'!G159</f>
        <v>39.340881000000003</v>
      </c>
      <c r="E177" s="17">
        <f>'AEO 2023 Table 47 Raw'!H159</f>
        <v>37.988616999999998</v>
      </c>
      <c r="F177" s="17">
        <f>'AEO 2023 Table 47 Raw'!I159</f>
        <v>7.9354370000000003</v>
      </c>
      <c r="G177" s="17">
        <f>'AEO 2023 Table 47 Raw'!J159</f>
        <v>22.899474999999999</v>
      </c>
      <c r="H177" s="17">
        <f>'AEO 2023 Table 47 Raw'!K159</f>
        <v>65.770118999999994</v>
      </c>
      <c r="I177" s="17">
        <f>'AEO 2023 Table 47 Raw'!L159</f>
        <v>67.841369999999998</v>
      </c>
      <c r="J177" s="17">
        <f>'AEO 2023 Table 47 Raw'!M159</f>
        <v>64.843872000000005</v>
      </c>
      <c r="K177" s="17">
        <f>'AEO 2023 Table 47 Raw'!N159</f>
        <v>61.797545999999997</v>
      </c>
      <c r="L177" s="17">
        <f>'AEO 2023 Table 47 Raw'!O159</f>
        <v>61.889342999999997</v>
      </c>
      <c r="M177" s="17">
        <f>'AEO 2023 Table 47 Raw'!P159</f>
        <v>65.417113999999998</v>
      </c>
      <c r="N177" s="17">
        <f>'AEO 2023 Table 47 Raw'!Q159</f>
        <v>64.408493000000007</v>
      </c>
      <c r="O177" s="17">
        <f>'AEO 2023 Table 47 Raw'!R159</f>
        <v>59.074790999999998</v>
      </c>
      <c r="P177" s="17">
        <f>'AEO 2023 Table 47 Raw'!S159</f>
        <v>57.096992</v>
      </c>
      <c r="Q177" s="17">
        <f>'AEO 2023 Table 47 Raw'!T159</f>
        <v>57.945704999999997</v>
      </c>
      <c r="R177" s="17">
        <f>'AEO 2023 Table 47 Raw'!U159</f>
        <v>59.668900000000001</v>
      </c>
      <c r="S177" s="17">
        <f>'AEO 2023 Table 47 Raw'!V159</f>
        <v>61.945683000000002</v>
      </c>
      <c r="T177" s="17">
        <f>'AEO 2023 Table 47 Raw'!W159</f>
        <v>63.071460999999999</v>
      </c>
      <c r="U177" s="17">
        <f>'AEO 2023 Table 47 Raw'!X159</f>
        <v>65.706481999999994</v>
      </c>
      <c r="V177" s="17">
        <f>'AEO 2023 Table 47 Raw'!Y159</f>
        <v>65.747039999999998</v>
      </c>
      <c r="W177" s="17">
        <f>'AEO 2023 Table 47 Raw'!Z159</f>
        <v>67.314468000000005</v>
      </c>
      <c r="X177" s="17">
        <f>'AEO 2023 Table 47 Raw'!AA159</f>
        <v>68.832672000000002</v>
      </c>
      <c r="Y177" s="17">
        <f>'AEO 2023 Table 47 Raw'!AB159</f>
        <v>70.226035999999993</v>
      </c>
      <c r="Z177" s="17">
        <f>'AEO 2023 Table 47 Raw'!AC159</f>
        <v>70.609099999999998</v>
      </c>
      <c r="AA177" s="17">
        <f>'AEO 2023 Table 47 Raw'!AD159</f>
        <v>72.683494999999994</v>
      </c>
      <c r="AB177" s="17">
        <f>'AEO 2023 Table 47 Raw'!AE159</f>
        <v>75.066970999999995</v>
      </c>
      <c r="AC177" s="17">
        <f>'AEO 2023 Table 47 Raw'!AF159</f>
        <v>77.259933000000004</v>
      </c>
      <c r="AD177" s="17">
        <f>'AEO 2023 Table 47 Raw'!AG159</f>
        <v>79.321548000000007</v>
      </c>
      <c r="AE177" s="17">
        <f>'AEO 2023 Table 47 Raw'!AH159</f>
        <v>81.872428999999997</v>
      </c>
      <c r="AF177" s="30" t="str">
        <f>'AEO 2023 Table 47 Raw'!AI159</f>
        <v>- -</v>
      </c>
    </row>
    <row r="178" spans="1:32" ht="15" customHeight="1">
      <c r="A178" s="7" t="s">
        <v>705</v>
      </c>
      <c r="B178" s="16" t="s">
        <v>522</v>
      </c>
      <c r="C178" s="17">
        <f>'AEO 2023 Table 47 Raw'!F160</f>
        <v>203.86596700000001</v>
      </c>
      <c r="D178" s="17">
        <f>'AEO 2023 Table 47 Raw'!G160</f>
        <v>165.05175800000001</v>
      </c>
      <c r="E178" s="17">
        <f>'AEO 2023 Table 47 Raw'!H160</f>
        <v>28.532226999999999</v>
      </c>
      <c r="F178" s="17">
        <f>'AEO 2023 Table 47 Raw'!I160</f>
        <v>33.744629000000003</v>
      </c>
      <c r="G178" s="17">
        <f>'AEO 2023 Table 47 Raw'!J160</f>
        <v>78.634521000000007</v>
      </c>
      <c r="H178" s="17">
        <f>'AEO 2023 Table 47 Raw'!K160</f>
        <v>83.990966999999998</v>
      </c>
      <c r="I178" s="17">
        <f>'AEO 2023 Table 47 Raw'!L160</f>
        <v>88.002441000000005</v>
      </c>
      <c r="J178" s="17">
        <f>'AEO 2023 Table 47 Raw'!M160</f>
        <v>85.537109000000001</v>
      </c>
      <c r="K178" s="17">
        <f>'AEO 2023 Table 47 Raw'!N160</f>
        <v>83.518799000000001</v>
      </c>
      <c r="L178" s="17">
        <f>'AEO 2023 Table 47 Raw'!O160</f>
        <v>90.350098000000003</v>
      </c>
      <c r="M178" s="17">
        <f>'AEO 2023 Table 47 Raw'!P160</f>
        <v>106.419678</v>
      </c>
      <c r="N178" s="17">
        <f>'AEO 2023 Table 47 Raw'!Q160</f>
        <v>110.49243199999999</v>
      </c>
      <c r="O178" s="17">
        <f>'AEO 2023 Table 47 Raw'!R160</f>
        <v>103.49292</v>
      </c>
      <c r="P178" s="17">
        <f>'AEO 2023 Table 47 Raw'!S160</f>
        <v>104.525391</v>
      </c>
      <c r="Q178" s="17">
        <f>'AEO 2023 Table 47 Raw'!T160</f>
        <v>111.57714799999999</v>
      </c>
      <c r="R178" s="17">
        <f>'AEO 2023 Table 47 Raw'!U160</f>
        <v>119.583252</v>
      </c>
      <c r="S178" s="17">
        <f>'AEO 2023 Table 47 Raw'!V160</f>
        <v>127.74706999999999</v>
      </c>
      <c r="T178" s="17">
        <f>'AEO 2023 Table 47 Raw'!W160</f>
        <v>132.03637699999999</v>
      </c>
      <c r="U178" s="17">
        <f>'AEO 2023 Table 47 Raw'!X160</f>
        <v>139.033691</v>
      </c>
      <c r="V178" s="17">
        <f>'AEO 2023 Table 47 Raw'!Y160</f>
        <v>138.71459999999999</v>
      </c>
      <c r="W178" s="17">
        <f>'AEO 2023 Table 47 Raw'!Z160</f>
        <v>141.738281</v>
      </c>
      <c r="X178" s="17">
        <f>'AEO 2023 Table 47 Raw'!AA160</f>
        <v>144.325684</v>
      </c>
      <c r="Y178" s="17">
        <f>'AEO 2023 Table 47 Raw'!AB160</f>
        <v>146.691406</v>
      </c>
      <c r="Z178" s="17">
        <f>'AEO 2023 Table 47 Raw'!AC160</f>
        <v>146.599121</v>
      </c>
      <c r="AA178" s="17">
        <f>'AEO 2023 Table 47 Raw'!AD160</f>
        <v>150.802246</v>
      </c>
      <c r="AB178" s="17">
        <f>'AEO 2023 Table 47 Raw'!AE160</f>
        <v>156.00903299999999</v>
      </c>
      <c r="AC178" s="17">
        <f>'AEO 2023 Table 47 Raw'!AF160</f>
        <v>160.830566</v>
      </c>
      <c r="AD178" s="17">
        <f>'AEO 2023 Table 47 Raw'!AG160</f>
        <v>165.24877900000001</v>
      </c>
      <c r="AE178" s="17">
        <f>'AEO 2023 Table 47 Raw'!AH160</f>
        <v>170.92163099999999</v>
      </c>
      <c r="AF178" s="30">
        <f>'AEO 2023 Table 47 Raw'!AI160</f>
        <v>-6.0000000000000001E-3</v>
      </c>
    </row>
    <row r="179" spans="1:32" ht="15" customHeight="1">
      <c r="A179" s="7" t="s">
        <v>706</v>
      </c>
      <c r="B179" s="16" t="s">
        <v>524</v>
      </c>
      <c r="C179" s="17">
        <f>'AEO 2023 Table 47 Raw'!F161</f>
        <v>0</v>
      </c>
      <c r="D179" s="17">
        <f>'AEO 2023 Table 47 Raw'!G161</f>
        <v>15.678391</v>
      </c>
      <c r="E179" s="17">
        <f>'AEO 2023 Table 47 Raw'!H161</f>
        <v>51.316887000000001</v>
      </c>
      <c r="F179" s="17">
        <f>'AEO 2023 Table 47 Raw'!I161</f>
        <v>50.117165</v>
      </c>
      <c r="G179" s="17">
        <f>'AEO 2023 Table 47 Raw'!J161</f>
        <v>52.954346000000001</v>
      </c>
      <c r="H179" s="17">
        <f>'AEO 2023 Table 47 Raw'!K161</f>
        <v>57.051322999999996</v>
      </c>
      <c r="I179" s="17">
        <f>'AEO 2023 Table 47 Raw'!L161</f>
        <v>44.861697999999997</v>
      </c>
      <c r="J179" s="17">
        <f>'AEO 2023 Table 47 Raw'!M161</f>
        <v>46.635117000000001</v>
      </c>
      <c r="K179" s="17">
        <f>'AEO 2023 Table 47 Raw'!N161</f>
        <v>49.951324</v>
      </c>
      <c r="L179" s="17">
        <f>'AEO 2023 Table 47 Raw'!O161</f>
        <v>50.769165000000001</v>
      </c>
      <c r="M179" s="17">
        <f>'AEO 2023 Table 47 Raw'!P161</f>
        <v>51.472060999999997</v>
      </c>
      <c r="N179" s="17">
        <f>'AEO 2023 Table 47 Raw'!Q161</f>
        <v>52.399932999999997</v>
      </c>
      <c r="O179" s="17">
        <f>'AEO 2023 Table 47 Raw'!R161</f>
        <v>53.103180000000002</v>
      </c>
      <c r="P179" s="17">
        <f>'AEO 2023 Table 47 Raw'!S161</f>
        <v>53.605300999999997</v>
      </c>
      <c r="Q179" s="17">
        <f>'AEO 2023 Table 47 Raw'!T161</f>
        <v>56.171036000000001</v>
      </c>
      <c r="R179" s="17">
        <f>'AEO 2023 Table 47 Raw'!U161</f>
        <v>56.427169999999997</v>
      </c>
      <c r="S179" s="17">
        <f>'AEO 2023 Table 47 Raw'!V161</f>
        <v>57.608795000000001</v>
      </c>
      <c r="T179" s="17">
        <f>'AEO 2023 Table 47 Raw'!W161</f>
        <v>58.449553999999999</v>
      </c>
      <c r="U179" s="17">
        <f>'AEO 2023 Table 47 Raw'!X161</f>
        <v>58.490127999999999</v>
      </c>
      <c r="V179" s="17">
        <f>'AEO 2023 Table 47 Raw'!Y161</f>
        <v>58.666182999999997</v>
      </c>
      <c r="W179" s="17">
        <f>'AEO 2023 Table 47 Raw'!Z161</f>
        <v>58.960326999999999</v>
      </c>
      <c r="X179" s="17">
        <f>'AEO 2023 Table 47 Raw'!AA161</f>
        <v>59.343628000000002</v>
      </c>
      <c r="Y179" s="17">
        <f>'AEO 2023 Table 47 Raw'!AB161</f>
        <v>59.845576999999999</v>
      </c>
      <c r="Z179" s="17">
        <f>'AEO 2023 Table 47 Raw'!AC161</f>
        <v>60.470764000000003</v>
      </c>
      <c r="AA179" s="17">
        <f>'AEO 2023 Table 47 Raw'!AD161</f>
        <v>61.182304000000002</v>
      </c>
      <c r="AB179" s="17">
        <f>'AEO 2023 Table 47 Raw'!AE161</f>
        <v>61.965812999999997</v>
      </c>
      <c r="AC179" s="17">
        <f>'AEO 2023 Table 47 Raw'!AF161</f>
        <v>62.802154999999999</v>
      </c>
      <c r="AD179" s="17">
        <f>'AEO 2023 Table 47 Raw'!AG161</f>
        <v>63.733001999999999</v>
      </c>
      <c r="AE179" s="17">
        <f>'AEO 2023 Table 47 Raw'!AH161</f>
        <v>64.763489000000007</v>
      </c>
      <c r="AF179" s="30" t="str">
        <f>'AEO 2023 Table 47 Raw'!AI161</f>
        <v>- -</v>
      </c>
    </row>
    <row r="180" spans="1:32" ht="15" customHeight="1">
      <c r="A180" s="7" t="s">
        <v>707</v>
      </c>
      <c r="B180" s="16" t="s">
        <v>526</v>
      </c>
      <c r="C180" s="17">
        <f>'AEO 2023 Table 47 Raw'!F162</f>
        <v>0</v>
      </c>
      <c r="D180" s="17">
        <f>'AEO 2023 Table 47 Raw'!G162</f>
        <v>0</v>
      </c>
      <c r="E180" s="17">
        <f>'AEO 2023 Table 47 Raw'!H162</f>
        <v>17.463474000000001</v>
      </c>
      <c r="F180" s="17">
        <f>'AEO 2023 Table 47 Raw'!I162</f>
        <v>21.329653</v>
      </c>
      <c r="G180" s="17">
        <f>'AEO 2023 Table 47 Raw'!J162</f>
        <v>24.371399</v>
      </c>
      <c r="H180" s="17">
        <f>'AEO 2023 Table 47 Raw'!K162</f>
        <v>23.494506999999999</v>
      </c>
      <c r="I180" s="17">
        <f>'AEO 2023 Table 47 Raw'!L162</f>
        <v>18.943511999999998</v>
      </c>
      <c r="J180" s="17">
        <f>'AEO 2023 Table 47 Raw'!M162</f>
        <v>19.374298</v>
      </c>
      <c r="K180" s="17">
        <f>'AEO 2023 Table 47 Raw'!N162</f>
        <v>19.766327</v>
      </c>
      <c r="L180" s="17">
        <f>'AEO 2023 Table 47 Raw'!O162</f>
        <v>20.132964999999999</v>
      </c>
      <c r="M180" s="17">
        <f>'AEO 2023 Table 47 Raw'!P162</f>
        <v>20.452881000000001</v>
      </c>
      <c r="N180" s="17">
        <f>'AEO 2023 Table 47 Raw'!Q162</f>
        <v>20.728363000000002</v>
      </c>
      <c r="O180" s="17">
        <f>'AEO 2023 Table 47 Raw'!R162</f>
        <v>20.983429000000001</v>
      </c>
      <c r="P180" s="17">
        <f>'AEO 2023 Table 47 Raw'!S162</f>
        <v>21.226134999999999</v>
      </c>
      <c r="Q180" s="17">
        <f>'AEO 2023 Table 47 Raw'!T162</f>
        <v>23.542083999999999</v>
      </c>
      <c r="R180" s="17">
        <f>'AEO 2023 Table 47 Raw'!U162</f>
        <v>23.546509</v>
      </c>
      <c r="S180" s="17">
        <f>'AEO 2023 Table 47 Raw'!V162</f>
        <v>23.508330999999998</v>
      </c>
      <c r="T180" s="17">
        <f>'AEO 2023 Table 47 Raw'!W162</f>
        <v>23.525696</v>
      </c>
      <c r="U180" s="17">
        <f>'AEO 2023 Table 47 Raw'!X162</f>
        <v>23.583984000000001</v>
      </c>
      <c r="V180" s="17">
        <f>'AEO 2023 Table 47 Raw'!Y162</f>
        <v>23.695709000000001</v>
      </c>
      <c r="W180" s="17">
        <f>'AEO 2023 Table 47 Raw'!Z162</f>
        <v>23.852905</v>
      </c>
      <c r="X180" s="17">
        <f>'AEO 2023 Table 47 Raw'!AA162</f>
        <v>24.047637999999999</v>
      </c>
      <c r="Y180" s="17">
        <f>'AEO 2023 Table 47 Raw'!AB162</f>
        <v>24.291533999999999</v>
      </c>
      <c r="Z180" s="17">
        <f>'AEO 2023 Table 47 Raw'!AC162</f>
        <v>24.574981999999999</v>
      </c>
      <c r="AA180" s="17">
        <f>'AEO 2023 Table 47 Raw'!AD162</f>
        <v>24.892365000000002</v>
      </c>
      <c r="AB180" s="17">
        <f>'AEO 2023 Table 47 Raw'!AE162</f>
        <v>25.243469000000001</v>
      </c>
      <c r="AC180" s="17">
        <f>'AEO 2023 Table 47 Raw'!AF162</f>
        <v>25.627898999999999</v>
      </c>
      <c r="AD180" s="17">
        <f>'AEO 2023 Table 47 Raw'!AG162</f>
        <v>26.047516000000002</v>
      </c>
      <c r="AE180" s="17">
        <f>'AEO 2023 Table 47 Raw'!AH162</f>
        <v>26.498474000000002</v>
      </c>
      <c r="AF180" s="30" t="str">
        <f>'AEO 2023 Table 47 Raw'!AI162</f>
        <v>- -</v>
      </c>
    </row>
    <row r="181" spans="1:32" ht="12" customHeight="1">
      <c r="A181" s="7" t="s">
        <v>708</v>
      </c>
      <c r="B181" s="16" t="s">
        <v>528</v>
      </c>
      <c r="C181" s="17">
        <f>'AEO 2023 Table 47 Raw'!F163</f>
        <v>0</v>
      </c>
      <c r="D181" s="17">
        <f>'AEO 2023 Table 47 Raw'!G163</f>
        <v>0</v>
      </c>
      <c r="E181" s="17">
        <f>'AEO 2023 Table 47 Raw'!H163</f>
        <v>2.6847050000000001</v>
      </c>
      <c r="F181" s="17">
        <f>'AEO 2023 Table 47 Raw'!I163</f>
        <v>8.6334879999999998</v>
      </c>
      <c r="G181" s="17">
        <f>'AEO 2023 Table 47 Raw'!J163</f>
        <v>7.5640429999999999</v>
      </c>
      <c r="H181" s="17">
        <f>'AEO 2023 Table 47 Raw'!K163</f>
        <v>7.6775729999999998</v>
      </c>
      <c r="I181" s="17">
        <f>'AEO 2023 Table 47 Raw'!L163</f>
        <v>4.8536409999999997</v>
      </c>
      <c r="J181" s="17">
        <f>'AEO 2023 Table 47 Raw'!M163</f>
        <v>5.8987879999999997</v>
      </c>
      <c r="K181" s="17">
        <f>'AEO 2023 Table 47 Raw'!N163</f>
        <v>8.4926449999999996</v>
      </c>
      <c r="L181" s="17">
        <f>'AEO 2023 Table 47 Raw'!O163</f>
        <v>8.6243289999999995</v>
      </c>
      <c r="M181" s="17">
        <f>'AEO 2023 Table 47 Raw'!P163</f>
        <v>8.7234649999999991</v>
      </c>
      <c r="N181" s="17">
        <f>'AEO 2023 Table 47 Raw'!Q163</f>
        <v>8.8013309999999993</v>
      </c>
      <c r="O181" s="17">
        <f>'AEO 2023 Table 47 Raw'!R163</f>
        <v>8.8686830000000008</v>
      </c>
      <c r="P181" s="17">
        <f>'AEO 2023 Table 47 Raw'!S163</f>
        <v>8.9318390000000001</v>
      </c>
      <c r="Q181" s="17">
        <f>'AEO 2023 Table 47 Raw'!T163</f>
        <v>8.9949490000000001</v>
      </c>
      <c r="R181" s="17">
        <f>'AEO 2023 Table 47 Raw'!U163</f>
        <v>9.0618739999999995</v>
      </c>
      <c r="S181" s="17">
        <f>'AEO 2023 Table 47 Raw'!V163</f>
        <v>10.095367</v>
      </c>
      <c r="T181" s="17">
        <f>'AEO 2023 Table 47 Raw'!W163</f>
        <v>10.726288</v>
      </c>
      <c r="U181" s="17">
        <f>'AEO 2023 Table 47 Raw'!X163</f>
        <v>10.520554000000001</v>
      </c>
      <c r="V181" s="17">
        <f>'AEO 2023 Table 47 Raw'!Y163</f>
        <v>10.378677</v>
      </c>
      <c r="W181" s="17">
        <f>'AEO 2023 Table 47 Raw'!Z163</f>
        <v>10.290741000000001</v>
      </c>
      <c r="X181" s="17">
        <f>'AEO 2023 Table 47 Raw'!AA163</f>
        <v>10.238586</v>
      </c>
      <c r="Y181" s="17">
        <f>'AEO 2023 Table 47 Raw'!AB163</f>
        <v>10.221401</v>
      </c>
      <c r="Z181" s="17">
        <f>'AEO 2023 Table 47 Raw'!AC163</f>
        <v>10.25827</v>
      </c>
      <c r="AA181" s="17">
        <f>'AEO 2023 Table 47 Raw'!AD163</f>
        <v>10.321465</v>
      </c>
      <c r="AB181" s="17">
        <f>'AEO 2023 Table 47 Raw'!AE163</f>
        <v>10.393303</v>
      </c>
      <c r="AC181" s="17">
        <f>'AEO 2023 Table 47 Raw'!AF163</f>
        <v>10.454742</v>
      </c>
      <c r="AD181" s="17">
        <f>'AEO 2023 Table 47 Raw'!AG163</f>
        <v>10.542479999999999</v>
      </c>
      <c r="AE181" s="17">
        <f>'AEO 2023 Table 47 Raw'!AH163</f>
        <v>10.666687</v>
      </c>
      <c r="AF181" s="30" t="str">
        <f>'AEO 2023 Table 47 Raw'!AI163</f>
        <v>- -</v>
      </c>
    </row>
    <row r="182" spans="1:32" ht="12" customHeight="1">
      <c r="A182" s="7" t="s">
        <v>709</v>
      </c>
      <c r="B182" s="16" t="s">
        <v>530</v>
      </c>
      <c r="C182" s="17">
        <f>'AEO 2023 Table 47 Raw'!F164</f>
        <v>0</v>
      </c>
      <c r="D182" s="17">
        <f>'AEO 2023 Table 47 Raw'!G164</f>
        <v>15.678391</v>
      </c>
      <c r="E182" s="17">
        <f>'AEO 2023 Table 47 Raw'!H164</f>
        <v>31.168710999999998</v>
      </c>
      <c r="F182" s="17">
        <f>'AEO 2023 Table 47 Raw'!I164</f>
        <v>20.154024</v>
      </c>
      <c r="G182" s="17">
        <f>'AEO 2023 Table 47 Raw'!J164</f>
        <v>21.018902000000001</v>
      </c>
      <c r="H182" s="17">
        <f>'AEO 2023 Table 47 Raw'!K164</f>
        <v>25.879242000000001</v>
      </c>
      <c r="I182" s="17">
        <f>'AEO 2023 Table 47 Raw'!L164</f>
        <v>21.064544999999999</v>
      </c>
      <c r="J182" s="17">
        <f>'AEO 2023 Table 47 Raw'!M164</f>
        <v>21.362030000000001</v>
      </c>
      <c r="K182" s="17">
        <f>'AEO 2023 Table 47 Raw'!N164</f>
        <v>21.692352</v>
      </c>
      <c r="L182" s="17">
        <f>'AEO 2023 Table 47 Raw'!O164</f>
        <v>22.011870999999999</v>
      </c>
      <c r="M182" s="17">
        <f>'AEO 2023 Table 47 Raw'!P164</f>
        <v>22.295715000000001</v>
      </c>
      <c r="N182" s="17">
        <f>'AEO 2023 Table 47 Raw'!Q164</f>
        <v>22.870239000000002</v>
      </c>
      <c r="O182" s="17">
        <f>'AEO 2023 Table 47 Raw'!R164</f>
        <v>23.251068</v>
      </c>
      <c r="P182" s="17">
        <f>'AEO 2023 Table 47 Raw'!S164</f>
        <v>23.447327000000001</v>
      </c>
      <c r="Q182" s="17">
        <f>'AEO 2023 Table 47 Raw'!T164</f>
        <v>23.634003</v>
      </c>
      <c r="R182" s="17">
        <f>'AEO 2023 Table 47 Raw'!U164</f>
        <v>23.818787</v>
      </c>
      <c r="S182" s="17">
        <f>'AEO 2023 Table 47 Raw'!V164</f>
        <v>24.005096000000002</v>
      </c>
      <c r="T182" s="17">
        <f>'AEO 2023 Table 47 Raw'!W164</f>
        <v>24.197571</v>
      </c>
      <c r="U182" s="17">
        <f>'AEO 2023 Table 47 Raw'!X164</f>
        <v>24.385590000000001</v>
      </c>
      <c r="V182" s="17">
        <f>'AEO 2023 Table 47 Raw'!Y164</f>
        <v>24.591797</v>
      </c>
      <c r="W182" s="17">
        <f>'AEO 2023 Table 47 Raw'!Z164</f>
        <v>24.816680999999999</v>
      </c>
      <c r="X182" s="17">
        <f>'AEO 2023 Table 47 Raw'!AA164</f>
        <v>25.057403999999998</v>
      </c>
      <c r="Y182" s="17">
        <f>'AEO 2023 Table 47 Raw'!AB164</f>
        <v>25.332642</v>
      </c>
      <c r="Z182" s="17">
        <f>'AEO 2023 Table 47 Raw'!AC164</f>
        <v>25.637512000000001</v>
      </c>
      <c r="AA182" s="17">
        <f>'AEO 2023 Table 47 Raw'!AD164</f>
        <v>25.968475000000002</v>
      </c>
      <c r="AB182" s="17">
        <f>'AEO 2023 Table 47 Raw'!AE164</f>
        <v>26.329041</v>
      </c>
      <c r="AC182" s="17">
        <f>'AEO 2023 Table 47 Raw'!AF164</f>
        <v>26.719512999999999</v>
      </c>
      <c r="AD182" s="17">
        <f>'AEO 2023 Table 47 Raw'!AG164</f>
        <v>27.143004999999999</v>
      </c>
      <c r="AE182" s="17">
        <f>'AEO 2023 Table 47 Raw'!AH164</f>
        <v>27.598327999999999</v>
      </c>
      <c r="AF182" s="30" t="str">
        <f>'AEO 2023 Table 47 Raw'!AI164</f>
        <v>- -</v>
      </c>
    </row>
    <row r="183" spans="1:32" ht="15" customHeight="1">
      <c r="A183" s="7" t="s">
        <v>710</v>
      </c>
      <c r="B183" s="16" t="s">
        <v>532</v>
      </c>
      <c r="C183" s="17">
        <f>'AEO 2023 Table 47 Raw'!F165</f>
        <v>0</v>
      </c>
      <c r="D183" s="17">
        <f>'AEO 2023 Table 47 Raw'!G165</f>
        <v>22.792006000000001</v>
      </c>
      <c r="E183" s="17">
        <f>'AEO 2023 Table 47 Raw'!H165</f>
        <v>74.402717999999993</v>
      </c>
      <c r="F183" s="17">
        <f>'AEO 2023 Table 47 Raw'!I165</f>
        <v>44.716248</v>
      </c>
      <c r="G183" s="17">
        <f>'AEO 2023 Table 47 Raw'!J165</f>
        <v>57.993133999999998</v>
      </c>
      <c r="H183" s="17">
        <f>'AEO 2023 Table 47 Raw'!K165</f>
        <v>54.273457000000001</v>
      </c>
      <c r="I183" s="17">
        <f>'AEO 2023 Table 47 Raw'!L165</f>
        <v>51.795287999999999</v>
      </c>
      <c r="J183" s="17">
        <f>'AEO 2023 Table 47 Raw'!M165</f>
        <v>51.212234000000002</v>
      </c>
      <c r="K183" s="17">
        <f>'AEO 2023 Table 47 Raw'!N165</f>
        <v>52.077075999999998</v>
      </c>
      <c r="L183" s="17">
        <f>'AEO 2023 Table 47 Raw'!O165</f>
        <v>54.758178999999998</v>
      </c>
      <c r="M183" s="17">
        <f>'AEO 2023 Table 47 Raw'!P165</f>
        <v>57.779369000000003</v>
      </c>
      <c r="N183" s="17">
        <f>'AEO 2023 Table 47 Raw'!Q165</f>
        <v>61.833809000000002</v>
      </c>
      <c r="O183" s="17">
        <f>'AEO 2023 Table 47 Raw'!R165</f>
        <v>66.168610000000001</v>
      </c>
      <c r="P183" s="17">
        <f>'AEO 2023 Table 47 Raw'!S165</f>
        <v>69.022034000000005</v>
      </c>
      <c r="Q183" s="17">
        <f>'AEO 2023 Table 47 Raw'!T165</f>
        <v>71.720344999999995</v>
      </c>
      <c r="R183" s="17">
        <f>'AEO 2023 Table 47 Raw'!U165</f>
        <v>74.601128000000003</v>
      </c>
      <c r="S183" s="17">
        <f>'AEO 2023 Table 47 Raw'!V165</f>
        <v>77.492294000000001</v>
      </c>
      <c r="T183" s="17">
        <f>'AEO 2023 Table 47 Raw'!W165</f>
        <v>80.764747999999997</v>
      </c>
      <c r="U183" s="17">
        <f>'AEO 2023 Table 47 Raw'!X165</f>
        <v>83.840393000000006</v>
      </c>
      <c r="V183" s="17">
        <f>'AEO 2023 Table 47 Raw'!Y165</f>
        <v>85.916290000000004</v>
      </c>
      <c r="W183" s="17">
        <f>'AEO 2023 Table 47 Raw'!Z165</f>
        <v>88.354316999999995</v>
      </c>
      <c r="X183" s="17">
        <f>'AEO 2023 Table 47 Raw'!AA165</f>
        <v>90.725646999999995</v>
      </c>
      <c r="Y183" s="17">
        <f>'AEO 2023 Table 47 Raw'!AB165</f>
        <v>93.012282999999996</v>
      </c>
      <c r="Z183" s="17">
        <f>'AEO 2023 Table 47 Raw'!AC165</f>
        <v>95.275702999999993</v>
      </c>
      <c r="AA183" s="17">
        <f>'AEO 2023 Table 47 Raw'!AD165</f>
        <v>96.930526999999998</v>
      </c>
      <c r="AB183" s="17">
        <f>'AEO 2023 Table 47 Raw'!AE165</f>
        <v>99.070449999999994</v>
      </c>
      <c r="AC183" s="17">
        <f>'AEO 2023 Table 47 Raw'!AF165</f>
        <v>101.387764</v>
      </c>
      <c r="AD183" s="17">
        <f>'AEO 2023 Table 47 Raw'!AG165</f>
        <v>103.807503</v>
      </c>
      <c r="AE183" s="17">
        <f>'AEO 2023 Table 47 Raw'!AH165</f>
        <v>106.413315</v>
      </c>
      <c r="AF183" s="30" t="str">
        <f>'AEO 2023 Table 47 Raw'!AI165</f>
        <v>- -</v>
      </c>
    </row>
    <row r="184" spans="1:32" ht="15" customHeight="1">
      <c r="A184" s="7" t="s">
        <v>711</v>
      </c>
      <c r="B184" s="16" t="s">
        <v>534</v>
      </c>
      <c r="C184" s="17">
        <f>'AEO 2023 Table 47 Raw'!F166</f>
        <v>0</v>
      </c>
      <c r="D184" s="17">
        <f>'AEO 2023 Table 47 Raw'!G166</f>
        <v>3.6042939999999999</v>
      </c>
      <c r="E184" s="17">
        <f>'AEO 2023 Table 47 Raw'!H166</f>
        <v>47.323338</v>
      </c>
      <c r="F184" s="17">
        <f>'AEO 2023 Table 47 Raw'!I166</f>
        <v>25.081547</v>
      </c>
      <c r="G184" s="17">
        <f>'AEO 2023 Table 47 Raw'!J166</f>
        <v>36.088225999999999</v>
      </c>
      <c r="H184" s="17">
        <f>'AEO 2023 Table 47 Raw'!K166</f>
        <v>35.250145000000003</v>
      </c>
      <c r="I184" s="17">
        <f>'AEO 2023 Table 47 Raw'!L166</f>
        <v>33.467136000000004</v>
      </c>
      <c r="J184" s="17">
        <f>'AEO 2023 Table 47 Raw'!M166</f>
        <v>32.919186000000003</v>
      </c>
      <c r="K184" s="17">
        <f>'AEO 2023 Table 47 Raw'!N166</f>
        <v>34.377158999999999</v>
      </c>
      <c r="L184" s="17">
        <f>'AEO 2023 Table 47 Raw'!O166</f>
        <v>35.893459</v>
      </c>
      <c r="M184" s="17">
        <f>'AEO 2023 Table 47 Raw'!P166</f>
        <v>37.667839000000001</v>
      </c>
      <c r="N184" s="17">
        <f>'AEO 2023 Table 47 Raw'!Q166</f>
        <v>39.338538999999997</v>
      </c>
      <c r="O184" s="17">
        <f>'AEO 2023 Table 47 Raw'!R166</f>
        <v>41.088473999999998</v>
      </c>
      <c r="P184" s="17">
        <f>'AEO 2023 Table 47 Raw'!S166</f>
        <v>42.883583000000002</v>
      </c>
      <c r="Q184" s="17">
        <f>'AEO 2023 Table 47 Raw'!T166</f>
        <v>44.583351</v>
      </c>
      <c r="R184" s="17">
        <f>'AEO 2023 Table 47 Raw'!U166</f>
        <v>46.405234999999998</v>
      </c>
      <c r="S184" s="17">
        <f>'AEO 2023 Table 47 Raw'!V166</f>
        <v>48.237968000000002</v>
      </c>
      <c r="T184" s="17">
        <f>'AEO 2023 Table 47 Raw'!W166</f>
        <v>50.054909000000002</v>
      </c>
      <c r="U184" s="17">
        <f>'AEO 2023 Table 47 Raw'!X166</f>
        <v>51.816090000000003</v>
      </c>
      <c r="V184" s="17">
        <f>'AEO 2023 Table 47 Raw'!Y166</f>
        <v>53.149906000000001</v>
      </c>
      <c r="W184" s="17">
        <f>'AEO 2023 Table 47 Raw'!Z166</f>
        <v>54.709114</v>
      </c>
      <c r="X184" s="17">
        <f>'AEO 2023 Table 47 Raw'!AA166</f>
        <v>56.237555999999998</v>
      </c>
      <c r="Y184" s="17">
        <f>'AEO 2023 Table 47 Raw'!AB166</f>
        <v>57.744278000000001</v>
      </c>
      <c r="Z184" s="17">
        <f>'AEO 2023 Table 47 Raw'!AC166</f>
        <v>59.240203999999999</v>
      </c>
      <c r="AA184" s="17">
        <f>'AEO 2023 Table 47 Raw'!AD166</f>
        <v>60.373123</v>
      </c>
      <c r="AB184" s="17">
        <f>'AEO 2023 Table 47 Raw'!AE166</f>
        <v>61.808743</v>
      </c>
      <c r="AC184" s="17">
        <f>'AEO 2023 Table 47 Raw'!AF166</f>
        <v>63.379292</v>
      </c>
      <c r="AD184" s="17">
        <f>'AEO 2023 Table 47 Raw'!AG166</f>
        <v>65.004767999999999</v>
      </c>
      <c r="AE184" s="17">
        <f>'AEO 2023 Table 47 Raw'!AH166</f>
        <v>66.742683</v>
      </c>
      <c r="AF184" s="30" t="str">
        <f>'AEO 2023 Table 47 Raw'!AI166</f>
        <v>- -</v>
      </c>
    </row>
    <row r="185" spans="1:32" ht="15" customHeight="1">
      <c r="A185" s="7" t="s">
        <v>712</v>
      </c>
      <c r="B185" s="16" t="s">
        <v>536</v>
      </c>
      <c r="C185" s="17">
        <f>'AEO 2023 Table 47 Raw'!F167</f>
        <v>0</v>
      </c>
      <c r="D185" s="17">
        <f>'AEO 2023 Table 47 Raw'!G167</f>
        <v>0</v>
      </c>
      <c r="E185" s="17">
        <f>'AEO 2023 Table 47 Raw'!H167</f>
        <v>1.1706829999999999</v>
      </c>
      <c r="F185" s="17">
        <f>'AEO 2023 Table 47 Raw'!I167</f>
        <v>6.5943160000000001</v>
      </c>
      <c r="G185" s="17">
        <f>'AEO 2023 Table 47 Raw'!J167</f>
        <v>5.9159930000000003</v>
      </c>
      <c r="H185" s="17">
        <f>'AEO 2023 Table 47 Raw'!K167</f>
        <v>4.2207160000000004</v>
      </c>
      <c r="I185" s="17">
        <f>'AEO 2023 Table 47 Raw'!L167</f>
        <v>3.7680630000000002</v>
      </c>
      <c r="J185" s="17">
        <f>'AEO 2023 Table 47 Raw'!M167</f>
        <v>3.664326</v>
      </c>
      <c r="K185" s="17">
        <f>'AEO 2023 Table 47 Raw'!N167</f>
        <v>2.497312</v>
      </c>
      <c r="L185" s="17">
        <f>'AEO 2023 Table 47 Raw'!O167</f>
        <v>3.0966079999999998</v>
      </c>
      <c r="M185" s="17">
        <f>'AEO 2023 Table 47 Raw'!P167</f>
        <v>3.723773</v>
      </c>
      <c r="N185" s="17">
        <f>'AEO 2023 Table 47 Raw'!Q167</f>
        <v>5.5370480000000004</v>
      </c>
      <c r="O185" s="17">
        <f>'AEO 2023 Table 47 Raw'!R167</f>
        <v>7.546837</v>
      </c>
      <c r="P185" s="17">
        <f>'AEO 2023 Table 47 Raw'!S167</f>
        <v>8.0298370000000006</v>
      </c>
      <c r="Q185" s="17">
        <f>'AEO 2023 Table 47 Raw'!T167</f>
        <v>8.4824219999999997</v>
      </c>
      <c r="R185" s="17">
        <f>'AEO 2023 Table 47 Raw'!U167</f>
        <v>8.9627379999999999</v>
      </c>
      <c r="S185" s="17">
        <f>'AEO 2023 Table 47 Raw'!V167</f>
        <v>9.4329149999999995</v>
      </c>
      <c r="T185" s="17">
        <f>'AEO 2023 Table 47 Raw'!W167</f>
        <v>9.8785399999999992</v>
      </c>
      <c r="U185" s="17">
        <f>'AEO 2023 Table 47 Raw'!X167</f>
        <v>10.28767</v>
      </c>
      <c r="V185" s="17">
        <f>'AEO 2023 Table 47 Raw'!Y167</f>
        <v>10.555084000000001</v>
      </c>
      <c r="W185" s="17">
        <f>'AEO 2023 Table 47 Raw'!Z167</f>
        <v>10.858917</v>
      </c>
      <c r="X185" s="17">
        <f>'AEO 2023 Table 47 Raw'!AA167</f>
        <v>11.105093</v>
      </c>
      <c r="Y185" s="17">
        <f>'AEO 2023 Table 47 Raw'!AB167</f>
        <v>11.269012999999999</v>
      </c>
      <c r="Z185" s="17">
        <f>'AEO 2023 Table 47 Raw'!AC167</f>
        <v>11.400671000000001</v>
      </c>
      <c r="AA185" s="17">
        <f>'AEO 2023 Table 47 Raw'!AD167</f>
        <v>11.372805</v>
      </c>
      <c r="AB185" s="17">
        <f>'AEO 2023 Table 47 Raw'!AE167</f>
        <v>11.416981</v>
      </c>
      <c r="AC185" s="17">
        <f>'AEO 2023 Table 47 Raw'!AF167</f>
        <v>11.454242000000001</v>
      </c>
      <c r="AD185" s="17">
        <f>'AEO 2023 Table 47 Raw'!AG167</f>
        <v>11.487852</v>
      </c>
      <c r="AE185" s="17">
        <f>'AEO 2023 Table 47 Raw'!AH167</f>
        <v>11.547215</v>
      </c>
      <c r="AF185" s="30" t="str">
        <f>'AEO 2023 Table 47 Raw'!AI167</f>
        <v>- -</v>
      </c>
    </row>
    <row r="186" spans="1:32" ht="15" customHeight="1">
      <c r="A186" s="7" t="s">
        <v>713</v>
      </c>
      <c r="B186" s="16" t="s">
        <v>538</v>
      </c>
      <c r="C186" s="17">
        <f>'AEO 2023 Table 47 Raw'!F168</f>
        <v>0</v>
      </c>
      <c r="D186" s="17">
        <f>'AEO 2023 Table 47 Raw'!G168</f>
        <v>19.187712000000001</v>
      </c>
      <c r="E186" s="17">
        <f>'AEO 2023 Table 47 Raw'!H168</f>
        <v>25.908698999999999</v>
      </c>
      <c r="F186" s="17">
        <f>'AEO 2023 Table 47 Raw'!I168</f>
        <v>13.040388</v>
      </c>
      <c r="G186" s="17">
        <f>'AEO 2023 Table 47 Raw'!J168</f>
        <v>15.988916</v>
      </c>
      <c r="H186" s="17">
        <f>'AEO 2023 Table 47 Raw'!K168</f>
        <v>14.802597</v>
      </c>
      <c r="I186" s="17">
        <f>'AEO 2023 Table 47 Raw'!L168</f>
        <v>14.560089</v>
      </c>
      <c r="J186" s="17">
        <f>'AEO 2023 Table 47 Raw'!M168</f>
        <v>14.628723000000001</v>
      </c>
      <c r="K186" s="17">
        <f>'AEO 2023 Table 47 Raw'!N168</f>
        <v>15.202605999999999</v>
      </c>
      <c r="L186" s="17">
        <f>'AEO 2023 Table 47 Raw'!O168</f>
        <v>15.768112</v>
      </c>
      <c r="M186" s="17">
        <f>'AEO 2023 Table 47 Raw'!P168</f>
        <v>16.387756</v>
      </c>
      <c r="N186" s="17">
        <f>'AEO 2023 Table 47 Raw'!Q168</f>
        <v>16.958221000000002</v>
      </c>
      <c r="O186" s="17">
        <f>'AEO 2023 Table 47 Raw'!R168</f>
        <v>17.533294999999999</v>
      </c>
      <c r="P186" s="17">
        <f>'AEO 2023 Table 47 Raw'!S168</f>
        <v>18.108612000000001</v>
      </c>
      <c r="Q186" s="17">
        <f>'AEO 2023 Table 47 Raw'!T168</f>
        <v>18.654572000000002</v>
      </c>
      <c r="R186" s="17">
        <f>'AEO 2023 Table 47 Raw'!U168</f>
        <v>19.233153999999999</v>
      </c>
      <c r="S186" s="17">
        <f>'AEO 2023 Table 47 Raw'!V168</f>
        <v>19.821411000000001</v>
      </c>
      <c r="T186" s="17">
        <f>'AEO 2023 Table 47 Raw'!W168</f>
        <v>20.831299000000001</v>
      </c>
      <c r="U186" s="17">
        <f>'AEO 2023 Table 47 Raw'!X168</f>
        <v>21.736633000000001</v>
      </c>
      <c r="V186" s="17">
        <f>'AEO 2023 Table 47 Raw'!Y168</f>
        <v>22.211303999999998</v>
      </c>
      <c r="W186" s="17">
        <f>'AEO 2023 Table 47 Raw'!Z168</f>
        <v>22.786284999999999</v>
      </c>
      <c r="X186" s="17">
        <f>'AEO 2023 Table 47 Raw'!AA168</f>
        <v>23.382995999999999</v>
      </c>
      <c r="Y186" s="17">
        <f>'AEO 2023 Table 47 Raw'!AB168</f>
        <v>23.998992999999999</v>
      </c>
      <c r="Z186" s="17">
        <f>'AEO 2023 Table 47 Raw'!AC168</f>
        <v>24.634827000000001</v>
      </c>
      <c r="AA186" s="17">
        <f>'AEO 2023 Table 47 Raw'!AD168</f>
        <v>25.184601000000001</v>
      </c>
      <c r="AB186" s="17">
        <f>'AEO 2023 Table 47 Raw'!AE168</f>
        <v>25.844726999999999</v>
      </c>
      <c r="AC186" s="17">
        <f>'AEO 2023 Table 47 Raw'!AF168</f>
        <v>26.55423</v>
      </c>
      <c r="AD186" s="17">
        <f>'AEO 2023 Table 47 Raw'!AG168</f>
        <v>27.314879999999999</v>
      </c>
      <c r="AE186" s="17">
        <f>'AEO 2023 Table 47 Raw'!AH168</f>
        <v>28.123412999999999</v>
      </c>
      <c r="AF186" s="30" t="str">
        <f>'AEO 2023 Table 47 Raw'!AI168</f>
        <v>- -</v>
      </c>
    </row>
    <row r="187" spans="1:32" ht="15" customHeight="1">
      <c r="A187" s="7" t="s">
        <v>714</v>
      </c>
      <c r="B187" s="16" t="s">
        <v>540</v>
      </c>
      <c r="C187" s="17">
        <f>'AEO 2023 Table 47 Raw'!F169</f>
        <v>0</v>
      </c>
      <c r="D187" s="17">
        <f>'AEO 2023 Table 47 Raw'!G169</f>
        <v>209.46492000000001</v>
      </c>
      <c r="E187" s="17">
        <f>'AEO 2023 Table 47 Raw'!H169</f>
        <v>460.13586400000003</v>
      </c>
      <c r="F187" s="17">
        <f>'AEO 2023 Table 47 Raw'!I169</f>
        <v>229.08583100000001</v>
      </c>
      <c r="G187" s="17">
        <f>'AEO 2023 Table 47 Raw'!J169</f>
        <v>317.47808800000001</v>
      </c>
      <c r="H187" s="17">
        <f>'AEO 2023 Table 47 Raw'!K169</f>
        <v>187.26048299999999</v>
      </c>
      <c r="I187" s="17">
        <f>'AEO 2023 Table 47 Raw'!L169</f>
        <v>214.348862</v>
      </c>
      <c r="J187" s="17">
        <f>'AEO 2023 Table 47 Raw'!M169</f>
        <v>249.834259</v>
      </c>
      <c r="K187" s="17">
        <f>'AEO 2023 Table 47 Raw'!N169</f>
        <v>296.81411700000001</v>
      </c>
      <c r="L187" s="17">
        <f>'AEO 2023 Table 47 Raw'!O169</f>
        <v>319.17443800000001</v>
      </c>
      <c r="M187" s="17">
        <f>'AEO 2023 Table 47 Raw'!P169</f>
        <v>339.22967499999999</v>
      </c>
      <c r="N187" s="17">
        <f>'AEO 2023 Table 47 Raw'!Q169</f>
        <v>397.25842299999999</v>
      </c>
      <c r="O187" s="17">
        <f>'AEO 2023 Table 47 Raw'!R169</f>
        <v>406.20275900000001</v>
      </c>
      <c r="P187" s="17">
        <f>'AEO 2023 Table 47 Raw'!S169</f>
        <v>413.12435900000003</v>
      </c>
      <c r="Q187" s="17">
        <f>'AEO 2023 Table 47 Raw'!T169</f>
        <v>419.67819200000002</v>
      </c>
      <c r="R187" s="17">
        <f>'AEO 2023 Table 47 Raw'!U169</f>
        <v>426.31133999999997</v>
      </c>
      <c r="S187" s="17">
        <f>'AEO 2023 Table 47 Raw'!V169</f>
        <v>432.356964</v>
      </c>
      <c r="T187" s="17">
        <f>'AEO 2023 Table 47 Raw'!W169</f>
        <v>437.99243200000001</v>
      </c>
      <c r="U187" s="17">
        <f>'AEO 2023 Table 47 Raw'!X169</f>
        <v>444.01953099999997</v>
      </c>
      <c r="V187" s="17">
        <f>'AEO 2023 Table 47 Raw'!Y169</f>
        <v>449.06921399999999</v>
      </c>
      <c r="W187" s="17">
        <f>'AEO 2023 Table 47 Raw'!Z169</f>
        <v>453.67553700000002</v>
      </c>
      <c r="X187" s="17">
        <f>'AEO 2023 Table 47 Raw'!AA169</f>
        <v>457.88363600000002</v>
      </c>
      <c r="Y187" s="17">
        <f>'AEO 2023 Table 47 Raw'!AB169</f>
        <v>461.77047700000003</v>
      </c>
      <c r="Z187" s="17">
        <f>'AEO 2023 Table 47 Raw'!AC169</f>
        <v>465.51147500000002</v>
      </c>
      <c r="AA187" s="17">
        <f>'AEO 2023 Table 47 Raw'!AD169</f>
        <v>469.37573200000003</v>
      </c>
      <c r="AB187" s="17">
        <f>'AEO 2023 Table 47 Raw'!AE169</f>
        <v>473.366669</v>
      </c>
      <c r="AC187" s="17">
        <f>'AEO 2023 Table 47 Raw'!AF169</f>
        <v>477.805969</v>
      </c>
      <c r="AD187" s="17">
        <f>'AEO 2023 Table 47 Raw'!AG169</f>
        <v>483.20083599999998</v>
      </c>
      <c r="AE187" s="17">
        <f>'AEO 2023 Table 47 Raw'!AH169</f>
        <v>489.35626200000002</v>
      </c>
      <c r="AF187" s="30" t="str">
        <f>'AEO 2023 Table 47 Raw'!AI169</f>
        <v>- -</v>
      </c>
    </row>
    <row r="188" spans="1:32" ht="12" customHeight="1">
      <c r="A188" s="7" t="s">
        <v>715</v>
      </c>
      <c r="B188" s="16" t="s">
        <v>542</v>
      </c>
      <c r="C188" s="17">
        <f>'AEO 2023 Table 47 Raw'!F170</f>
        <v>0</v>
      </c>
      <c r="D188" s="17">
        <f>'AEO 2023 Table 47 Raw'!G170</f>
        <v>0</v>
      </c>
      <c r="E188" s="17">
        <f>'AEO 2023 Table 47 Raw'!H170</f>
        <v>221.829926</v>
      </c>
      <c r="F188" s="17">
        <f>'AEO 2023 Table 47 Raw'!I170</f>
        <v>120.38294999999999</v>
      </c>
      <c r="G188" s="17">
        <f>'AEO 2023 Table 47 Raw'!J170</f>
        <v>159.10351600000001</v>
      </c>
      <c r="H188" s="17">
        <f>'AEO 2023 Table 47 Raw'!K170</f>
        <v>105.838966</v>
      </c>
      <c r="I188" s="17">
        <f>'AEO 2023 Table 47 Raw'!L170</f>
        <v>123.445007</v>
      </c>
      <c r="J188" s="17">
        <f>'AEO 2023 Table 47 Raw'!M170</f>
        <v>142.73538199999999</v>
      </c>
      <c r="K188" s="17">
        <f>'AEO 2023 Table 47 Raw'!N170</f>
        <v>161.134232</v>
      </c>
      <c r="L188" s="17">
        <f>'AEO 2023 Table 47 Raw'!O170</f>
        <v>178.18235799999999</v>
      </c>
      <c r="M188" s="17">
        <f>'AEO 2023 Table 47 Raw'!P170</f>
        <v>193.75765999999999</v>
      </c>
      <c r="N188" s="17">
        <f>'AEO 2023 Table 47 Raw'!Q170</f>
        <v>247.382935</v>
      </c>
      <c r="O188" s="17">
        <f>'AEO 2023 Table 47 Raw'!R170</f>
        <v>252.203857</v>
      </c>
      <c r="P188" s="17">
        <f>'AEO 2023 Table 47 Raw'!S170</f>
        <v>255.38964799999999</v>
      </c>
      <c r="Q188" s="17">
        <f>'AEO 2023 Table 47 Raw'!T170</f>
        <v>258.36474600000003</v>
      </c>
      <c r="R188" s="17">
        <f>'AEO 2023 Table 47 Raw'!U170</f>
        <v>261.22705100000002</v>
      </c>
      <c r="S188" s="17">
        <f>'AEO 2023 Table 47 Raw'!V170</f>
        <v>263.53198200000003</v>
      </c>
      <c r="T188" s="17">
        <f>'AEO 2023 Table 47 Raw'!W170</f>
        <v>265.51074199999999</v>
      </c>
      <c r="U188" s="17">
        <f>'AEO 2023 Table 47 Raw'!X170</f>
        <v>267.742188</v>
      </c>
      <c r="V188" s="17">
        <f>'AEO 2023 Table 47 Raw'!Y170</f>
        <v>269.3125</v>
      </c>
      <c r="W188" s="17">
        <f>'AEO 2023 Table 47 Raw'!Z170</f>
        <v>270.68798800000002</v>
      </c>
      <c r="X188" s="17">
        <f>'AEO 2023 Table 47 Raw'!AA170</f>
        <v>271.945312</v>
      </c>
      <c r="Y188" s="17">
        <f>'AEO 2023 Table 47 Raw'!AB170</f>
        <v>273.14111300000002</v>
      </c>
      <c r="Z188" s="17">
        <f>'AEO 2023 Table 47 Raw'!AC170</f>
        <v>274.41601600000001</v>
      </c>
      <c r="AA188" s="17">
        <f>'AEO 2023 Table 47 Raw'!AD170</f>
        <v>275.93505900000002</v>
      </c>
      <c r="AB188" s="17">
        <f>'AEO 2023 Table 47 Raw'!AE170</f>
        <v>277.73779300000001</v>
      </c>
      <c r="AC188" s="17">
        <f>'AEO 2023 Table 47 Raw'!AF170</f>
        <v>280.03198200000003</v>
      </c>
      <c r="AD188" s="17">
        <f>'AEO 2023 Table 47 Raw'!AG170</f>
        <v>283.20404100000002</v>
      </c>
      <c r="AE188" s="17">
        <f>'AEO 2023 Table 47 Raw'!AH170</f>
        <v>286.96154799999999</v>
      </c>
      <c r="AF188" s="30" t="str">
        <f>'AEO 2023 Table 47 Raw'!AI170</f>
        <v>- -</v>
      </c>
    </row>
    <row r="189" spans="1:32" ht="15" customHeight="1">
      <c r="A189" s="7" t="s">
        <v>716</v>
      </c>
      <c r="B189" s="16" t="s">
        <v>544</v>
      </c>
      <c r="C189" s="17">
        <f>'AEO 2023 Table 47 Raw'!F171</f>
        <v>0</v>
      </c>
      <c r="D189" s="17">
        <f>'AEO 2023 Table 47 Raw'!G171</f>
        <v>0</v>
      </c>
      <c r="E189" s="17">
        <f>'AEO 2023 Table 47 Raw'!H171</f>
        <v>47.794128000000001</v>
      </c>
      <c r="F189" s="17">
        <f>'AEO 2023 Table 47 Raw'!I171</f>
        <v>34.290160999999998</v>
      </c>
      <c r="G189" s="17">
        <f>'AEO 2023 Table 47 Raw'!J171</f>
        <v>78.167045999999999</v>
      </c>
      <c r="H189" s="17">
        <f>'AEO 2023 Table 47 Raw'!K171</f>
        <v>21.906136</v>
      </c>
      <c r="I189" s="17">
        <f>'AEO 2023 Table 47 Raw'!L171</f>
        <v>29.046921000000001</v>
      </c>
      <c r="J189" s="17">
        <f>'AEO 2023 Table 47 Raw'!M171</f>
        <v>42.34742</v>
      </c>
      <c r="K189" s="17">
        <f>'AEO 2023 Table 47 Raw'!N171</f>
        <v>67.976646000000002</v>
      </c>
      <c r="L189" s="17">
        <f>'AEO 2023 Table 47 Raw'!O171</f>
        <v>70.347549000000001</v>
      </c>
      <c r="M189" s="17">
        <f>'AEO 2023 Table 47 Raw'!P171</f>
        <v>71.901809999999998</v>
      </c>
      <c r="N189" s="17">
        <f>'AEO 2023 Table 47 Raw'!Q171</f>
        <v>73.409531000000001</v>
      </c>
      <c r="O189" s="17">
        <f>'AEO 2023 Table 47 Raw'!R171</f>
        <v>74.759415000000004</v>
      </c>
      <c r="P189" s="17">
        <f>'AEO 2023 Table 47 Raw'!S171</f>
        <v>75.880463000000006</v>
      </c>
      <c r="Q189" s="17">
        <f>'AEO 2023 Table 47 Raw'!T171</f>
        <v>76.833099000000004</v>
      </c>
      <c r="R189" s="17">
        <f>'AEO 2023 Table 47 Raw'!U171</f>
        <v>77.983086</v>
      </c>
      <c r="S189" s="17">
        <f>'AEO 2023 Table 47 Raw'!V171</f>
        <v>79.231110000000001</v>
      </c>
      <c r="T189" s="17">
        <f>'AEO 2023 Table 47 Raw'!W171</f>
        <v>80.483269000000007</v>
      </c>
      <c r="U189" s="17">
        <f>'AEO 2023 Table 47 Raw'!X171</f>
        <v>81.913345000000007</v>
      </c>
      <c r="V189" s="17">
        <f>'AEO 2023 Table 47 Raw'!Y171</f>
        <v>83.149544000000006</v>
      </c>
      <c r="W189" s="17">
        <f>'AEO 2023 Table 47 Raw'!Z171</f>
        <v>84.208145000000002</v>
      </c>
      <c r="X189" s="17">
        <f>'AEO 2023 Table 47 Raw'!AA171</f>
        <v>85.047950999999998</v>
      </c>
      <c r="Y189" s="17">
        <f>'AEO 2023 Table 47 Raw'!AB171</f>
        <v>85.678557999999995</v>
      </c>
      <c r="Z189" s="17">
        <f>'AEO 2023 Table 47 Raw'!AC171</f>
        <v>86.113647</v>
      </c>
      <c r="AA189" s="17">
        <f>'AEO 2023 Table 47 Raw'!AD171</f>
        <v>86.440674000000001</v>
      </c>
      <c r="AB189" s="17">
        <f>'AEO 2023 Table 47 Raw'!AE171</f>
        <v>86.611412000000001</v>
      </c>
      <c r="AC189" s="17">
        <f>'AEO 2023 Table 47 Raw'!AF171</f>
        <v>86.682541000000001</v>
      </c>
      <c r="AD189" s="17">
        <f>'AEO 2023 Table 47 Raw'!AG171</f>
        <v>86.753997999999996</v>
      </c>
      <c r="AE189" s="17">
        <f>'AEO 2023 Table 47 Raw'!AH171</f>
        <v>86.938659999999999</v>
      </c>
      <c r="AF189" s="30" t="str">
        <f>'AEO 2023 Table 47 Raw'!AI171</f>
        <v>- -</v>
      </c>
    </row>
    <row r="190" spans="1:32" ht="15" customHeight="1">
      <c r="A190" s="7" t="s">
        <v>717</v>
      </c>
      <c r="B190" s="16" t="s">
        <v>602</v>
      </c>
      <c r="C190" s="17">
        <f>'AEO 2023 Table 47 Raw'!F172</f>
        <v>0</v>
      </c>
      <c r="D190" s="17">
        <f>'AEO 2023 Table 47 Raw'!G172</f>
        <v>209.46492000000001</v>
      </c>
      <c r="E190" s="17">
        <f>'AEO 2023 Table 47 Raw'!H172</f>
        <v>190.51182600000001</v>
      </c>
      <c r="F190" s="17">
        <f>'AEO 2023 Table 47 Raw'!I172</f>
        <v>74.412719999999993</v>
      </c>
      <c r="G190" s="17">
        <f>'AEO 2023 Table 47 Raw'!J172</f>
        <v>80.207520000000002</v>
      </c>
      <c r="H190" s="17">
        <f>'AEO 2023 Table 47 Raw'!K172</f>
        <v>59.515380999999998</v>
      </c>
      <c r="I190" s="17">
        <f>'AEO 2023 Table 47 Raw'!L172</f>
        <v>61.856934000000003</v>
      </c>
      <c r="J190" s="17">
        <f>'AEO 2023 Table 47 Raw'!M172</f>
        <v>64.751464999999996</v>
      </c>
      <c r="K190" s="17">
        <f>'AEO 2023 Table 47 Raw'!N172</f>
        <v>67.703247000000005</v>
      </c>
      <c r="L190" s="17">
        <f>'AEO 2023 Table 47 Raw'!O172</f>
        <v>70.644531000000001</v>
      </c>
      <c r="M190" s="17">
        <f>'AEO 2023 Table 47 Raw'!P172</f>
        <v>73.570189999999997</v>
      </c>
      <c r="N190" s="17">
        <f>'AEO 2023 Table 47 Raw'!Q172</f>
        <v>76.465941999999998</v>
      </c>
      <c r="O190" s="17">
        <f>'AEO 2023 Table 47 Raw'!R172</f>
        <v>79.239502000000002</v>
      </c>
      <c r="P190" s="17">
        <f>'AEO 2023 Table 47 Raw'!S172</f>
        <v>81.854247999999998</v>
      </c>
      <c r="Q190" s="17">
        <f>'AEO 2023 Table 47 Raw'!T172</f>
        <v>84.480346999999995</v>
      </c>
      <c r="R190" s="17">
        <f>'AEO 2023 Table 47 Raw'!U172</f>
        <v>87.101196000000002</v>
      </c>
      <c r="S190" s="17">
        <f>'AEO 2023 Table 47 Raw'!V172</f>
        <v>89.593872000000005</v>
      </c>
      <c r="T190" s="17">
        <f>'AEO 2023 Table 47 Raw'!W172</f>
        <v>91.998412999999999</v>
      </c>
      <c r="U190" s="17">
        <f>'AEO 2023 Table 47 Raw'!X172</f>
        <v>94.364013999999997</v>
      </c>
      <c r="V190" s="17">
        <f>'AEO 2023 Table 47 Raw'!Y172</f>
        <v>96.607178000000005</v>
      </c>
      <c r="W190" s="17">
        <f>'AEO 2023 Table 47 Raw'!Z172</f>
        <v>98.779419000000004</v>
      </c>
      <c r="X190" s="17">
        <f>'AEO 2023 Table 47 Raw'!AA172</f>
        <v>100.890381</v>
      </c>
      <c r="Y190" s="17">
        <f>'AEO 2023 Table 47 Raw'!AB172</f>
        <v>102.950806</v>
      </c>
      <c r="Z190" s="17">
        <f>'AEO 2023 Table 47 Raw'!AC172</f>
        <v>104.98181200000001</v>
      </c>
      <c r="AA190" s="17">
        <f>'AEO 2023 Table 47 Raw'!AD172</f>
        <v>107</v>
      </c>
      <c r="AB190" s="17">
        <f>'AEO 2023 Table 47 Raw'!AE172</f>
        <v>109.017456</v>
      </c>
      <c r="AC190" s="17">
        <f>'AEO 2023 Table 47 Raw'!AF172</f>
        <v>111.091431</v>
      </c>
      <c r="AD190" s="17">
        <f>'AEO 2023 Table 47 Raw'!AG172</f>
        <v>113.24279799999999</v>
      </c>
      <c r="AE190" s="17">
        <f>'AEO 2023 Table 47 Raw'!AH172</f>
        <v>115.45605500000001</v>
      </c>
      <c r="AF190" s="30" t="str">
        <f>'AEO 2023 Table 47 Raw'!AI172</f>
        <v>- -</v>
      </c>
    </row>
    <row r="191" spans="1:32" ht="15" customHeight="1">
      <c r="A191" s="7" t="s">
        <v>718</v>
      </c>
      <c r="B191" s="16" t="s">
        <v>719</v>
      </c>
      <c r="C191" s="17">
        <f>'AEO 2023 Table 47 Raw'!F173</f>
        <v>0.79372399999999999</v>
      </c>
      <c r="D191" s="17">
        <f>'AEO 2023 Table 47 Raw'!G173</f>
        <v>12.980262</v>
      </c>
      <c r="E191" s="17">
        <f>'AEO 2023 Table 47 Raw'!H173</f>
        <v>13.87327</v>
      </c>
      <c r="F191" s="17">
        <f>'AEO 2023 Table 47 Raw'!I173</f>
        <v>26.350292</v>
      </c>
      <c r="G191" s="17">
        <f>'AEO 2023 Table 47 Raw'!J173</f>
        <v>34.025683999999998</v>
      </c>
      <c r="H191" s="17">
        <f>'AEO 2023 Table 47 Raw'!K173</f>
        <v>23.44116</v>
      </c>
      <c r="I191" s="17">
        <f>'AEO 2023 Table 47 Raw'!L173</f>
        <v>23.946943000000001</v>
      </c>
      <c r="J191" s="17">
        <f>'AEO 2023 Table 47 Raw'!M173</f>
        <v>7.5498479999999999</v>
      </c>
      <c r="K191" s="17">
        <f>'AEO 2023 Table 47 Raw'!N173</f>
        <v>10.049531999999999</v>
      </c>
      <c r="L191" s="17">
        <f>'AEO 2023 Table 47 Raw'!O173</f>
        <v>12.750522999999999</v>
      </c>
      <c r="M191" s="17">
        <f>'AEO 2023 Table 47 Raw'!P173</f>
        <v>15.652850000000001</v>
      </c>
      <c r="N191" s="17">
        <f>'AEO 2023 Table 47 Raw'!Q173</f>
        <v>19.172958000000001</v>
      </c>
      <c r="O191" s="17">
        <f>'AEO 2023 Table 47 Raw'!R173</f>
        <v>21.966609999999999</v>
      </c>
      <c r="P191" s="17">
        <f>'AEO 2023 Table 47 Raw'!S173</f>
        <v>24.430050000000001</v>
      </c>
      <c r="Q191" s="17">
        <f>'AEO 2023 Table 47 Raw'!T173</f>
        <v>26.608149000000001</v>
      </c>
      <c r="R191" s="17">
        <f>'AEO 2023 Table 47 Raw'!U173</f>
        <v>29.806080000000001</v>
      </c>
      <c r="S191" s="17">
        <f>'AEO 2023 Table 47 Raw'!V173</f>
        <v>31.115946000000001</v>
      </c>
      <c r="T191" s="17">
        <f>'AEO 2023 Table 47 Raw'!W173</f>
        <v>32.410407999999997</v>
      </c>
      <c r="U191" s="17">
        <f>'AEO 2023 Table 47 Raw'!X173</f>
        <v>32.874062000000002</v>
      </c>
      <c r="V191" s="17">
        <f>'AEO 2023 Table 47 Raw'!Y173</f>
        <v>33.091309000000003</v>
      </c>
      <c r="W191" s="17">
        <f>'AEO 2023 Table 47 Raw'!Z173</f>
        <v>35.272255000000001</v>
      </c>
      <c r="X191" s="17">
        <f>'AEO 2023 Table 47 Raw'!AA173</f>
        <v>35.527016000000003</v>
      </c>
      <c r="Y191" s="17">
        <f>'AEO 2023 Table 47 Raw'!AB173</f>
        <v>34.892966999999999</v>
      </c>
      <c r="Z191" s="17">
        <f>'AEO 2023 Table 47 Raw'!AC173</f>
        <v>34.265090999999998</v>
      </c>
      <c r="AA191" s="17">
        <f>'AEO 2023 Table 47 Raw'!AD173</f>
        <v>33.642463999999997</v>
      </c>
      <c r="AB191" s="17">
        <f>'AEO 2023 Table 47 Raw'!AE173</f>
        <v>33.005409</v>
      </c>
      <c r="AC191" s="17">
        <f>'AEO 2023 Table 47 Raw'!AF173</f>
        <v>32.366652999999999</v>
      </c>
      <c r="AD191" s="17">
        <f>'AEO 2023 Table 47 Raw'!AG173</f>
        <v>31.752213000000001</v>
      </c>
      <c r="AE191" s="17">
        <f>'AEO 2023 Table 47 Raw'!AH173</f>
        <v>31.186401</v>
      </c>
      <c r="AF191" s="30">
        <f>'AEO 2023 Table 47 Raw'!AI173</f>
        <v>0.14000000000000001</v>
      </c>
    </row>
    <row r="192" spans="1:32" ht="15" customHeight="1">
      <c r="A192" s="7" t="s">
        <v>720</v>
      </c>
      <c r="B192" s="16" t="s">
        <v>721</v>
      </c>
      <c r="C192" s="17">
        <f>'AEO 2023 Table 47 Raw'!F174</f>
        <v>0.79372399999999999</v>
      </c>
      <c r="D192" s="17">
        <f>'AEO 2023 Table 47 Raw'!G174</f>
        <v>7.4462910000000004</v>
      </c>
      <c r="E192" s="17">
        <f>'AEO 2023 Table 47 Raw'!H174</f>
        <v>10.540979</v>
      </c>
      <c r="F192" s="17">
        <f>'AEO 2023 Table 47 Raw'!I174</f>
        <v>9.1241839999999996</v>
      </c>
      <c r="G192" s="17">
        <f>'AEO 2023 Table 47 Raw'!J174</f>
        <v>8.5874229999999994</v>
      </c>
      <c r="H192" s="17">
        <f>'AEO 2023 Table 47 Raw'!K174</f>
        <v>6.9385599999999998</v>
      </c>
      <c r="I192" s="17">
        <f>'AEO 2023 Table 47 Raw'!L174</f>
        <v>7.4051960000000001</v>
      </c>
      <c r="J192" s="17">
        <f>'AEO 2023 Table 47 Raw'!M174</f>
        <v>4.6872920000000002</v>
      </c>
      <c r="K192" s="17">
        <f>'AEO 2023 Table 47 Raw'!N174</f>
        <v>5.5550129999999998</v>
      </c>
      <c r="L192" s="17">
        <f>'AEO 2023 Table 47 Raw'!O174</f>
        <v>6.4856889999999998</v>
      </c>
      <c r="M192" s="17">
        <f>'AEO 2023 Table 47 Raw'!P174</f>
        <v>7.4760400000000002</v>
      </c>
      <c r="N192" s="17">
        <f>'AEO 2023 Table 47 Raw'!Q174</f>
        <v>8.5032789999999991</v>
      </c>
      <c r="O192" s="17">
        <f>'AEO 2023 Table 47 Raw'!R174</f>
        <v>9.4984909999999996</v>
      </c>
      <c r="P192" s="17">
        <f>'AEO 2023 Table 47 Raw'!S174</f>
        <v>10.436935999999999</v>
      </c>
      <c r="Q192" s="17">
        <f>'AEO 2023 Table 47 Raw'!T174</f>
        <v>11.300264</v>
      </c>
      <c r="R192" s="17">
        <f>'AEO 2023 Table 47 Raw'!U174</f>
        <v>12.071911</v>
      </c>
      <c r="S192" s="17">
        <f>'AEO 2023 Table 47 Raw'!V174</f>
        <v>13.071901</v>
      </c>
      <c r="T192" s="17">
        <f>'AEO 2023 Table 47 Raw'!W174</f>
        <v>14.14739</v>
      </c>
      <c r="U192" s="17">
        <f>'AEO 2023 Table 47 Raw'!X174</f>
        <v>14.482977</v>
      </c>
      <c r="V192" s="17">
        <f>'AEO 2023 Table 47 Raw'!Y174</f>
        <v>14.647125000000001</v>
      </c>
      <c r="W192" s="17">
        <f>'AEO 2023 Table 47 Raw'!Z174</f>
        <v>14.705292</v>
      </c>
      <c r="X192" s="17">
        <f>'AEO 2023 Table 47 Raw'!AA174</f>
        <v>14.677673</v>
      </c>
      <c r="Y192" s="17">
        <f>'AEO 2023 Table 47 Raw'!AB174</f>
        <v>14.582153</v>
      </c>
      <c r="Z192" s="17">
        <f>'AEO 2023 Table 47 Raw'!AC174</f>
        <v>14.438843</v>
      </c>
      <c r="AA192" s="17">
        <f>'AEO 2023 Table 47 Raw'!AD174</f>
        <v>14.260223</v>
      </c>
      <c r="AB192" s="17">
        <f>'AEO 2023 Table 47 Raw'!AE174</f>
        <v>14.050934</v>
      </c>
      <c r="AC192" s="17">
        <f>'AEO 2023 Table 47 Raw'!AF174</f>
        <v>13.821960000000001</v>
      </c>
      <c r="AD192" s="17">
        <f>'AEO 2023 Table 47 Raw'!AG174</f>
        <v>13.586792000000001</v>
      </c>
      <c r="AE192" s="17">
        <f>'AEO 2023 Table 47 Raw'!AH174</f>
        <v>13.356964</v>
      </c>
      <c r="AF192" s="30">
        <f>'AEO 2023 Table 47 Raw'!AI174</f>
        <v>0.106</v>
      </c>
    </row>
    <row r="193" spans="2:33" ht="15" customHeight="1" thickBot="1"/>
    <row r="194" spans="2:33" ht="12" customHeight="1">
      <c r="B194" s="24" t="s">
        <v>722</v>
      </c>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row>
    <row r="195" spans="2:33" ht="15" customHeight="1">
      <c r="B195" s="4" t="s">
        <v>723</v>
      </c>
    </row>
    <row r="196" spans="2:33" ht="15" customHeight="1">
      <c r="B196" s="4" t="s">
        <v>724</v>
      </c>
    </row>
    <row r="197" spans="2:33" ht="15" customHeight="1">
      <c r="B197" s="4" t="s">
        <v>725</v>
      </c>
    </row>
    <row r="198" spans="2:33" ht="15" customHeight="1">
      <c r="B198" s="4" t="s">
        <v>726</v>
      </c>
    </row>
    <row r="199" spans="2:33" ht="15" customHeight="1">
      <c r="B199" s="4" t="s">
        <v>157</v>
      </c>
    </row>
    <row r="200" spans="2:33" ht="12" customHeight="1">
      <c r="B200" s="4" t="s">
        <v>502</v>
      </c>
    </row>
    <row r="201" spans="2:33" ht="15" customHeight="1">
      <c r="B201" s="4" t="s">
        <v>158</v>
      </c>
    </row>
    <row r="202" spans="2:33" ht="15" customHeight="1">
      <c r="B202" s="4" t="s">
        <v>727</v>
      </c>
    </row>
    <row r="203" spans="2:33" ht="15" customHeight="1">
      <c r="B203" s="4" t="s">
        <v>728</v>
      </c>
    </row>
    <row r="204" spans="2:33" ht="12" customHeight="1"/>
    <row r="205" spans="2:33" ht="15" customHeight="1"/>
    <row r="206" spans="2:33" ht="15" customHeight="1"/>
    <row r="207" spans="2:33" ht="15" customHeight="1"/>
    <row r="208" spans="2:33"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I252"/>
  <sheetViews>
    <sheetView workbookViewId="0"/>
  </sheetViews>
  <sheetFormatPr defaultRowHeight="14.5"/>
  <sheetData>
    <row r="1" spans="1:35">
      <c r="A1" t="s">
        <v>233</v>
      </c>
    </row>
    <row r="2" spans="1:35">
      <c r="A2" t="s">
        <v>1664</v>
      </c>
    </row>
    <row r="3" spans="1:35">
      <c r="A3" t="s">
        <v>1665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147</v>
      </c>
    </row>
    <row r="7" spans="1:35">
      <c r="A7" t="s">
        <v>234</v>
      </c>
    </row>
    <row r="8" spans="1:35">
      <c r="A8" t="s">
        <v>170</v>
      </c>
    </row>
    <row r="9" spans="1:35">
      <c r="A9" t="s">
        <v>189</v>
      </c>
      <c r="B9" t="s">
        <v>1666</v>
      </c>
      <c r="C9" t="s">
        <v>1667</v>
      </c>
      <c r="D9" t="s">
        <v>202</v>
      </c>
      <c r="F9">
        <v>54.584907999999999</v>
      </c>
      <c r="G9">
        <v>53.184821999999997</v>
      </c>
      <c r="H9">
        <v>52.318644999999997</v>
      </c>
      <c r="I9">
        <v>51.949874999999999</v>
      </c>
      <c r="J9">
        <v>51.704253999999999</v>
      </c>
      <c r="K9">
        <v>51.242474000000001</v>
      </c>
      <c r="L9">
        <v>50.771141</v>
      </c>
      <c r="M9">
        <v>50.362385000000003</v>
      </c>
      <c r="N9">
        <v>50.209102999999999</v>
      </c>
      <c r="O9">
        <v>50.291786000000002</v>
      </c>
      <c r="P9">
        <v>50.63496</v>
      </c>
      <c r="Q9">
        <v>50.989128000000001</v>
      </c>
      <c r="R9">
        <v>51.335712000000001</v>
      </c>
      <c r="S9">
        <v>51.762928000000002</v>
      </c>
      <c r="T9">
        <v>52.096587999999997</v>
      </c>
      <c r="U9">
        <v>52.565826000000001</v>
      </c>
      <c r="V9">
        <v>53.041763000000003</v>
      </c>
      <c r="W9">
        <v>53.500053000000001</v>
      </c>
      <c r="X9">
        <v>54.070895999999998</v>
      </c>
      <c r="Y9">
        <v>54.664409999999997</v>
      </c>
      <c r="Z9">
        <v>55.331341000000002</v>
      </c>
      <c r="AA9">
        <v>56.018265</v>
      </c>
      <c r="AB9">
        <v>56.689281000000001</v>
      </c>
      <c r="AC9">
        <v>57.395836000000003</v>
      </c>
      <c r="AD9">
        <v>58.203060000000001</v>
      </c>
      <c r="AE9">
        <v>59.050575000000002</v>
      </c>
      <c r="AF9">
        <v>59.917839000000001</v>
      </c>
      <c r="AG9">
        <v>60.865924999999997</v>
      </c>
      <c r="AH9">
        <v>61.861980000000003</v>
      </c>
      <c r="AI9" s="22">
        <v>4.0000000000000001E-3</v>
      </c>
    </row>
    <row r="10" spans="1:35">
      <c r="A10" t="s">
        <v>235</v>
      </c>
      <c r="B10" t="s">
        <v>1668</v>
      </c>
      <c r="C10" t="s">
        <v>1669</v>
      </c>
      <c r="D10" t="s">
        <v>202</v>
      </c>
      <c r="F10">
        <v>16.903614000000001</v>
      </c>
      <c r="G10">
        <v>17.710211000000001</v>
      </c>
      <c r="H10">
        <v>18.609635999999998</v>
      </c>
      <c r="I10">
        <v>19.599958000000001</v>
      </c>
      <c r="J10">
        <v>20.561823</v>
      </c>
      <c r="K10">
        <v>21.350653000000001</v>
      </c>
      <c r="L10">
        <v>22.038038</v>
      </c>
      <c r="M10">
        <v>22.67135</v>
      </c>
      <c r="N10">
        <v>23.336506</v>
      </c>
      <c r="O10">
        <v>24.02421</v>
      </c>
      <c r="P10">
        <v>24.801221999999999</v>
      </c>
      <c r="Q10">
        <v>25.563036</v>
      </c>
      <c r="R10">
        <v>26.279444000000002</v>
      </c>
      <c r="S10">
        <v>27.005465999999998</v>
      </c>
      <c r="T10">
        <v>27.677506999999999</v>
      </c>
      <c r="U10">
        <v>28.407959000000002</v>
      </c>
      <c r="V10">
        <v>29.101161999999999</v>
      </c>
      <c r="W10">
        <v>29.711493000000001</v>
      </c>
      <c r="X10">
        <v>30.334042</v>
      </c>
      <c r="Y10">
        <v>30.964428000000002</v>
      </c>
      <c r="Z10">
        <v>31.595704999999999</v>
      </c>
      <c r="AA10">
        <v>32.155334000000003</v>
      </c>
      <c r="AB10">
        <v>32.654217000000003</v>
      </c>
      <c r="AC10">
        <v>33.136063</v>
      </c>
      <c r="AD10">
        <v>33.651271999999999</v>
      </c>
      <c r="AE10">
        <v>34.163403000000002</v>
      </c>
      <c r="AF10">
        <v>34.655211999999999</v>
      </c>
      <c r="AG10">
        <v>35.178958999999999</v>
      </c>
      <c r="AH10">
        <v>35.732093999999996</v>
      </c>
      <c r="AI10" s="22">
        <v>2.7E-2</v>
      </c>
    </row>
    <row r="11" spans="1:35">
      <c r="A11" t="s">
        <v>192</v>
      </c>
      <c r="B11" t="s">
        <v>1670</v>
      </c>
      <c r="C11" t="s">
        <v>1671</v>
      </c>
      <c r="D11" t="s">
        <v>202</v>
      </c>
      <c r="F11">
        <v>5.8699999999999996E-4</v>
      </c>
      <c r="G11">
        <v>6.9350000000000002E-3</v>
      </c>
      <c r="H11">
        <v>1.3313E-2</v>
      </c>
      <c r="I11">
        <v>1.9325999999999999E-2</v>
      </c>
      <c r="J11">
        <v>2.4979999999999999E-2</v>
      </c>
      <c r="K11">
        <v>3.0086000000000002E-2</v>
      </c>
      <c r="L11">
        <v>3.4862999999999998E-2</v>
      </c>
      <c r="M11">
        <v>3.9439000000000002E-2</v>
      </c>
      <c r="N11">
        <v>4.3985999999999997E-2</v>
      </c>
      <c r="O11">
        <v>4.8625000000000002E-2</v>
      </c>
      <c r="P11">
        <v>5.3524000000000002E-2</v>
      </c>
      <c r="Q11">
        <v>5.8466999999999998E-2</v>
      </c>
      <c r="R11">
        <v>6.3285999999999995E-2</v>
      </c>
      <c r="S11">
        <v>6.8178000000000002E-2</v>
      </c>
      <c r="T11">
        <v>7.3107000000000005E-2</v>
      </c>
      <c r="U11">
        <v>7.8546000000000005E-2</v>
      </c>
      <c r="V11">
        <v>8.4434999999999996E-2</v>
      </c>
      <c r="W11">
        <v>9.0785000000000005E-2</v>
      </c>
      <c r="X11">
        <v>9.7857E-2</v>
      </c>
      <c r="Y11">
        <v>0.105584</v>
      </c>
      <c r="Z11">
        <v>0.11405899999999999</v>
      </c>
      <c r="AA11">
        <v>0.12317</v>
      </c>
      <c r="AB11">
        <v>0.13269400000000001</v>
      </c>
      <c r="AC11">
        <v>0.14286699999999999</v>
      </c>
      <c r="AD11">
        <v>0.15390799999999999</v>
      </c>
      <c r="AE11">
        <v>0.16563800000000001</v>
      </c>
      <c r="AF11">
        <v>0.177929</v>
      </c>
      <c r="AG11">
        <v>0.19094900000000001</v>
      </c>
      <c r="AH11">
        <v>0.204571</v>
      </c>
      <c r="AI11" s="22">
        <v>0.23300000000000001</v>
      </c>
    </row>
    <row r="12" spans="1:35">
      <c r="A12" t="s">
        <v>195</v>
      </c>
      <c r="B12" t="s">
        <v>1672</v>
      </c>
      <c r="C12" t="s">
        <v>1673</v>
      </c>
      <c r="D12" t="s">
        <v>202</v>
      </c>
      <c r="F12">
        <v>1.5476999999999999E-2</v>
      </c>
      <c r="G12">
        <v>1.4120000000000001E-2</v>
      </c>
      <c r="H12">
        <v>1.2951000000000001E-2</v>
      </c>
      <c r="I12">
        <v>1.1922E-2</v>
      </c>
      <c r="J12">
        <v>1.0976E-2</v>
      </c>
      <c r="K12">
        <v>1.0057E-2</v>
      </c>
      <c r="L12">
        <v>9.195E-3</v>
      </c>
      <c r="M12">
        <v>8.4010000000000005E-3</v>
      </c>
      <c r="N12">
        <v>7.698E-3</v>
      </c>
      <c r="O12">
        <v>7.0740000000000004E-3</v>
      </c>
      <c r="P12">
        <v>6.5170000000000002E-3</v>
      </c>
      <c r="Q12">
        <v>5.9610000000000002E-3</v>
      </c>
      <c r="R12">
        <v>5.3949999999999996E-3</v>
      </c>
      <c r="S12">
        <v>4.8170000000000001E-3</v>
      </c>
      <c r="T12">
        <v>4.2300000000000003E-3</v>
      </c>
      <c r="U12">
        <v>3.6210000000000001E-3</v>
      </c>
      <c r="V12">
        <v>3.055E-3</v>
      </c>
      <c r="W12">
        <v>2.5360000000000001E-3</v>
      </c>
      <c r="X12">
        <v>2.0149999999999999E-3</v>
      </c>
      <c r="Y12">
        <v>1.604E-3</v>
      </c>
      <c r="Z12">
        <v>1.3029999999999999E-3</v>
      </c>
      <c r="AA12">
        <v>1.0859999999999999E-3</v>
      </c>
      <c r="AB12">
        <v>9.4399999999999996E-4</v>
      </c>
      <c r="AC12">
        <v>8.4599999999999996E-4</v>
      </c>
      <c r="AD12">
        <v>7.6999999999999996E-4</v>
      </c>
      <c r="AE12">
        <v>7.1900000000000002E-4</v>
      </c>
      <c r="AF12">
        <v>6.5499999999999998E-4</v>
      </c>
      <c r="AG12">
        <v>5.8200000000000005E-4</v>
      </c>
      <c r="AH12">
        <v>4.8899999999999996E-4</v>
      </c>
      <c r="AI12" s="22">
        <v>-0.11600000000000001</v>
      </c>
    </row>
    <row r="13" spans="1:35">
      <c r="A13" t="s">
        <v>236</v>
      </c>
      <c r="B13" t="s">
        <v>1674</v>
      </c>
      <c r="C13" t="s">
        <v>1675</v>
      </c>
      <c r="D13" t="s">
        <v>202</v>
      </c>
      <c r="F13">
        <v>3.824589</v>
      </c>
      <c r="G13">
        <v>3.7806299999999999</v>
      </c>
      <c r="H13">
        <v>3.7545269999999999</v>
      </c>
      <c r="I13">
        <v>3.7400190000000002</v>
      </c>
      <c r="J13">
        <v>3.725336</v>
      </c>
      <c r="K13">
        <v>3.6981660000000001</v>
      </c>
      <c r="L13">
        <v>3.669842</v>
      </c>
      <c r="M13">
        <v>3.646439</v>
      </c>
      <c r="N13">
        <v>3.637159</v>
      </c>
      <c r="O13">
        <v>3.642811</v>
      </c>
      <c r="P13">
        <v>3.6650930000000002</v>
      </c>
      <c r="Q13">
        <v>3.6841620000000002</v>
      </c>
      <c r="R13">
        <v>3.6838760000000002</v>
      </c>
      <c r="S13">
        <v>3.6760130000000002</v>
      </c>
      <c r="T13">
        <v>3.6506970000000001</v>
      </c>
      <c r="U13">
        <v>3.63028</v>
      </c>
      <c r="V13">
        <v>3.5939450000000002</v>
      </c>
      <c r="W13">
        <v>3.5525120000000001</v>
      </c>
      <c r="X13">
        <v>3.524807</v>
      </c>
      <c r="Y13">
        <v>3.5007060000000001</v>
      </c>
      <c r="Z13">
        <v>3.4909029999999999</v>
      </c>
      <c r="AA13">
        <v>3.4946220000000001</v>
      </c>
      <c r="AB13">
        <v>3.511501</v>
      </c>
      <c r="AC13">
        <v>3.5344699999999998</v>
      </c>
      <c r="AD13">
        <v>3.566999</v>
      </c>
      <c r="AE13">
        <v>3.604692</v>
      </c>
      <c r="AF13">
        <v>3.6455489999999999</v>
      </c>
      <c r="AG13">
        <v>3.6905670000000002</v>
      </c>
      <c r="AH13">
        <v>3.738531</v>
      </c>
      <c r="AI13" s="22">
        <v>-1E-3</v>
      </c>
    </row>
    <row r="14" spans="1:35">
      <c r="A14" t="s">
        <v>237</v>
      </c>
      <c r="B14" t="s">
        <v>1676</v>
      </c>
      <c r="C14" t="s">
        <v>1677</v>
      </c>
      <c r="D14" t="s">
        <v>202</v>
      </c>
      <c r="F14">
        <v>8.0599999999999997E-4</v>
      </c>
      <c r="G14">
        <v>7.3300000000000004E-4</v>
      </c>
      <c r="H14">
        <v>6.7500000000000004E-4</v>
      </c>
      <c r="I14">
        <v>6.3000000000000003E-4</v>
      </c>
      <c r="J14">
        <v>5.9400000000000002E-4</v>
      </c>
      <c r="K14">
        <v>5.6400000000000005E-4</v>
      </c>
      <c r="L14">
        <v>5.4000000000000001E-4</v>
      </c>
      <c r="M14">
        <v>5.0500000000000002E-4</v>
      </c>
      <c r="N14">
        <v>4.6099999999999998E-4</v>
      </c>
      <c r="O14">
        <v>4.2099999999999999E-4</v>
      </c>
      <c r="P14">
        <v>3.86E-4</v>
      </c>
      <c r="Q14">
        <v>3.2299999999999999E-4</v>
      </c>
      <c r="R14">
        <v>2.5300000000000002E-4</v>
      </c>
      <c r="S14">
        <v>1.9900000000000001E-4</v>
      </c>
      <c r="T14">
        <v>1.55E-4</v>
      </c>
      <c r="U14">
        <v>1.22E-4</v>
      </c>
      <c r="V14">
        <v>9.5000000000000005E-5</v>
      </c>
      <c r="W14">
        <v>7.3999999999999996E-5</v>
      </c>
      <c r="X14">
        <v>6.6000000000000005E-5</v>
      </c>
      <c r="Y14">
        <v>6.3999999999999997E-5</v>
      </c>
      <c r="Z14">
        <v>6.2000000000000003E-5</v>
      </c>
      <c r="AA14">
        <v>6.0999999999999999E-5</v>
      </c>
      <c r="AB14">
        <v>4.8999999999999998E-5</v>
      </c>
      <c r="AC14">
        <v>3.4E-5</v>
      </c>
      <c r="AD14">
        <v>2.4000000000000001E-5</v>
      </c>
      <c r="AE14">
        <v>1.7E-5</v>
      </c>
      <c r="AF14">
        <v>1.2E-5</v>
      </c>
      <c r="AG14">
        <v>7.9999999999999996E-6</v>
      </c>
      <c r="AH14">
        <v>6.0000000000000002E-6</v>
      </c>
      <c r="AI14" s="22">
        <v>-0.16200000000000001</v>
      </c>
    </row>
    <row r="15" spans="1:35">
      <c r="A15" t="s">
        <v>238</v>
      </c>
      <c r="B15" t="s">
        <v>1678</v>
      </c>
      <c r="C15" t="s">
        <v>1679</v>
      </c>
      <c r="D15" t="s">
        <v>202</v>
      </c>
      <c r="F15">
        <v>0</v>
      </c>
      <c r="G15">
        <v>5.2110000000000004E-3</v>
      </c>
      <c r="H15">
        <v>1.0501E-2</v>
      </c>
      <c r="I15">
        <v>1.6119000000000001E-2</v>
      </c>
      <c r="J15">
        <v>2.1829999999999999E-2</v>
      </c>
      <c r="K15">
        <v>2.7378E-2</v>
      </c>
      <c r="L15">
        <v>3.2855000000000002E-2</v>
      </c>
      <c r="M15">
        <v>3.8309000000000003E-2</v>
      </c>
      <c r="N15">
        <v>4.3867999999999997E-2</v>
      </c>
      <c r="O15">
        <v>4.9632000000000003E-2</v>
      </c>
      <c r="P15">
        <v>5.5828999999999997E-2</v>
      </c>
      <c r="Q15">
        <v>6.2269999999999999E-2</v>
      </c>
      <c r="R15">
        <v>6.8892999999999996E-2</v>
      </c>
      <c r="S15">
        <v>7.5951000000000005E-2</v>
      </c>
      <c r="T15">
        <v>8.3381999999999998E-2</v>
      </c>
      <c r="U15">
        <v>9.1698000000000002E-2</v>
      </c>
      <c r="V15">
        <v>0.10086100000000001</v>
      </c>
      <c r="W15">
        <v>0.110917</v>
      </c>
      <c r="X15">
        <v>0.12228600000000001</v>
      </c>
      <c r="Y15">
        <v>0.13492899999999999</v>
      </c>
      <c r="Z15">
        <v>0.14883299999999999</v>
      </c>
      <c r="AA15">
        <v>0.163662</v>
      </c>
      <c r="AB15">
        <v>0.17921799999999999</v>
      </c>
      <c r="AC15">
        <v>0.19561000000000001</v>
      </c>
      <c r="AD15">
        <v>0.21280199999999999</v>
      </c>
      <c r="AE15">
        <v>0.230485</v>
      </c>
      <c r="AF15">
        <v>0.248469</v>
      </c>
      <c r="AG15">
        <v>0.26697199999999999</v>
      </c>
      <c r="AH15">
        <v>0.28581499999999999</v>
      </c>
      <c r="AI15" t="s">
        <v>111</v>
      </c>
    </row>
    <row r="16" spans="1:35">
      <c r="A16" t="s">
        <v>239</v>
      </c>
      <c r="B16" t="s">
        <v>1680</v>
      </c>
      <c r="C16" t="s">
        <v>1681</v>
      </c>
      <c r="D16" t="s">
        <v>202</v>
      </c>
      <c r="F16">
        <v>0</v>
      </c>
      <c r="G16">
        <v>5.6709999999999998E-3</v>
      </c>
      <c r="H16">
        <v>1.1320999999999999E-2</v>
      </c>
      <c r="I16">
        <v>1.7173000000000001E-2</v>
      </c>
      <c r="J16">
        <v>2.2991000000000001E-2</v>
      </c>
      <c r="K16">
        <v>2.8535000000000001E-2</v>
      </c>
      <c r="L16">
        <v>3.3867000000000001E-2</v>
      </c>
      <c r="M16">
        <v>3.9045000000000003E-2</v>
      </c>
      <c r="N16">
        <v>4.4247000000000002E-2</v>
      </c>
      <c r="O16">
        <v>4.9634999999999999E-2</v>
      </c>
      <c r="P16">
        <v>5.5454999999999997E-2</v>
      </c>
      <c r="Q16">
        <v>6.1592000000000001E-2</v>
      </c>
      <c r="R16">
        <v>6.8018999999999996E-2</v>
      </c>
      <c r="S16">
        <v>7.5022000000000005E-2</v>
      </c>
      <c r="T16">
        <v>8.2565E-2</v>
      </c>
      <c r="U16">
        <v>9.1197E-2</v>
      </c>
      <c r="V16">
        <v>0.10090399999999999</v>
      </c>
      <c r="W16">
        <v>0.111765</v>
      </c>
      <c r="X16">
        <v>0.124236</v>
      </c>
      <c r="Y16">
        <v>0.13830200000000001</v>
      </c>
      <c r="Z16">
        <v>0.15390100000000001</v>
      </c>
      <c r="AA16">
        <v>0.17066000000000001</v>
      </c>
      <c r="AB16">
        <v>0.18835099999999999</v>
      </c>
      <c r="AC16">
        <v>0.20710600000000001</v>
      </c>
      <c r="AD16">
        <v>0.226853</v>
      </c>
      <c r="AE16">
        <v>0.247225</v>
      </c>
      <c r="AF16">
        <v>0.26799200000000001</v>
      </c>
      <c r="AG16">
        <v>0.28937200000000002</v>
      </c>
      <c r="AH16">
        <v>0.311143</v>
      </c>
      <c r="AI16" t="s">
        <v>111</v>
      </c>
    </row>
    <row r="17" spans="1:35">
      <c r="A17" t="s">
        <v>240</v>
      </c>
      <c r="B17" t="s">
        <v>1682</v>
      </c>
      <c r="C17" t="s">
        <v>1683</v>
      </c>
      <c r="D17" t="s">
        <v>202</v>
      </c>
      <c r="F17">
        <v>0</v>
      </c>
      <c r="G17">
        <v>0</v>
      </c>
      <c r="H17">
        <v>1.9999999999999999E-6</v>
      </c>
      <c r="I17">
        <v>3.0000000000000001E-6</v>
      </c>
      <c r="J17">
        <v>5.0000000000000004E-6</v>
      </c>
      <c r="K17">
        <v>6.9999999999999999E-6</v>
      </c>
      <c r="L17">
        <v>9.0000000000000002E-6</v>
      </c>
      <c r="M17">
        <v>1.0000000000000001E-5</v>
      </c>
      <c r="N17">
        <v>1.2E-5</v>
      </c>
      <c r="O17">
        <v>1.2999999999999999E-5</v>
      </c>
      <c r="P17">
        <v>1.5E-5</v>
      </c>
      <c r="Q17">
        <v>1.5999999999999999E-5</v>
      </c>
      <c r="R17">
        <v>1.7E-5</v>
      </c>
      <c r="S17">
        <v>1.8E-5</v>
      </c>
      <c r="T17">
        <v>1.9000000000000001E-5</v>
      </c>
      <c r="U17">
        <v>2.0000000000000002E-5</v>
      </c>
      <c r="V17">
        <v>2.0999999999999999E-5</v>
      </c>
      <c r="W17">
        <v>2.1999999999999999E-5</v>
      </c>
      <c r="X17">
        <v>2.3E-5</v>
      </c>
      <c r="Y17">
        <v>2.3E-5</v>
      </c>
      <c r="Z17">
        <v>2.4000000000000001E-5</v>
      </c>
      <c r="AA17">
        <v>2.4000000000000001E-5</v>
      </c>
      <c r="AB17">
        <v>2.4000000000000001E-5</v>
      </c>
      <c r="AC17">
        <v>2.4000000000000001E-5</v>
      </c>
      <c r="AD17">
        <v>2.4000000000000001E-5</v>
      </c>
      <c r="AE17">
        <v>2.4000000000000001E-5</v>
      </c>
      <c r="AF17">
        <v>2.3E-5</v>
      </c>
      <c r="AG17">
        <v>2.3E-5</v>
      </c>
      <c r="AH17">
        <v>2.1999999999999999E-5</v>
      </c>
      <c r="AI17" t="s">
        <v>111</v>
      </c>
    </row>
    <row r="18" spans="1:35">
      <c r="A18" t="s">
        <v>241</v>
      </c>
      <c r="B18" t="s">
        <v>1684</v>
      </c>
      <c r="C18" t="s">
        <v>1685</v>
      </c>
      <c r="D18" t="s">
        <v>202</v>
      </c>
      <c r="F18">
        <v>75.329880000000003</v>
      </c>
      <c r="G18">
        <v>74.708290000000005</v>
      </c>
      <c r="H18">
        <v>74.731575000000007</v>
      </c>
      <c r="I18">
        <v>75.354934999999998</v>
      </c>
      <c r="J18">
        <v>76.072838000000004</v>
      </c>
      <c r="K18">
        <v>76.387794</v>
      </c>
      <c r="L18">
        <v>76.590232999999998</v>
      </c>
      <c r="M18">
        <v>76.805655999999999</v>
      </c>
      <c r="N18">
        <v>77.322913999999997</v>
      </c>
      <c r="O18">
        <v>78.114249999999998</v>
      </c>
      <c r="P18">
        <v>79.273087000000004</v>
      </c>
      <c r="Q18">
        <v>80.425064000000006</v>
      </c>
      <c r="R18">
        <v>81.504715000000004</v>
      </c>
      <c r="S18">
        <v>82.668625000000006</v>
      </c>
      <c r="T18">
        <v>83.668182000000002</v>
      </c>
      <c r="U18">
        <v>84.868926999999999</v>
      </c>
      <c r="V18">
        <v>86.026199000000005</v>
      </c>
      <c r="W18">
        <v>87.079978999999994</v>
      </c>
      <c r="X18">
        <v>88.276038999999997</v>
      </c>
      <c r="Y18">
        <v>89.509856999999997</v>
      </c>
      <c r="Z18">
        <v>90.835953000000003</v>
      </c>
      <c r="AA18">
        <v>92.126778000000002</v>
      </c>
      <c r="AB18">
        <v>93.356110000000001</v>
      </c>
      <c r="AC18">
        <v>94.612769999999998</v>
      </c>
      <c r="AD18">
        <v>96.015647999999999</v>
      </c>
      <c r="AE18">
        <v>97.462638999999996</v>
      </c>
      <c r="AF18">
        <v>98.913696000000002</v>
      </c>
      <c r="AG18">
        <v>100.48333</v>
      </c>
      <c r="AH18">
        <v>102.134598</v>
      </c>
      <c r="AI18" s="22">
        <v>1.0999999999999999E-2</v>
      </c>
    </row>
    <row r="19" spans="1:35">
      <c r="A19" t="s">
        <v>171</v>
      </c>
    </row>
    <row r="20" spans="1:35">
      <c r="A20" t="s">
        <v>189</v>
      </c>
      <c r="B20" t="s">
        <v>1686</v>
      </c>
      <c r="C20" t="s">
        <v>1687</v>
      </c>
      <c r="D20" t="s">
        <v>202</v>
      </c>
      <c r="F20">
        <v>39.529170999999998</v>
      </c>
      <c r="G20">
        <v>38.896900000000002</v>
      </c>
      <c r="H20">
        <v>38.484572999999997</v>
      </c>
      <c r="I20">
        <v>38.545726999999999</v>
      </c>
      <c r="J20">
        <v>38.897826999999999</v>
      </c>
      <c r="K20">
        <v>39.222183000000001</v>
      </c>
      <c r="L20">
        <v>39.550044999999997</v>
      </c>
      <c r="M20">
        <v>39.808833999999997</v>
      </c>
      <c r="N20">
        <v>40.095215000000003</v>
      </c>
      <c r="O20">
        <v>40.422203000000003</v>
      </c>
      <c r="P20">
        <v>40.891948999999997</v>
      </c>
      <c r="Q20">
        <v>41.273074999999999</v>
      </c>
      <c r="R20">
        <v>41.550567999999998</v>
      </c>
      <c r="S20">
        <v>41.873848000000002</v>
      </c>
      <c r="T20">
        <v>42.154518000000003</v>
      </c>
      <c r="U20">
        <v>42.573521</v>
      </c>
      <c r="V20">
        <v>42.993110999999999</v>
      </c>
      <c r="W20">
        <v>43.369812000000003</v>
      </c>
      <c r="X20">
        <v>43.790680000000002</v>
      </c>
      <c r="Y20">
        <v>44.181046000000002</v>
      </c>
      <c r="Z20">
        <v>44.593116999999999</v>
      </c>
      <c r="AA20">
        <v>45.021278000000002</v>
      </c>
      <c r="AB20">
        <v>45.446564000000002</v>
      </c>
      <c r="AC20">
        <v>45.846603000000002</v>
      </c>
      <c r="AD20">
        <v>46.256549999999997</v>
      </c>
      <c r="AE20">
        <v>46.662227999999999</v>
      </c>
      <c r="AF20">
        <v>47.063594999999999</v>
      </c>
      <c r="AG20">
        <v>47.558945000000001</v>
      </c>
      <c r="AH20">
        <v>48.111702000000001</v>
      </c>
      <c r="AI20" s="22">
        <v>7.0000000000000001E-3</v>
      </c>
    </row>
    <row r="21" spans="1:35">
      <c r="A21" t="s">
        <v>235</v>
      </c>
      <c r="B21" t="s">
        <v>1688</v>
      </c>
      <c r="C21" t="s">
        <v>1689</v>
      </c>
      <c r="D21" t="s">
        <v>202</v>
      </c>
      <c r="F21">
        <v>19.491807999999999</v>
      </c>
      <c r="G21">
        <v>19.083292</v>
      </c>
      <c r="H21">
        <v>18.816191</v>
      </c>
      <c r="I21">
        <v>18.716362</v>
      </c>
      <c r="J21">
        <v>18.750782000000001</v>
      </c>
      <c r="K21">
        <v>18.762295000000002</v>
      </c>
      <c r="L21">
        <v>18.792428999999998</v>
      </c>
      <c r="M21">
        <v>18.814743</v>
      </c>
      <c r="N21">
        <v>18.861035999999999</v>
      </c>
      <c r="O21">
        <v>18.929902999999999</v>
      </c>
      <c r="P21">
        <v>19.087959000000001</v>
      </c>
      <c r="Q21">
        <v>19.209437999999999</v>
      </c>
      <c r="R21">
        <v>19.305622</v>
      </c>
      <c r="S21">
        <v>19.427961</v>
      </c>
      <c r="T21">
        <v>19.513062999999999</v>
      </c>
      <c r="U21">
        <v>19.682444</v>
      </c>
      <c r="V21">
        <v>19.808668000000001</v>
      </c>
      <c r="W21">
        <v>19.963616999999999</v>
      </c>
      <c r="X21">
        <v>20.113333000000001</v>
      </c>
      <c r="Y21">
        <v>20.270605</v>
      </c>
      <c r="Z21">
        <v>20.453330999999999</v>
      </c>
      <c r="AA21">
        <v>20.649372</v>
      </c>
      <c r="AB21">
        <v>20.844239999999999</v>
      </c>
      <c r="AC21">
        <v>21.02281</v>
      </c>
      <c r="AD21">
        <v>21.206516000000001</v>
      </c>
      <c r="AE21">
        <v>21.382107000000001</v>
      </c>
      <c r="AF21">
        <v>21.550604</v>
      </c>
      <c r="AG21">
        <v>21.759744999999999</v>
      </c>
      <c r="AH21">
        <v>21.983118000000001</v>
      </c>
      <c r="AI21" s="22">
        <v>4.0000000000000001E-3</v>
      </c>
    </row>
    <row r="22" spans="1:35">
      <c r="A22" t="s">
        <v>192</v>
      </c>
      <c r="B22" t="s">
        <v>1690</v>
      </c>
      <c r="C22" t="s">
        <v>1691</v>
      </c>
      <c r="D22" t="s">
        <v>202</v>
      </c>
      <c r="F22">
        <v>3.5415000000000002E-2</v>
      </c>
      <c r="G22">
        <v>3.6131999999999997E-2</v>
      </c>
      <c r="H22">
        <v>3.6977999999999997E-2</v>
      </c>
      <c r="I22">
        <v>3.8226000000000003E-2</v>
      </c>
      <c r="J22">
        <v>3.9857999999999998E-2</v>
      </c>
      <c r="K22">
        <v>4.1535999999999997E-2</v>
      </c>
      <c r="L22">
        <v>4.3343E-2</v>
      </c>
      <c r="M22">
        <v>4.5186999999999998E-2</v>
      </c>
      <c r="N22">
        <v>4.7301000000000003E-2</v>
      </c>
      <c r="O22">
        <v>4.9747E-2</v>
      </c>
      <c r="P22">
        <v>5.2754000000000002E-2</v>
      </c>
      <c r="Q22">
        <v>5.6218999999999998E-2</v>
      </c>
      <c r="R22">
        <v>5.9885000000000001E-2</v>
      </c>
      <c r="S22">
        <v>6.3491000000000006E-2</v>
      </c>
      <c r="T22">
        <v>6.7275000000000001E-2</v>
      </c>
      <c r="U22">
        <v>7.1670999999999999E-2</v>
      </c>
      <c r="V22">
        <v>7.6576000000000005E-2</v>
      </c>
      <c r="W22">
        <v>8.1951999999999997E-2</v>
      </c>
      <c r="X22">
        <v>8.795E-2</v>
      </c>
      <c r="Y22">
        <v>9.4425999999999996E-2</v>
      </c>
      <c r="Z22">
        <v>0.10133399999999999</v>
      </c>
      <c r="AA22">
        <v>0.108612</v>
      </c>
      <c r="AB22">
        <v>0.116158</v>
      </c>
      <c r="AC22">
        <v>0.12385500000000001</v>
      </c>
      <c r="AD22">
        <v>0.13172</v>
      </c>
      <c r="AE22">
        <v>0.13959199999999999</v>
      </c>
      <c r="AF22">
        <v>0.14738699999999999</v>
      </c>
      <c r="AG22">
        <v>0.15496799999999999</v>
      </c>
      <c r="AH22">
        <v>0.16275000000000001</v>
      </c>
      <c r="AI22" s="22">
        <v>5.6000000000000001E-2</v>
      </c>
    </row>
    <row r="23" spans="1:35">
      <c r="A23" t="s">
        <v>195</v>
      </c>
      <c r="B23" t="s">
        <v>1692</v>
      </c>
      <c r="C23" t="s">
        <v>1693</v>
      </c>
      <c r="D23" t="s">
        <v>202</v>
      </c>
      <c r="F23">
        <v>4.0755E-2</v>
      </c>
      <c r="G23">
        <v>3.8651999999999999E-2</v>
      </c>
      <c r="H23">
        <v>3.6609000000000003E-2</v>
      </c>
      <c r="I23">
        <v>3.4756000000000002E-2</v>
      </c>
      <c r="J23">
        <v>3.2994000000000002E-2</v>
      </c>
      <c r="K23">
        <v>3.1092999999999999E-2</v>
      </c>
      <c r="L23">
        <v>2.9238E-2</v>
      </c>
      <c r="M23">
        <v>2.7328999999999999E-2</v>
      </c>
      <c r="N23">
        <v>2.545E-2</v>
      </c>
      <c r="O23">
        <v>2.3702999999999998E-2</v>
      </c>
      <c r="P23">
        <v>2.213E-2</v>
      </c>
      <c r="Q23">
        <v>2.0587000000000001E-2</v>
      </c>
      <c r="R23">
        <v>1.907E-2</v>
      </c>
      <c r="S23">
        <v>1.7646999999999999E-2</v>
      </c>
      <c r="T23">
        <v>1.6278999999999998E-2</v>
      </c>
      <c r="U23">
        <v>1.5096E-2</v>
      </c>
      <c r="V23">
        <v>1.4012999999999999E-2</v>
      </c>
      <c r="W23">
        <v>1.3047E-2</v>
      </c>
      <c r="X23">
        <v>1.2141000000000001E-2</v>
      </c>
      <c r="Y23">
        <v>1.1221999999999999E-2</v>
      </c>
      <c r="Z23">
        <v>1.0409E-2</v>
      </c>
      <c r="AA23">
        <v>9.4929999999999997E-3</v>
      </c>
      <c r="AB23">
        <v>8.5679999999999992E-3</v>
      </c>
      <c r="AC23">
        <v>7.7999999999999996E-3</v>
      </c>
      <c r="AD23">
        <v>7.1529999999999996E-3</v>
      </c>
      <c r="AE23">
        <v>6.5009999999999998E-3</v>
      </c>
      <c r="AF23">
        <v>5.8510000000000003E-3</v>
      </c>
      <c r="AG23">
        <v>5.2680000000000001E-3</v>
      </c>
      <c r="AH23">
        <v>4.7749999999999997E-3</v>
      </c>
      <c r="AI23" s="22">
        <v>-7.3999999999999996E-2</v>
      </c>
    </row>
    <row r="24" spans="1:35">
      <c r="A24" t="s">
        <v>236</v>
      </c>
      <c r="B24" t="s">
        <v>1694</v>
      </c>
      <c r="C24" t="s">
        <v>1695</v>
      </c>
      <c r="D24" t="s">
        <v>202</v>
      </c>
      <c r="F24">
        <v>0.57358799999999999</v>
      </c>
      <c r="G24">
        <v>0.60140700000000002</v>
      </c>
      <c r="H24">
        <v>0.63454600000000005</v>
      </c>
      <c r="I24">
        <v>0.67766099999999996</v>
      </c>
      <c r="J24">
        <v>0.73062700000000003</v>
      </c>
      <c r="K24">
        <v>0.79032999999999998</v>
      </c>
      <c r="L24">
        <v>0.85507999999999995</v>
      </c>
      <c r="M24">
        <v>0.92379500000000003</v>
      </c>
      <c r="N24">
        <v>0.99948099999999995</v>
      </c>
      <c r="O24">
        <v>1.0843339999999999</v>
      </c>
      <c r="P24">
        <v>1.1830499999999999</v>
      </c>
      <c r="Q24">
        <v>1.290122</v>
      </c>
      <c r="R24">
        <v>1.4036139999999999</v>
      </c>
      <c r="S24">
        <v>1.5246489999999999</v>
      </c>
      <c r="T24">
        <v>1.645715</v>
      </c>
      <c r="U24">
        <v>1.778392</v>
      </c>
      <c r="V24">
        <v>1.914102</v>
      </c>
      <c r="W24">
        <v>2.0496180000000002</v>
      </c>
      <c r="X24">
        <v>2.1929249999999998</v>
      </c>
      <c r="Y24">
        <v>2.3334109999999999</v>
      </c>
      <c r="Z24">
        <v>2.4729649999999999</v>
      </c>
      <c r="AA24">
        <v>2.6083229999999999</v>
      </c>
      <c r="AB24">
        <v>2.737482</v>
      </c>
      <c r="AC24">
        <v>2.8611119999999999</v>
      </c>
      <c r="AD24">
        <v>2.9812919999999998</v>
      </c>
      <c r="AE24">
        <v>3.0955110000000001</v>
      </c>
      <c r="AF24">
        <v>3.2030799999999999</v>
      </c>
      <c r="AG24">
        <v>3.3133699999999999</v>
      </c>
      <c r="AH24">
        <v>3.4238439999999999</v>
      </c>
      <c r="AI24" s="22">
        <v>6.6000000000000003E-2</v>
      </c>
    </row>
    <row r="25" spans="1:35">
      <c r="A25" t="s">
        <v>237</v>
      </c>
      <c r="B25" t="s">
        <v>1696</v>
      </c>
      <c r="C25" t="s">
        <v>1697</v>
      </c>
      <c r="D25" t="s">
        <v>202</v>
      </c>
      <c r="F25">
        <v>4.7520000000000001E-3</v>
      </c>
      <c r="G25">
        <v>5.4910000000000002E-3</v>
      </c>
      <c r="H25">
        <v>6.0499999999999998E-3</v>
      </c>
      <c r="I25">
        <v>6.5360000000000001E-3</v>
      </c>
      <c r="J25">
        <v>6.9290000000000003E-3</v>
      </c>
      <c r="K25">
        <v>7.182E-3</v>
      </c>
      <c r="L25">
        <v>7.3159999999999996E-3</v>
      </c>
      <c r="M25">
        <v>7.345E-3</v>
      </c>
      <c r="N25">
        <v>7.3070000000000001E-3</v>
      </c>
      <c r="O25">
        <v>7.2189999999999997E-3</v>
      </c>
      <c r="P25">
        <v>7.1009999999999997E-3</v>
      </c>
      <c r="Q25">
        <v>6.9329999999999999E-3</v>
      </c>
      <c r="R25">
        <v>6.718E-3</v>
      </c>
      <c r="S25">
        <v>6.5050000000000004E-3</v>
      </c>
      <c r="T25">
        <v>6.2319999999999997E-3</v>
      </c>
      <c r="U25">
        <v>5.9480000000000002E-3</v>
      </c>
      <c r="V25">
        <v>5.7070000000000003E-3</v>
      </c>
      <c r="W25">
        <v>5.4489999999999999E-3</v>
      </c>
      <c r="X25">
        <v>5.1570000000000001E-3</v>
      </c>
      <c r="Y25">
        <v>4.8700000000000002E-3</v>
      </c>
      <c r="Z25">
        <v>4.6059999999999999E-3</v>
      </c>
      <c r="AA25">
        <v>4.3509999999999998E-3</v>
      </c>
      <c r="AB25">
        <v>4.1050000000000001E-3</v>
      </c>
      <c r="AC25">
        <v>3.8700000000000002E-3</v>
      </c>
      <c r="AD25">
        <v>3.6519999999999999E-3</v>
      </c>
      <c r="AE25">
        <v>3.4450000000000001E-3</v>
      </c>
      <c r="AF25">
        <v>3.248E-3</v>
      </c>
      <c r="AG25">
        <v>3.0590000000000001E-3</v>
      </c>
      <c r="AH25">
        <v>2.885E-3</v>
      </c>
      <c r="AI25" s="22">
        <v>-1.7999999999999999E-2</v>
      </c>
    </row>
    <row r="26" spans="1:35">
      <c r="A26" t="s">
        <v>238</v>
      </c>
      <c r="B26" t="s">
        <v>1698</v>
      </c>
      <c r="C26" t="s">
        <v>1699</v>
      </c>
      <c r="D26" t="s">
        <v>202</v>
      </c>
      <c r="F26">
        <v>0</v>
      </c>
      <c r="G26">
        <v>0</v>
      </c>
      <c r="H26">
        <v>4.0569999999999998E-3</v>
      </c>
      <c r="I26">
        <v>8.1670000000000006E-3</v>
      </c>
      <c r="J26">
        <v>1.2279999999999999E-2</v>
      </c>
      <c r="K26">
        <v>1.6237999999999999E-2</v>
      </c>
      <c r="L26">
        <v>2.0057999999999999E-2</v>
      </c>
      <c r="M26">
        <v>2.3657999999999998E-2</v>
      </c>
      <c r="N26">
        <v>2.7074000000000001E-2</v>
      </c>
      <c r="O26">
        <v>3.0387999999999998E-2</v>
      </c>
      <c r="P26">
        <v>3.3786999999999998E-2</v>
      </c>
      <c r="Q26">
        <v>3.7179999999999998E-2</v>
      </c>
      <c r="R26">
        <v>4.0497999999999999E-2</v>
      </c>
      <c r="S26">
        <v>4.3855999999999999E-2</v>
      </c>
      <c r="T26">
        <v>4.7225999999999997E-2</v>
      </c>
      <c r="U26">
        <v>5.0868999999999998E-2</v>
      </c>
      <c r="V26">
        <v>5.4696000000000002E-2</v>
      </c>
      <c r="W26">
        <v>5.8694000000000003E-2</v>
      </c>
      <c r="X26">
        <v>6.3043000000000002E-2</v>
      </c>
      <c r="Y26">
        <v>6.7706000000000002E-2</v>
      </c>
      <c r="Z26">
        <v>7.2775999999999993E-2</v>
      </c>
      <c r="AA26">
        <v>7.8029000000000001E-2</v>
      </c>
      <c r="AB26">
        <v>8.3586999999999995E-2</v>
      </c>
      <c r="AC26">
        <v>8.9401999999999995E-2</v>
      </c>
      <c r="AD26">
        <v>9.5547000000000007E-2</v>
      </c>
      <c r="AE26">
        <v>0.10193000000000001</v>
      </c>
      <c r="AF26">
        <v>0.108524</v>
      </c>
      <c r="AG26">
        <v>0.11551</v>
      </c>
      <c r="AH26">
        <v>0.122839</v>
      </c>
      <c r="AI26" t="s">
        <v>111</v>
      </c>
    </row>
    <row r="27" spans="1:35">
      <c r="A27" t="s">
        <v>239</v>
      </c>
      <c r="B27" t="s">
        <v>1700</v>
      </c>
      <c r="C27" t="s">
        <v>1701</v>
      </c>
      <c r="D27" t="s">
        <v>202</v>
      </c>
      <c r="F27">
        <v>0</v>
      </c>
      <c r="G27">
        <v>0</v>
      </c>
      <c r="H27">
        <v>4.0610000000000004E-3</v>
      </c>
      <c r="I27">
        <v>8.0339999999999995E-3</v>
      </c>
      <c r="J27">
        <v>1.1905000000000001E-2</v>
      </c>
      <c r="K27">
        <v>1.5573E-2</v>
      </c>
      <c r="L27">
        <v>1.9036999999999998E-2</v>
      </c>
      <c r="M27">
        <v>2.2249999999999999E-2</v>
      </c>
      <c r="N27">
        <v>2.5312000000000001E-2</v>
      </c>
      <c r="O27">
        <v>2.836E-2</v>
      </c>
      <c r="P27">
        <v>3.1593999999999997E-2</v>
      </c>
      <c r="Q27">
        <v>3.4971000000000002E-2</v>
      </c>
      <c r="R27">
        <v>3.8427000000000003E-2</v>
      </c>
      <c r="S27">
        <v>4.2057999999999998E-2</v>
      </c>
      <c r="T27">
        <v>4.589E-2</v>
      </c>
      <c r="U27">
        <v>5.0213000000000001E-2</v>
      </c>
      <c r="V27">
        <v>5.4961999999999997E-2</v>
      </c>
      <c r="W27">
        <v>6.0159999999999998E-2</v>
      </c>
      <c r="X27">
        <v>6.6020999999999996E-2</v>
      </c>
      <c r="Y27">
        <v>7.2526999999999994E-2</v>
      </c>
      <c r="Z27">
        <v>7.9758999999999997E-2</v>
      </c>
      <c r="AA27">
        <v>8.7495000000000003E-2</v>
      </c>
      <c r="AB27">
        <v>9.5846000000000001E-2</v>
      </c>
      <c r="AC27">
        <v>0.10474799999999999</v>
      </c>
      <c r="AD27">
        <v>0.114255</v>
      </c>
      <c r="AE27">
        <v>0.124223</v>
      </c>
      <c r="AF27">
        <v>0.13459199999999999</v>
      </c>
      <c r="AG27">
        <v>0.14565800000000001</v>
      </c>
      <c r="AH27">
        <v>0.15723400000000001</v>
      </c>
      <c r="AI27" t="s">
        <v>111</v>
      </c>
    </row>
    <row r="28" spans="1:35">
      <c r="A28" t="s">
        <v>240</v>
      </c>
      <c r="B28" t="s">
        <v>1702</v>
      </c>
      <c r="C28" t="s">
        <v>1703</v>
      </c>
      <c r="D28" t="s">
        <v>202</v>
      </c>
      <c r="F28">
        <v>0</v>
      </c>
      <c r="G28">
        <v>0</v>
      </c>
      <c r="H28">
        <v>6.7840000000000001E-3</v>
      </c>
      <c r="I28">
        <v>1.3694E-2</v>
      </c>
      <c r="J28">
        <v>2.0728E-2</v>
      </c>
      <c r="K28">
        <v>2.7577000000000001E-2</v>
      </c>
      <c r="L28">
        <v>3.4187000000000002E-2</v>
      </c>
      <c r="M28">
        <v>4.0457E-2</v>
      </c>
      <c r="N28">
        <v>4.6433000000000002E-2</v>
      </c>
      <c r="O28">
        <v>5.2238E-2</v>
      </c>
      <c r="P28">
        <v>5.8138000000000002E-2</v>
      </c>
      <c r="Q28">
        <v>6.3926999999999998E-2</v>
      </c>
      <c r="R28">
        <v>6.9538000000000003E-2</v>
      </c>
      <c r="S28">
        <v>7.5242000000000003E-2</v>
      </c>
      <c r="T28">
        <v>8.0976000000000006E-2</v>
      </c>
      <c r="U28">
        <v>8.7225999999999998E-2</v>
      </c>
      <c r="V28">
        <v>9.3895999999999993E-2</v>
      </c>
      <c r="W28">
        <v>0.10097399999999999</v>
      </c>
      <c r="X28">
        <v>0.10878699999999999</v>
      </c>
      <c r="Y28">
        <v>0.11728</v>
      </c>
      <c r="Z28">
        <v>0.12661900000000001</v>
      </c>
      <c r="AA28">
        <v>0.136432</v>
      </c>
      <c r="AB28">
        <v>0.14691299999999999</v>
      </c>
      <c r="AC28">
        <v>0.15795899999999999</v>
      </c>
      <c r="AD28">
        <v>0.16969300000000001</v>
      </c>
      <c r="AE28">
        <v>0.18194399999999999</v>
      </c>
      <c r="AF28">
        <v>0.19465099999999999</v>
      </c>
      <c r="AG28">
        <v>0.20824400000000001</v>
      </c>
      <c r="AH28">
        <v>0.222495</v>
      </c>
      <c r="AI28" t="s">
        <v>111</v>
      </c>
    </row>
    <row r="29" spans="1:35">
      <c r="A29" t="s">
        <v>242</v>
      </c>
      <c r="B29" t="s">
        <v>1704</v>
      </c>
      <c r="C29" t="s">
        <v>1705</v>
      </c>
      <c r="D29" t="s">
        <v>202</v>
      </c>
      <c r="F29">
        <v>59.675491000000001</v>
      </c>
      <c r="G29">
        <v>58.661780999999998</v>
      </c>
      <c r="H29">
        <v>58.029797000000002</v>
      </c>
      <c r="I29">
        <v>58.049156000000004</v>
      </c>
      <c r="J29">
        <v>58.503886999999999</v>
      </c>
      <c r="K29">
        <v>58.913939999999997</v>
      </c>
      <c r="L29">
        <v>59.350769</v>
      </c>
      <c r="M29">
        <v>59.713520000000003</v>
      </c>
      <c r="N29">
        <v>60.134556000000003</v>
      </c>
      <c r="O29">
        <v>60.628036000000002</v>
      </c>
      <c r="P29">
        <v>61.368358999999998</v>
      </c>
      <c r="Q29">
        <v>61.992427999999997</v>
      </c>
      <c r="R29">
        <v>62.493834999999997</v>
      </c>
      <c r="S29">
        <v>63.075363000000003</v>
      </c>
      <c r="T29">
        <v>63.577190000000002</v>
      </c>
      <c r="U29">
        <v>64.315276999999995</v>
      </c>
      <c r="V29">
        <v>65.015548999999993</v>
      </c>
      <c r="W29">
        <v>65.703140000000005</v>
      </c>
      <c r="X29">
        <v>66.439789000000005</v>
      </c>
      <c r="Y29">
        <v>67.153098999999997</v>
      </c>
      <c r="Z29">
        <v>67.914848000000006</v>
      </c>
      <c r="AA29">
        <v>68.703293000000002</v>
      </c>
      <c r="AB29">
        <v>69.483185000000006</v>
      </c>
      <c r="AC29">
        <v>70.217613</v>
      </c>
      <c r="AD29">
        <v>70.96611</v>
      </c>
      <c r="AE29">
        <v>71.697151000000005</v>
      </c>
      <c r="AF29">
        <v>72.411263000000005</v>
      </c>
      <c r="AG29">
        <v>73.264426999999998</v>
      </c>
      <c r="AH29">
        <v>74.191055000000006</v>
      </c>
      <c r="AI29" s="22">
        <v>8.0000000000000002E-3</v>
      </c>
    </row>
    <row r="30" spans="1:35">
      <c r="A30" t="s">
        <v>243</v>
      </c>
    </row>
    <row r="31" spans="1:35">
      <c r="A31" t="s">
        <v>189</v>
      </c>
      <c r="B31" t="s">
        <v>1706</v>
      </c>
      <c r="C31" t="s">
        <v>1707</v>
      </c>
      <c r="D31" t="s">
        <v>202</v>
      </c>
      <c r="F31">
        <v>184.60037199999999</v>
      </c>
      <c r="G31">
        <v>181.659302</v>
      </c>
      <c r="H31">
        <v>179.33776900000001</v>
      </c>
      <c r="I31">
        <v>179.120193</v>
      </c>
      <c r="J31">
        <v>180.21894800000001</v>
      </c>
      <c r="K31">
        <v>181.00943000000001</v>
      </c>
      <c r="L31">
        <v>181.60069300000001</v>
      </c>
      <c r="M31">
        <v>181.741882</v>
      </c>
      <c r="N31">
        <v>181.81384299999999</v>
      </c>
      <c r="O31">
        <v>181.88819899999999</v>
      </c>
      <c r="P31">
        <v>182.31565900000001</v>
      </c>
      <c r="Q31">
        <v>182.31204199999999</v>
      </c>
      <c r="R31">
        <v>181.79646299999999</v>
      </c>
      <c r="S31">
        <v>181.348389</v>
      </c>
      <c r="T31">
        <v>180.57669100000001</v>
      </c>
      <c r="U31">
        <v>180.37922699999999</v>
      </c>
      <c r="V31">
        <v>180.30328399999999</v>
      </c>
      <c r="W31">
        <v>180.01679999999999</v>
      </c>
      <c r="X31">
        <v>179.91267400000001</v>
      </c>
      <c r="Y31">
        <v>179.668015</v>
      </c>
      <c r="Z31">
        <v>179.53393600000001</v>
      </c>
      <c r="AA31">
        <v>179.28070099999999</v>
      </c>
      <c r="AB31">
        <v>178.90154999999999</v>
      </c>
      <c r="AC31">
        <v>178.38395700000001</v>
      </c>
      <c r="AD31">
        <v>177.84689299999999</v>
      </c>
      <c r="AE31">
        <v>177.18598900000001</v>
      </c>
      <c r="AF31">
        <v>176.449005</v>
      </c>
      <c r="AG31">
        <v>176.03950499999999</v>
      </c>
      <c r="AH31">
        <v>175.83848599999999</v>
      </c>
      <c r="AI31" s="22">
        <v>-2E-3</v>
      </c>
    </row>
    <row r="32" spans="1:35">
      <c r="A32" t="s">
        <v>235</v>
      </c>
      <c r="B32" t="s">
        <v>1708</v>
      </c>
      <c r="C32" t="s">
        <v>1709</v>
      </c>
      <c r="D32" t="s">
        <v>202</v>
      </c>
      <c r="F32">
        <v>0.17738300000000001</v>
      </c>
      <c r="G32">
        <v>0.17443600000000001</v>
      </c>
      <c r="H32">
        <v>0.17478399999999999</v>
      </c>
      <c r="I32">
        <v>0.17882700000000001</v>
      </c>
      <c r="J32">
        <v>0.18665300000000001</v>
      </c>
      <c r="K32">
        <v>0.19601199999999999</v>
      </c>
      <c r="L32">
        <v>0.20597799999999999</v>
      </c>
      <c r="M32">
        <v>0.21579200000000001</v>
      </c>
      <c r="N32">
        <v>0.226576</v>
      </c>
      <c r="O32">
        <v>0.237146</v>
      </c>
      <c r="P32">
        <v>0.247638</v>
      </c>
      <c r="Q32">
        <v>0.25715700000000002</v>
      </c>
      <c r="R32">
        <v>0.26541300000000001</v>
      </c>
      <c r="S32">
        <v>0.27308100000000002</v>
      </c>
      <c r="T32">
        <v>0.27896799999999999</v>
      </c>
      <c r="U32">
        <v>0.284694</v>
      </c>
      <c r="V32">
        <v>0.28928999999999999</v>
      </c>
      <c r="W32">
        <v>0.29280400000000001</v>
      </c>
      <c r="X32">
        <v>0.296269</v>
      </c>
      <c r="Y32">
        <v>0.29911900000000002</v>
      </c>
      <c r="Z32">
        <v>0.30070000000000002</v>
      </c>
      <c r="AA32">
        <v>0.30173499999999998</v>
      </c>
      <c r="AB32">
        <v>0.30324099999999998</v>
      </c>
      <c r="AC32">
        <v>0.30465999999999999</v>
      </c>
      <c r="AD32">
        <v>0.30624899999999999</v>
      </c>
      <c r="AE32">
        <v>0.30773899999999998</v>
      </c>
      <c r="AF32">
        <v>0.309114</v>
      </c>
      <c r="AG32">
        <v>0.310919</v>
      </c>
      <c r="AH32">
        <v>0.31297900000000001</v>
      </c>
      <c r="AI32" s="22">
        <v>0.02</v>
      </c>
    </row>
    <row r="33" spans="1:35">
      <c r="A33" t="s">
        <v>192</v>
      </c>
      <c r="B33" t="s">
        <v>1710</v>
      </c>
      <c r="C33" t="s">
        <v>1711</v>
      </c>
      <c r="D33" t="s">
        <v>202</v>
      </c>
      <c r="F33">
        <v>2.7491999999999999E-2</v>
      </c>
      <c r="G33">
        <v>2.9336000000000001E-2</v>
      </c>
      <c r="H33">
        <v>3.1071000000000001E-2</v>
      </c>
      <c r="I33">
        <v>3.2966000000000002E-2</v>
      </c>
      <c r="J33">
        <v>3.4987999999999998E-2</v>
      </c>
      <c r="K33">
        <v>3.6720000000000003E-2</v>
      </c>
      <c r="L33">
        <v>3.8114000000000002E-2</v>
      </c>
      <c r="M33">
        <v>3.9049E-2</v>
      </c>
      <c r="N33">
        <v>3.9738999999999997E-2</v>
      </c>
      <c r="O33">
        <v>4.0235E-2</v>
      </c>
      <c r="P33">
        <v>4.0661000000000003E-2</v>
      </c>
      <c r="Q33">
        <v>4.104E-2</v>
      </c>
      <c r="R33">
        <v>4.1381000000000001E-2</v>
      </c>
      <c r="S33">
        <v>4.1751000000000003E-2</v>
      </c>
      <c r="T33">
        <v>4.1957000000000001E-2</v>
      </c>
      <c r="U33">
        <v>4.2249000000000002E-2</v>
      </c>
      <c r="V33">
        <v>4.2424999999999997E-2</v>
      </c>
      <c r="W33">
        <v>4.2535999999999997E-2</v>
      </c>
      <c r="X33">
        <v>4.2664000000000001E-2</v>
      </c>
      <c r="Y33">
        <v>4.2823E-2</v>
      </c>
      <c r="Z33">
        <v>4.2963000000000001E-2</v>
      </c>
      <c r="AA33">
        <v>4.3061000000000002E-2</v>
      </c>
      <c r="AB33">
        <v>4.3122000000000001E-2</v>
      </c>
      <c r="AC33">
        <v>4.3159000000000003E-2</v>
      </c>
      <c r="AD33">
        <v>4.3212E-2</v>
      </c>
      <c r="AE33">
        <v>4.3248000000000002E-2</v>
      </c>
      <c r="AF33">
        <v>4.3262000000000002E-2</v>
      </c>
      <c r="AG33">
        <v>4.3311000000000002E-2</v>
      </c>
      <c r="AH33">
        <v>4.3357E-2</v>
      </c>
      <c r="AI33" s="22">
        <v>1.6E-2</v>
      </c>
    </row>
    <row r="34" spans="1:35">
      <c r="A34" t="s">
        <v>195</v>
      </c>
      <c r="B34" t="s">
        <v>1712</v>
      </c>
      <c r="C34" t="s">
        <v>1713</v>
      </c>
      <c r="D34" t="s">
        <v>202</v>
      </c>
      <c r="F34">
        <v>2.1400009999999998</v>
      </c>
      <c r="G34">
        <v>2.1557870000000001</v>
      </c>
      <c r="H34">
        <v>2.1666439999999998</v>
      </c>
      <c r="I34">
        <v>2.1866439999999998</v>
      </c>
      <c r="J34">
        <v>2.2050589999999999</v>
      </c>
      <c r="K34">
        <v>2.2023570000000001</v>
      </c>
      <c r="L34">
        <v>2.1771889999999998</v>
      </c>
      <c r="M34">
        <v>2.1333489999999999</v>
      </c>
      <c r="N34">
        <v>2.0832540000000002</v>
      </c>
      <c r="O34">
        <v>2.037004</v>
      </c>
      <c r="P34">
        <v>2.005252</v>
      </c>
      <c r="Q34">
        <v>1.9869589999999999</v>
      </c>
      <c r="R34">
        <v>1.982839</v>
      </c>
      <c r="S34">
        <v>1.9954099999999999</v>
      </c>
      <c r="T34">
        <v>2.017182</v>
      </c>
      <c r="U34">
        <v>2.0574680000000001</v>
      </c>
      <c r="V34">
        <v>2.110242</v>
      </c>
      <c r="W34">
        <v>2.1724429999999999</v>
      </c>
      <c r="X34">
        <v>2.2483599999999999</v>
      </c>
      <c r="Y34">
        <v>2.33386</v>
      </c>
      <c r="Z34">
        <v>2.4286789999999998</v>
      </c>
      <c r="AA34">
        <v>2.5310320000000002</v>
      </c>
      <c r="AB34">
        <v>2.6404960000000002</v>
      </c>
      <c r="AC34">
        <v>2.7555730000000001</v>
      </c>
      <c r="AD34">
        <v>2.8782350000000001</v>
      </c>
      <c r="AE34">
        <v>3.0066389999999998</v>
      </c>
      <c r="AF34">
        <v>3.1391810000000002</v>
      </c>
      <c r="AG34">
        <v>3.284789</v>
      </c>
      <c r="AH34">
        <v>3.442669</v>
      </c>
      <c r="AI34" s="22">
        <v>1.7000000000000001E-2</v>
      </c>
    </row>
    <row r="35" spans="1:35">
      <c r="A35" t="s">
        <v>236</v>
      </c>
      <c r="B35" t="s">
        <v>1714</v>
      </c>
      <c r="C35" t="s">
        <v>1715</v>
      </c>
      <c r="D35" t="s">
        <v>202</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111</v>
      </c>
    </row>
    <row r="36" spans="1:35">
      <c r="A36" t="s">
        <v>237</v>
      </c>
      <c r="B36" t="s">
        <v>1716</v>
      </c>
      <c r="C36" t="s">
        <v>1717</v>
      </c>
      <c r="D36" t="s">
        <v>202</v>
      </c>
      <c r="F36">
        <v>4.2389999999999997E-3</v>
      </c>
      <c r="G36">
        <v>4.8370000000000002E-3</v>
      </c>
      <c r="H36">
        <v>5.3550000000000004E-3</v>
      </c>
      <c r="I36">
        <v>5.8450000000000004E-3</v>
      </c>
      <c r="J36">
        <v>6.2740000000000001E-3</v>
      </c>
      <c r="K36">
        <v>6.5900000000000004E-3</v>
      </c>
      <c r="L36">
        <v>6.7970000000000001E-3</v>
      </c>
      <c r="M36">
        <v>6.8970000000000004E-3</v>
      </c>
      <c r="N36">
        <v>6.9160000000000003E-3</v>
      </c>
      <c r="O36">
        <v>6.8609999999999999E-3</v>
      </c>
      <c r="P36">
        <v>6.7429999999999999E-3</v>
      </c>
      <c r="Q36">
        <v>6.5449999999999996E-3</v>
      </c>
      <c r="R36">
        <v>6.2859999999999999E-3</v>
      </c>
      <c r="S36">
        <v>6.0010000000000003E-3</v>
      </c>
      <c r="T36">
        <v>5.6860000000000001E-3</v>
      </c>
      <c r="U36">
        <v>5.3920000000000001E-3</v>
      </c>
      <c r="V36">
        <v>5.1000000000000004E-3</v>
      </c>
      <c r="W36">
        <v>4.7580000000000001E-3</v>
      </c>
      <c r="X36">
        <v>4.4060000000000002E-3</v>
      </c>
      <c r="Y36">
        <v>4.1019999999999997E-3</v>
      </c>
      <c r="Z36">
        <v>3.8579999999999999E-3</v>
      </c>
      <c r="AA36">
        <v>3.6110000000000001E-3</v>
      </c>
      <c r="AB36">
        <v>3.3869999999999998E-3</v>
      </c>
      <c r="AC36">
        <v>3.1779999999999998E-3</v>
      </c>
      <c r="AD36">
        <v>2.9849999999999998E-3</v>
      </c>
      <c r="AE36">
        <v>2.807E-3</v>
      </c>
      <c r="AF36">
        <v>2.64E-3</v>
      </c>
      <c r="AG36">
        <v>2.4889999999999999E-3</v>
      </c>
      <c r="AH36">
        <v>2.3509999999999998E-3</v>
      </c>
      <c r="AI36" s="22">
        <v>-2.1000000000000001E-2</v>
      </c>
    </row>
    <row r="37" spans="1:35">
      <c r="A37" t="s">
        <v>238</v>
      </c>
      <c r="B37" t="s">
        <v>1718</v>
      </c>
      <c r="C37" t="s">
        <v>1719</v>
      </c>
      <c r="D37" t="s">
        <v>202</v>
      </c>
      <c r="F37">
        <v>0</v>
      </c>
      <c r="G37">
        <v>0</v>
      </c>
      <c r="H37">
        <v>1.047E-3</v>
      </c>
      <c r="I37">
        <v>2.127E-3</v>
      </c>
      <c r="J37">
        <v>3.241E-3</v>
      </c>
      <c r="K37">
        <v>4.3540000000000002E-3</v>
      </c>
      <c r="L37">
        <v>5.4720000000000003E-3</v>
      </c>
      <c r="M37">
        <v>6.5729999999999998E-3</v>
      </c>
      <c r="N37">
        <v>7.6629999999999997E-3</v>
      </c>
      <c r="O37">
        <v>8.7530000000000004E-3</v>
      </c>
      <c r="P37">
        <v>9.8750000000000001E-3</v>
      </c>
      <c r="Q37">
        <v>1.0983E-2</v>
      </c>
      <c r="R37">
        <v>1.2050999999999999E-2</v>
      </c>
      <c r="S37">
        <v>1.3096999999999999E-2</v>
      </c>
      <c r="T37">
        <v>1.4095E-2</v>
      </c>
      <c r="U37">
        <v>1.511E-2</v>
      </c>
      <c r="V37">
        <v>1.6105000000000001E-2</v>
      </c>
      <c r="W37">
        <v>1.7072E-2</v>
      </c>
      <c r="X37">
        <v>1.8075000000000001E-2</v>
      </c>
      <c r="Y37">
        <v>1.9120000000000002E-2</v>
      </c>
      <c r="Z37">
        <v>2.0253E-2</v>
      </c>
      <c r="AA37">
        <v>2.1441000000000002E-2</v>
      </c>
      <c r="AB37">
        <v>2.2678E-2</v>
      </c>
      <c r="AC37">
        <v>2.3994000000000001E-2</v>
      </c>
      <c r="AD37">
        <v>2.5464000000000001E-2</v>
      </c>
      <c r="AE37">
        <v>2.7054000000000002E-2</v>
      </c>
      <c r="AF37">
        <v>2.877E-2</v>
      </c>
      <c r="AG37">
        <v>3.0686000000000001E-2</v>
      </c>
      <c r="AH37">
        <v>3.2786000000000003E-2</v>
      </c>
      <c r="AI37" t="s">
        <v>111</v>
      </c>
    </row>
    <row r="38" spans="1:35">
      <c r="A38" t="s">
        <v>239</v>
      </c>
      <c r="B38" t="s">
        <v>1720</v>
      </c>
      <c r="C38" t="s">
        <v>1721</v>
      </c>
      <c r="D38" t="s">
        <v>202</v>
      </c>
      <c r="F38">
        <v>0</v>
      </c>
      <c r="G38">
        <v>0</v>
      </c>
      <c r="H38">
        <v>2.3640000000000002E-3</v>
      </c>
      <c r="I38">
        <v>4.7369999999999999E-3</v>
      </c>
      <c r="J38">
        <v>7.1450000000000003E-3</v>
      </c>
      <c r="K38">
        <v>9.5219999999999992E-3</v>
      </c>
      <c r="L38">
        <v>1.1861E-2</v>
      </c>
      <c r="M38">
        <v>1.4121999999999999E-2</v>
      </c>
      <c r="N38">
        <v>1.6327000000000001E-2</v>
      </c>
      <c r="O38">
        <v>1.8509000000000001E-2</v>
      </c>
      <c r="P38">
        <v>2.0725E-2</v>
      </c>
      <c r="Q38">
        <v>2.2883000000000001E-2</v>
      </c>
      <c r="R38">
        <v>2.4927000000000001E-2</v>
      </c>
      <c r="S38">
        <v>2.6898999999999999E-2</v>
      </c>
      <c r="T38">
        <v>2.8738E-2</v>
      </c>
      <c r="U38">
        <v>3.0574E-2</v>
      </c>
      <c r="V38">
        <v>3.2329999999999998E-2</v>
      </c>
      <c r="W38">
        <v>3.3996999999999999E-2</v>
      </c>
      <c r="X38">
        <v>3.5702999999999999E-2</v>
      </c>
      <c r="Y38">
        <v>3.7462000000000002E-2</v>
      </c>
      <c r="Z38">
        <v>3.9357000000000003E-2</v>
      </c>
      <c r="AA38">
        <v>4.1302999999999999E-2</v>
      </c>
      <c r="AB38">
        <v>4.3270999999999997E-2</v>
      </c>
      <c r="AC38">
        <v>4.5317999999999997E-2</v>
      </c>
      <c r="AD38">
        <v>4.7577000000000001E-2</v>
      </c>
      <c r="AE38">
        <v>4.9952000000000003E-2</v>
      </c>
      <c r="AF38">
        <v>5.2423999999999998E-2</v>
      </c>
      <c r="AG38">
        <v>5.5099000000000002E-2</v>
      </c>
      <c r="AH38">
        <v>5.7922000000000001E-2</v>
      </c>
      <c r="AI38" t="s">
        <v>111</v>
      </c>
    </row>
    <row r="39" spans="1:35">
      <c r="A39" t="s">
        <v>240</v>
      </c>
      <c r="B39" t="s">
        <v>1722</v>
      </c>
      <c r="C39" t="s">
        <v>1723</v>
      </c>
      <c r="D39" t="s">
        <v>202</v>
      </c>
      <c r="F39">
        <v>0</v>
      </c>
      <c r="G39">
        <v>0</v>
      </c>
      <c r="H39">
        <v>5.7010000000000003E-3</v>
      </c>
      <c r="I39">
        <v>1.1606999999999999E-2</v>
      </c>
      <c r="J39">
        <v>1.7784000000000001E-2</v>
      </c>
      <c r="K39">
        <v>2.4011999999999999E-2</v>
      </c>
      <c r="L39">
        <v>3.0249999999999999E-2</v>
      </c>
      <c r="M39">
        <v>3.6382999999999999E-2</v>
      </c>
      <c r="N39">
        <v>4.2418999999999998E-2</v>
      </c>
      <c r="O39">
        <v>4.8391999999999998E-2</v>
      </c>
      <c r="P39">
        <v>5.4426000000000002E-2</v>
      </c>
      <c r="Q39">
        <v>6.0228999999999998E-2</v>
      </c>
      <c r="R39">
        <v>6.5667000000000003E-2</v>
      </c>
      <c r="S39">
        <v>7.0873000000000005E-2</v>
      </c>
      <c r="T39">
        <v>7.5647000000000006E-2</v>
      </c>
      <c r="U39">
        <v>8.0312999999999996E-2</v>
      </c>
      <c r="V39">
        <v>8.4670999999999996E-2</v>
      </c>
      <c r="W39">
        <v>8.8666999999999996E-2</v>
      </c>
      <c r="X39">
        <v>9.2609999999999998E-2</v>
      </c>
      <c r="Y39">
        <v>9.6520999999999996E-2</v>
      </c>
      <c r="Z39">
        <v>0.100616</v>
      </c>
      <c r="AA39">
        <v>0.104708</v>
      </c>
      <c r="AB39">
        <v>0.108751</v>
      </c>
      <c r="AC39">
        <v>0.112911</v>
      </c>
      <c r="AD39">
        <v>0.11756999999999999</v>
      </c>
      <c r="AE39">
        <v>0.12256499999999999</v>
      </c>
      <c r="AF39">
        <v>0.12792899999999999</v>
      </c>
      <c r="AG39">
        <v>0.13400100000000001</v>
      </c>
      <c r="AH39">
        <v>0.14074999999999999</v>
      </c>
      <c r="AI39" t="s">
        <v>111</v>
      </c>
    </row>
    <row r="40" spans="1:35">
      <c r="A40" t="s">
        <v>244</v>
      </c>
      <c r="B40" t="s">
        <v>1724</v>
      </c>
      <c r="C40" t="s">
        <v>1725</v>
      </c>
      <c r="D40" t="s">
        <v>202</v>
      </c>
      <c r="F40">
        <v>186.94918799999999</v>
      </c>
      <c r="G40">
        <v>184.02345299999999</v>
      </c>
      <c r="H40">
        <v>181.72447199999999</v>
      </c>
      <c r="I40">
        <v>181.54272499999999</v>
      </c>
      <c r="J40">
        <v>182.67984000000001</v>
      </c>
      <c r="K40">
        <v>183.488831</v>
      </c>
      <c r="L40">
        <v>184.07605000000001</v>
      </c>
      <c r="M40">
        <v>184.193726</v>
      </c>
      <c r="N40">
        <v>184.23619099999999</v>
      </c>
      <c r="O40">
        <v>184.284637</v>
      </c>
      <c r="P40">
        <v>184.70048499999999</v>
      </c>
      <c r="Q40">
        <v>184.697327</v>
      </c>
      <c r="R40">
        <v>184.19468699999999</v>
      </c>
      <c r="S40">
        <v>183.775024</v>
      </c>
      <c r="T40">
        <v>183.03814700000001</v>
      </c>
      <c r="U40">
        <v>182.89442399999999</v>
      </c>
      <c r="V40">
        <v>182.88275100000001</v>
      </c>
      <c r="W40">
        <v>182.668274</v>
      </c>
      <c r="X40">
        <v>182.65016199999999</v>
      </c>
      <c r="Y40">
        <v>182.50058000000001</v>
      </c>
      <c r="Z40">
        <v>182.46910099999999</v>
      </c>
      <c r="AA40">
        <v>182.32656900000001</v>
      </c>
      <c r="AB40">
        <v>182.065201</v>
      </c>
      <c r="AC40">
        <v>181.671616</v>
      </c>
      <c r="AD40">
        <v>181.266907</v>
      </c>
      <c r="AE40">
        <v>180.744415</v>
      </c>
      <c r="AF40">
        <v>180.15121500000001</v>
      </c>
      <c r="AG40">
        <v>179.89952099999999</v>
      </c>
      <c r="AH40">
        <v>179.86982699999999</v>
      </c>
      <c r="AI40" s="22">
        <v>-1E-3</v>
      </c>
    </row>
    <row r="41" spans="1:35">
      <c r="A41" t="s">
        <v>245</v>
      </c>
      <c r="B41" t="s">
        <v>1726</v>
      </c>
      <c r="C41" t="s">
        <v>1727</v>
      </c>
      <c r="D41" t="s">
        <v>202</v>
      </c>
      <c r="F41">
        <v>321.95339999999999</v>
      </c>
      <c r="G41">
        <v>317.39248700000002</v>
      </c>
      <c r="H41">
        <v>314.48513800000001</v>
      </c>
      <c r="I41">
        <v>314.94528200000002</v>
      </c>
      <c r="J41">
        <v>317.255585</v>
      </c>
      <c r="K41">
        <v>318.78924599999999</v>
      </c>
      <c r="L41">
        <v>320.01522799999998</v>
      </c>
      <c r="M41">
        <v>320.71121199999999</v>
      </c>
      <c r="N41">
        <v>321.69329800000003</v>
      </c>
      <c r="O41">
        <v>323.025848</v>
      </c>
      <c r="P41">
        <v>325.34118699999999</v>
      </c>
      <c r="Q41">
        <v>327.113831</v>
      </c>
      <c r="R41">
        <v>328.192047</v>
      </c>
      <c r="S41">
        <v>329.51705900000002</v>
      </c>
      <c r="T41">
        <v>330.28295900000001</v>
      </c>
      <c r="U41">
        <v>332.07742300000001</v>
      </c>
      <c r="V41">
        <v>333.92361499999998</v>
      </c>
      <c r="W41">
        <v>335.44903599999998</v>
      </c>
      <c r="X41">
        <v>337.36404399999998</v>
      </c>
      <c r="Y41">
        <v>339.16110200000003</v>
      </c>
      <c r="Z41">
        <v>341.21862800000002</v>
      </c>
      <c r="AA41">
        <v>343.15524299999998</v>
      </c>
      <c r="AB41">
        <v>344.90252700000002</v>
      </c>
      <c r="AC41">
        <v>346.50024400000001</v>
      </c>
      <c r="AD41">
        <v>348.24490400000002</v>
      </c>
      <c r="AE41">
        <v>349.90035999999998</v>
      </c>
      <c r="AF41">
        <v>351.47170999999997</v>
      </c>
      <c r="AG41">
        <v>353.64367700000003</v>
      </c>
      <c r="AH41">
        <v>356.19241299999999</v>
      </c>
      <c r="AI41" s="22">
        <v>4.0000000000000001E-3</v>
      </c>
    </row>
    <row r="42" spans="1:35">
      <c r="A42" t="s">
        <v>246</v>
      </c>
    </row>
    <row r="43" spans="1:35">
      <c r="A43" t="s">
        <v>170</v>
      </c>
    </row>
    <row r="44" spans="1:35">
      <c r="A44" t="s">
        <v>189</v>
      </c>
      <c r="B44" t="s">
        <v>1728</v>
      </c>
      <c r="C44" t="s">
        <v>1729</v>
      </c>
      <c r="D44" t="s">
        <v>201</v>
      </c>
      <c r="F44">
        <v>505.03723100000002</v>
      </c>
      <c r="G44">
        <v>485.44491599999998</v>
      </c>
      <c r="H44">
        <v>469.56829800000003</v>
      </c>
      <c r="I44">
        <v>457.05853300000001</v>
      </c>
      <c r="J44">
        <v>445.32620200000002</v>
      </c>
      <c r="K44">
        <v>431.78775000000002</v>
      </c>
      <c r="L44">
        <v>418.97491500000001</v>
      </c>
      <c r="M44">
        <v>407.44158900000002</v>
      </c>
      <c r="N44">
        <v>398.90502900000001</v>
      </c>
      <c r="O44">
        <v>393.05145299999998</v>
      </c>
      <c r="P44">
        <v>389.76025399999997</v>
      </c>
      <c r="Q44">
        <v>387.04650900000001</v>
      </c>
      <c r="R44">
        <v>384.93383799999998</v>
      </c>
      <c r="S44">
        <v>383.96670499999999</v>
      </c>
      <c r="T44">
        <v>382.68963600000001</v>
      </c>
      <c r="U44">
        <v>382.74392699999999</v>
      </c>
      <c r="V44">
        <v>383.16451999999998</v>
      </c>
      <c r="W44">
        <v>383.860657</v>
      </c>
      <c r="X44">
        <v>385.70626800000002</v>
      </c>
      <c r="Y44">
        <v>387.97345000000001</v>
      </c>
      <c r="Z44">
        <v>391.06152300000002</v>
      </c>
      <c r="AA44">
        <v>394.662262</v>
      </c>
      <c r="AB44">
        <v>398.46346999999997</v>
      </c>
      <c r="AC44">
        <v>402.75805700000001</v>
      </c>
      <c r="AD44">
        <v>407.94180299999999</v>
      </c>
      <c r="AE44">
        <v>413.58783</v>
      </c>
      <c r="AF44">
        <v>419.52957199999997</v>
      </c>
      <c r="AG44">
        <v>426.11764499999998</v>
      </c>
      <c r="AH44">
        <v>433.09433000000001</v>
      </c>
      <c r="AI44" s="22">
        <v>-5.0000000000000001E-3</v>
      </c>
    </row>
    <row r="45" spans="1:35">
      <c r="A45" t="s">
        <v>235</v>
      </c>
      <c r="B45" t="s">
        <v>1730</v>
      </c>
      <c r="C45" t="s">
        <v>1731</v>
      </c>
      <c r="D45" t="s">
        <v>201</v>
      </c>
      <c r="F45">
        <v>197.09033199999999</v>
      </c>
      <c r="G45">
        <v>201.26857000000001</v>
      </c>
      <c r="H45">
        <v>206.06437700000001</v>
      </c>
      <c r="I45">
        <v>211.38995399999999</v>
      </c>
      <c r="J45">
        <v>216.262878</v>
      </c>
      <c r="K45">
        <v>219.178146</v>
      </c>
      <c r="L45">
        <v>221.272842</v>
      </c>
      <c r="M45">
        <v>223.02633700000001</v>
      </c>
      <c r="N45">
        <v>225.39292900000001</v>
      </c>
      <c r="O45">
        <v>228.195145</v>
      </c>
      <c r="P45">
        <v>232.10806299999999</v>
      </c>
      <c r="Q45">
        <v>236.13992300000001</v>
      </c>
      <c r="R45">
        <v>239.99026499999999</v>
      </c>
      <c r="S45">
        <v>244.10591099999999</v>
      </c>
      <c r="T45">
        <v>247.91830400000001</v>
      </c>
      <c r="U45">
        <v>252.39035000000001</v>
      </c>
      <c r="V45">
        <v>256.58529700000003</v>
      </c>
      <c r="W45">
        <v>260.04367100000002</v>
      </c>
      <c r="X45">
        <v>263.66922</v>
      </c>
      <c r="Y45">
        <v>268.157196</v>
      </c>
      <c r="Z45">
        <v>272.69494600000002</v>
      </c>
      <c r="AA45">
        <v>276.627747</v>
      </c>
      <c r="AB45">
        <v>280.18627900000001</v>
      </c>
      <c r="AC45">
        <v>283.63119499999999</v>
      </c>
      <c r="AD45">
        <v>287.394745</v>
      </c>
      <c r="AE45">
        <v>291.14355499999999</v>
      </c>
      <c r="AF45">
        <v>294.69296300000002</v>
      </c>
      <c r="AG45">
        <v>298.480591</v>
      </c>
      <c r="AH45">
        <v>302.51641799999999</v>
      </c>
      <c r="AI45" s="22">
        <v>1.4999999999999999E-2</v>
      </c>
    </row>
    <row r="46" spans="1:35">
      <c r="A46" t="s">
        <v>192</v>
      </c>
      <c r="B46" t="s">
        <v>1732</v>
      </c>
      <c r="C46" t="s">
        <v>1733</v>
      </c>
      <c r="D46" t="s">
        <v>201</v>
      </c>
      <c r="F46">
        <v>8.8570000000000003E-3</v>
      </c>
      <c r="G46">
        <v>7.2086999999999998E-2</v>
      </c>
      <c r="H46">
        <v>0.13471</v>
      </c>
      <c r="I46">
        <v>0.19301199999999999</v>
      </c>
      <c r="J46">
        <v>0.24727499999999999</v>
      </c>
      <c r="K46">
        <v>0.29535499999999998</v>
      </c>
      <c r="L46">
        <v>0.33980399999999999</v>
      </c>
      <c r="M46">
        <v>0.38144499999999998</v>
      </c>
      <c r="N46">
        <v>0.42167100000000002</v>
      </c>
      <c r="O46">
        <v>0.46169700000000002</v>
      </c>
      <c r="P46">
        <v>0.50309700000000002</v>
      </c>
      <c r="Q46">
        <v>0.54411500000000002</v>
      </c>
      <c r="R46">
        <v>0.58357700000000001</v>
      </c>
      <c r="S46">
        <v>0.62368699999999999</v>
      </c>
      <c r="T46">
        <v>0.66417899999999996</v>
      </c>
      <c r="U46">
        <v>0.70931200000000005</v>
      </c>
      <c r="V46">
        <v>0.75850799999999996</v>
      </c>
      <c r="W46">
        <v>0.81182399999999999</v>
      </c>
      <c r="X46">
        <v>0.87161</v>
      </c>
      <c r="Y46">
        <v>0.93724099999999999</v>
      </c>
      <c r="Z46">
        <v>1.0095240000000001</v>
      </c>
      <c r="AA46">
        <v>1.087445</v>
      </c>
      <c r="AB46">
        <v>1.1688320000000001</v>
      </c>
      <c r="AC46">
        <v>1.2558339999999999</v>
      </c>
      <c r="AD46">
        <v>1.35043</v>
      </c>
      <c r="AE46">
        <v>1.45109</v>
      </c>
      <c r="AF46">
        <v>1.556732</v>
      </c>
      <c r="AG46">
        <v>1.6688339999999999</v>
      </c>
      <c r="AH46">
        <v>1.786314</v>
      </c>
      <c r="AI46" s="22">
        <v>0.20899999999999999</v>
      </c>
    </row>
    <row r="47" spans="1:35">
      <c r="A47" t="s">
        <v>195</v>
      </c>
      <c r="B47" t="s">
        <v>1734</v>
      </c>
      <c r="C47" t="s">
        <v>1735</v>
      </c>
      <c r="D47" t="s">
        <v>201</v>
      </c>
      <c r="F47">
        <v>0.192854</v>
      </c>
      <c r="G47">
        <v>0.175927</v>
      </c>
      <c r="H47">
        <v>0.16134599999999999</v>
      </c>
      <c r="I47">
        <v>0.148507</v>
      </c>
      <c r="J47">
        <v>0.13669799999999999</v>
      </c>
      <c r="K47">
        <v>0.12523899999999999</v>
      </c>
      <c r="L47">
        <v>0.114492</v>
      </c>
      <c r="M47">
        <v>0.104583</v>
      </c>
      <c r="N47">
        <v>9.5825999999999995E-2</v>
      </c>
      <c r="O47">
        <v>8.8041999999999995E-2</v>
      </c>
      <c r="P47">
        <v>8.1095E-2</v>
      </c>
      <c r="Q47">
        <v>7.4130000000000001E-2</v>
      </c>
      <c r="R47">
        <v>6.6986000000000004E-2</v>
      </c>
      <c r="S47">
        <v>5.9619999999999999E-2</v>
      </c>
      <c r="T47">
        <v>5.2169E-2</v>
      </c>
      <c r="U47">
        <v>4.4464999999999998E-2</v>
      </c>
      <c r="V47">
        <v>3.7345999999999997E-2</v>
      </c>
      <c r="W47">
        <v>3.0891999999999999E-2</v>
      </c>
      <c r="X47">
        <v>2.4523E-2</v>
      </c>
      <c r="Y47">
        <v>1.9553999999999998E-2</v>
      </c>
      <c r="Z47">
        <v>1.5955E-2</v>
      </c>
      <c r="AA47">
        <v>1.3365E-2</v>
      </c>
      <c r="AB47">
        <v>1.17E-2</v>
      </c>
      <c r="AC47">
        <v>1.0548999999999999E-2</v>
      </c>
      <c r="AD47">
        <v>9.6310000000000007E-3</v>
      </c>
      <c r="AE47">
        <v>8.9779999999999999E-3</v>
      </c>
      <c r="AF47">
        <v>8.1410000000000007E-3</v>
      </c>
      <c r="AG47">
        <v>7.1910000000000003E-3</v>
      </c>
      <c r="AH47">
        <v>6.0070000000000002E-3</v>
      </c>
      <c r="AI47" s="22">
        <v>-0.11700000000000001</v>
      </c>
    </row>
    <row r="48" spans="1:35">
      <c r="A48" t="s">
        <v>236</v>
      </c>
      <c r="B48" t="s">
        <v>1736</v>
      </c>
      <c r="C48" t="s">
        <v>1737</v>
      </c>
      <c r="D48" t="s">
        <v>201</v>
      </c>
      <c r="F48">
        <v>46.30368</v>
      </c>
      <c r="G48">
        <v>45.147464999999997</v>
      </c>
      <c r="H48">
        <v>44.153458000000001</v>
      </c>
      <c r="I48">
        <v>43.265628999999997</v>
      </c>
      <c r="J48">
        <v>42.385063000000002</v>
      </c>
      <c r="K48">
        <v>41.373074000000003</v>
      </c>
      <c r="L48">
        <v>40.410004000000001</v>
      </c>
      <c r="M48">
        <v>39.551361</v>
      </c>
      <c r="N48">
        <v>38.888568999999997</v>
      </c>
      <c r="O48">
        <v>38.416331999999997</v>
      </c>
      <c r="P48">
        <v>38.143318000000001</v>
      </c>
      <c r="Q48">
        <v>37.850304000000001</v>
      </c>
      <c r="R48">
        <v>37.347014999999999</v>
      </c>
      <c r="S48">
        <v>36.758690000000001</v>
      </c>
      <c r="T48">
        <v>35.986319999999999</v>
      </c>
      <c r="U48">
        <v>35.266883999999997</v>
      </c>
      <c r="V48">
        <v>34.371727</v>
      </c>
      <c r="W48">
        <v>33.439532999999997</v>
      </c>
      <c r="X48">
        <v>32.662486999999999</v>
      </c>
      <c r="Y48">
        <v>32.055050000000001</v>
      </c>
      <c r="Z48">
        <v>31.636341000000002</v>
      </c>
      <c r="AA48">
        <v>31.408114999999999</v>
      </c>
      <c r="AB48">
        <v>31.356092</v>
      </c>
      <c r="AC48">
        <v>31.392386999999999</v>
      </c>
      <c r="AD48">
        <v>31.533971999999999</v>
      </c>
      <c r="AE48">
        <v>31.735731000000001</v>
      </c>
      <c r="AF48">
        <v>31.973125</v>
      </c>
      <c r="AG48">
        <v>32.235847</v>
      </c>
      <c r="AH48">
        <v>32.518433000000002</v>
      </c>
      <c r="AI48" s="22">
        <v>-1.2999999999999999E-2</v>
      </c>
    </row>
    <row r="49" spans="1:35">
      <c r="A49" t="s">
        <v>237</v>
      </c>
      <c r="B49" t="s">
        <v>1738</v>
      </c>
      <c r="C49" t="s">
        <v>1739</v>
      </c>
      <c r="D49" t="s">
        <v>201</v>
      </c>
      <c r="F49">
        <v>4.6360000000000004E-3</v>
      </c>
      <c r="G49">
        <v>4.2170000000000003E-3</v>
      </c>
      <c r="H49">
        <v>3.882E-3</v>
      </c>
      <c r="I49">
        <v>3.62E-3</v>
      </c>
      <c r="J49">
        <v>3.4129999999999998E-3</v>
      </c>
      <c r="K49">
        <v>3.241E-3</v>
      </c>
      <c r="L49">
        <v>3.107E-3</v>
      </c>
      <c r="M49">
        <v>2.9020000000000001E-3</v>
      </c>
      <c r="N49">
        <v>2.6519999999999998E-3</v>
      </c>
      <c r="O49">
        <v>2.4220000000000001E-3</v>
      </c>
      <c r="P49">
        <v>2.2169999999999998E-3</v>
      </c>
      <c r="Q49">
        <v>1.856E-3</v>
      </c>
      <c r="R49">
        <v>1.4549999999999999E-3</v>
      </c>
      <c r="S49">
        <v>1.142E-3</v>
      </c>
      <c r="T49">
        <v>8.9400000000000005E-4</v>
      </c>
      <c r="U49">
        <v>7.0100000000000002E-4</v>
      </c>
      <c r="V49">
        <v>5.4799999999999998E-4</v>
      </c>
      <c r="W49">
        <v>4.2700000000000002E-4</v>
      </c>
      <c r="X49">
        <v>3.79E-4</v>
      </c>
      <c r="Y49">
        <v>3.6900000000000002E-4</v>
      </c>
      <c r="Z49">
        <v>3.59E-4</v>
      </c>
      <c r="AA49">
        <v>3.48E-4</v>
      </c>
      <c r="AB49">
        <v>2.81E-4</v>
      </c>
      <c r="AC49">
        <v>1.9699999999999999E-4</v>
      </c>
      <c r="AD49">
        <v>1.3799999999999999E-4</v>
      </c>
      <c r="AE49">
        <v>9.7E-5</v>
      </c>
      <c r="AF49">
        <v>6.7999999999999999E-5</v>
      </c>
      <c r="AG49">
        <v>4.8000000000000001E-5</v>
      </c>
      <c r="AH49">
        <v>3.3000000000000003E-5</v>
      </c>
      <c r="AI49" s="22">
        <v>-0.16200000000000001</v>
      </c>
    </row>
    <row r="50" spans="1:35">
      <c r="A50" t="s">
        <v>238</v>
      </c>
      <c r="B50" t="s">
        <v>1740</v>
      </c>
      <c r="C50" t="s">
        <v>1741</v>
      </c>
      <c r="D50" t="s">
        <v>201</v>
      </c>
      <c r="F50">
        <v>0</v>
      </c>
      <c r="G50">
        <v>3.1223000000000001E-2</v>
      </c>
      <c r="H50">
        <v>6.2052000000000003E-2</v>
      </c>
      <c r="I50">
        <v>9.4270999999999994E-2</v>
      </c>
      <c r="J50">
        <v>0.12647800000000001</v>
      </c>
      <c r="K50">
        <v>0.15697800000000001</v>
      </c>
      <c r="L50">
        <v>0.18640999999999999</v>
      </c>
      <c r="M50">
        <v>0.214703</v>
      </c>
      <c r="N50">
        <v>0.24248700000000001</v>
      </c>
      <c r="O50">
        <v>0.27023999999999998</v>
      </c>
      <c r="P50">
        <v>0.29915000000000003</v>
      </c>
      <c r="Q50">
        <v>0.32853300000000002</v>
      </c>
      <c r="R50">
        <v>0.35842000000000002</v>
      </c>
      <c r="S50">
        <v>0.39030399999999998</v>
      </c>
      <c r="T50">
        <v>0.42387000000000002</v>
      </c>
      <c r="U50">
        <v>0.46174199999999999</v>
      </c>
      <c r="V50">
        <v>0.50373699999999999</v>
      </c>
      <c r="W50">
        <v>0.55010000000000003</v>
      </c>
      <c r="X50">
        <v>0.60294199999999998</v>
      </c>
      <c r="Y50">
        <v>0.66208199999999995</v>
      </c>
      <c r="Z50">
        <v>0.72731500000000004</v>
      </c>
      <c r="AA50">
        <v>0.79698999999999998</v>
      </c>
      <c r="AB50">
        <v>0.87017100000000003</v>
      </c>
      <c r="AC50">
        <v>0.94737499999999997</v>
      </c>
      <c r="AD50">
        <v>1.0282020000000001</v>
      </c>
      <c r="AE50">
        <v>1.111251</v>
      </c>
      <c r="AF50">
        <v>1.195668</v>
      </c>
      <c r="AG50">
        <v>1.282565</v>
      </c>
      <c r="AH50">
        <v>1.3711439999999999</v>
      </c>
      <c r="AI50" t="s">
        <v>111</v>
      </c>
    </row>
    <row r="51" spans="1:35">
      <c r="A51" t="s">
        <v>239</v>
      </c>
      <c r="B51" t="s">
        <v>1742</v>
      </c>
      <c r="C51" t="s">
        <v>1743</v>
      </c>
      <c r="D51" t="s">
        <v>201</v>
      </c>
      <c r="F51">
        <v>0</v>
      </c>
      <c r="G51">
        <v>3.7399000000000002E-2</v>
      </c>
      <c r="H51">
        <v>7.4163000000000007E-2</v>
      </c>
      <c r="I51">
        <v>0.11178100000000001</v>
      </c>
      <c r="J51">
        <v>0.14894499999999999</v>
      </c>
      <c r="K51">
        <v>0.18398300000000001</v>
      </c>
      <c r="L51">
        <v>0.21740999999999999</v>
      </c>
      <c r="M51">
        <v>0.24943899999999999</v>
      </c>
      <c r="N51">
        <v>0.28114099999999997</v>
      </c>
      <c r="O51">
        <v>0.31350499999999998</v>
      </c>
      <c r="P51">
        <v>0.34805000000000003</v>
      </c>
      <c r="Q51">
        <v>0.38410100000000003</v>
      </c>
      <c r="R51">
        <v>0.42158600000000002</v>
      </c>
      <c r="S51">
        <v>0.46238800000000002</v>
      </c>
      <c r="T51">
        <v>0.506243</v>
      </c>
      <c r="U51">
        <v>0.55655399999999999</v>
      </c>
      <c r="V51">
        <v>0.61326000000000003</v>
      </c>
      <c r="W51">
        <v>0.67687399999999998</v>
      </c>
      <c r="X51">
        <v>0.75017900000000004</v>
      </c>
      <c r="Y51">
        <v>0.83308300000000002</v>
      </c>
      <c r="Z51">
        <v>0.92514799999999997</v>
      </c>
      <c r="AA51">
        <v>1.0241309999999999</v>
      </c>
      <c r="AB51">
        <v>1.1286910000000001</v>
      </c>
      <c r="AC51">
        <v>1.239614</v>
      </c>
      <c r="AD51">
        <v>1.356347</v>
      </c>
      <c r="AE51">
        <v>1.4767459999999999</v>
      </c>
      <c r="AF51">
        <v>1.599477</v>
      </c>
      <c r="AG51">
        <v>1.725881</v>
      </c>
      <c r="AH51">
        <v>1.854649</v>
      </c>
      <c r="AI51" t="s">
        <v>111</v>
      </c>
    </row>
    <row r="52" spans="1:35">
      <c r="A52" t="s">
        <v>240</v>
      </c>
      <c r="B52" t="s">
        <v>1744</v>
      </c>
      <c r="C52" t="s">
        <v>1745</v>
      </c>
      <c r="D52" t="s">
        <v>201</v>
      </c>
      <c r="F52">
        <v>0</v>
      </c>
      <c r="G52">
        <v>0</v>
      </c>
      <c r="H52">
        <v>1.2E-5</v>
      </c>
      <c r="I52">
        <v>2.6999999999999999E-5</v>
      </c>
      <c r="J52">
        <v>4.3000000000000002E-5</v>
      </c>
      <c r="K52">
        <v>5.8E-5</v>
      </c>
      <c r="L52">
        <v>7.2000000000000002E-5</v>
      </c>
      <c r="M52">
        <v>8.6000000000000003E-5</v>
      </c>
      <c r="N52">
        <v>9.8999999999999994E-5</v>
      </c>
      <c r="O52">
        <v>1.12E-4</v>
      </c>
      <c r="P52">
        <v>1.2400000000000001E-4</v>
      </c>
      <c r="Q52">
        <v>1.36E-4</v>
      </c>
      <c r="R52">
        <v>1.46E-4</v>
      </c>
      <c r="S52">
        <v>1.56E-4</v>
      </c>
      <c r="T52">
        <v>1.65E-4</v>
      </c>
      <c r="U52">
        <v>1.73E-4</v>
      </c>
      <c r="V52">
        <v>1.8000000000000001E-4</v>
      </c>
      <c r="W52">
        <v>1.8599999999999999E-4</v>
      </c>
      <c r="X52">
        <v>1.92E-4</v>
      </c>
      <c r="Y52">
        <v>1.9699999999999999E-4</v>
      </c>
      <c r="Z52">
        <v>2.0100000000000001E-4</v>
      </c>
      <c r="AA52">
        <v>2.04E-4</v>
      </c>
      <c r="AB52">
        <v>2.05E-4</v>
      </c>
      <c r="AC52">
        <v>2.0599999999999999E-4</v>
      </c>
      <c r="AD52">
        <v>2.05E-4</v>
      </c>
      <c r="AE52">
        <v>2.03E-4</v>
      </c>
      <c r="AF52">
        <v>1.9900000000000001E-4</v>
      </c>
      <c r="AG52">
        <v>1.94E-4</v>
      </c>
      <c r="AH52">
        <v>1.8799999999999999E-4</v>
      </c>
      <c r="AI52" t="s">
        <v>111</v>
      </c>
    </row>
    <row r="53" spans="1:35">
      <c r="A53" t="s">
        <v>241</v>
      </c>
      <c r="B53" t="s">
        <v>1746</v>
      </c>
      <c r="C53" t="s">
        <v>1747</v>
      </c>
      <c r="D53" t="s">
        <v>201</v>
      </c>
      <c r="F53">
        <v>748.63757299999997</v>
      </c>
      <c r="G53">
        <v>732.18170199999997</v>
      </c>
      <c r="H53">
        <v>720.22216800000001</v>
      </c>
      <c r="I53">
        <v>712.26519800000005</v>
      </c>
      <c r="J53">
        <v>704.637024</v>
      </c>
      <c r="K53">
        <v>693.10351600000001</v>
      </c>
      <c r="L53">
        <v>681.51892099999998</v>
      </c>
      <c r="M53">
        <v>670.97229000000004</v>
      </c>
      <c r="N53">
        <v>664.22985800000004</v>
      </c>
      <c r="O53">
        <v>660.79852300000005</v>
      </c>
      <c r="P53">
        <v>661.24548300000004</v>
      </c>
      <c r="Q53">
        <v>662.36968999999999</v>
      </c>
      <c r="R53">
        <v>663.70306400000004</v>
      </c>
      <c r="S53">
        <v>666.36871299999996</v>
      </c>
      <c r="T53">
        <v>668.24139400000001</v>
      </c>
      <c r="U53">
        <v>672.17394999999999</v>
      </c>
      <c r="V53">
        <v>676.034851</v>
      </c>
      <c r="W53">
        <v>679.41394000000003</v>
      </c>
      <c r="X53">
        <v>684.28704800000003</v>
      </c>
      <c r="Y53">
        <v>690.63824499999998</v>
      </c>
      <c r="Z53">
        <v>698.07128899999998</v>
      </c>
      <c r="AA53">
        <v>705.62066700000003</v>
      </c>
      <c r="AB53">
        <v>713.18554700000004</v>
      </c>
      <c r="AC53">
        <v>721.23504600000001</v>
      </c>
      <c r="AD53">
        <v>730.61511199999995</v>
      </c>
      <c r="AE53">
        <v>740.51525900000001</v>
      </c>
      <c r="AF53">
        <v>750.55535899999995</v>
      </c>
      <c r="AG53">
        <v>761.51879899999994</v>
      </c>
      <c r="AH53">
        <v>773.14739999999995</v>
      </c>
      <c r="AI53" s="22">
        <v>1E-3</v>
      </c>
    </row>
    <row r="54" spans="1:35">
      <c r="A54" t="s">
        <v>171</v>
      </c>
    </row>
    <row r="55" spans="1:35">
      <c r="A55" t="s">
        <v>189</v>
      </c>
      <c r="B55" t="s">
        <v>1748</v>
      </c>
      <c r="C55" t="s">
        <v>1749</v>
      </c>
      <c r="D55" t="s">
        <v>201</v>
      </c>
      <c r="F55">
        <v>596.71069299999999</v>
      </c>
      <c r="G55">
        <v>577.86407499999996</v>
      </c>
      <c r="H55">
        <v>561.91143799999998</v>
      </c>
      <c r="I55">
        <v>551.58679199999995</v>
      </c>
      <c r="J55">
        <v>544.22857699999997</v>
      </c>
      <c r="K55">
        <v>535.85253899999998</v>
      </c>
      <c r="L55">
        <v>527.97473100000002</v>
      </c>
      <c r="M55">
        <v>519.22680700000001</v>
      </c>
      <c r="N55">
        <v>511.23809799999998</v>
      </c>
      <c r="O55">
        <v>504.13198899999998</v>
      </c>
      <c r="P55">
        <v>499.34158300000001</v>
      </c>
      <c r="Q55">
        <v>494.26428199999998</v>
      </c>
      <c r="R55">
        <v>488.88336199999998</v>
      </c>
      <c r="S55">
        <v>484.94207799999998</v>
      </c>
      <c r="T55">
        <v>481.30944799999997</v>
      </c>
      <c r="U55">
        <v>479.89810199999999</v>
      </c>
      <c r="V55">
        <v>478.96508799999998</v>
      </c>
      <c r="W55">
        <v>477.97808800000001</v>
      </c>
      <c r="X55">
        <v>477.87914999999998</v>
      </c>
      <c r="Y55">
        <v>477.79556300000002</v>
      </c>
      <c r="Z55">
        <v>478.32308999999998</v>
      </c>
      <c r="AA55">
        <v>479.55770899999999</v>
      </c>
      <c r="AB55">
        <v>481.22937000000002</v>
      </c>
      <c r="AC55">
        <v>482.93978900000002</v>
      </c>
      <c r="AD55">
        <v>484.90911899999998</v>
      </c>
      <c r="AE55">
        <v>487.035797</v>
      </c>
      <c r="AF55">
        <v>489.28424100000001</v>
      </c>
      <c r="AG55">
        <v>492.56643700000001</v>
      </c>
      <c r="AH55">
        <v>496.462738</v>
      </c>
      <c r="AI55" s="22">
        <v>-7.0000000000000001E-3</v>
      </c>
    </row>
    <row r="56" spans="1:35">
      <c r="A56" t="s">
        <v>235</v>
      </c>
      <c r="B56" t="s">
        <v>1750</v>
      </c>
      <c r="C56" t="s">
        <v>1751</v>
      </c>
      <c r="D56" t="s">
        <v>201</v>
      </c>
      <c r="F56">
        <v>361.335083</v>
      </c>
      <c r="G56">
        <v>350.68691999999999</v>
      </c>
      <c r="H56">
        <v>342.39187600000002</v>
      </c>
      <c r="I56">
        <v>336.454407</v>
      </c>
      <c r="J56">
        <v>332.32705700000002</v>
      </c>
      <c r="K56">
        <v>327.322113</v>
      </c>
      <c r="L56">
        <v>322.78909299999998</v>
      </c>
      <c r="M56">
        <v>318.01577800000001</v>
      </c>
      <c r="N56">
        <v>313.64859000000001</v>
      </c>
      <c r="O56">
        <v>309.65252700000002</v>
      </c>
      <c r="P56">
        <v>307.22006199999998</v>
      </c>
      <c r="Q56">
        <v>304.33242799999999</v>
      </c>
      <c r="R56">
        <v>301.408997</v>
      </c>
      <c r="S56">
        <v>299.17279100000002</v>
      </c>
      <c r="T56">
        <v>296.57843000000003</v>
      </c>
      <c r="U56">
        <v>295.55175800000001</v>
      </c>
      <c r="V56">
        <v>293.95367399999998</v>
      </c>
      <c r="W56">
        <v>293.10812399999998</v>
      </c>
      <c r="X56">
        <v>292.27783199999999</v>
      </c>
      <c r="Y56">
        <v>291.80944799999997</v>
      </c>
      <c r="Z56">
        <v>291.92584199999999</v>
      </c>
      <c r="AA56">
        <v>292.504211</v>
      </c>
      <c r="AB56">
        <v>293.29244999999997</v>
      </c>
      <c r="AC56">
        <v>293.97250400000001</v>
      </c>
      <c r="AD56">
        <v>294.81460600000003</v>
      </c>
      <c r="AE56">
        <v>295.618134</v>
      </c>
      <c r="AF56">
        <v>296.45013399999999</v>
      </c>
      <c r="AG56">
        <v>297.938019</v>
      </c>
      <c r="AH56">
        <v>299.64453099999997</v>
      </c>
      <c r="AI56" s="22">
        <v>-7.0000000000000001E-3</v>
      </c>
    </row>
    <row r="57" spans="1:35">
      <c r="A57" t="s">
        <v>192</v>
      </c>
      <c r="B57" t="s">
        <v>1752</v>
      </c>
      <c r="C57" t="s">
        <v>1753</v>
      </c>
      <c r="D57" t="s">
        <v>201</v>
      </c>
      <c r="F57">
        <v>0.66393199999999997</v>
      </c>
      <c r="G57">
        <v>0.67068700000000003</v>
      </c>
      <c r="H57">
        <v>0.67880300000000005</v>
      </c>
      <c r="I57">
        <v>0.69245299999999999</v>
      </c>
      <c r="J57">
        <v>0.71065699999999998</v>
      </c>
      <c r="K57">
        <v>0.72716999999999998</v>
      </c>
      <c r="L57">
        <v>0.74464799999999998</v>
      </c>
      <c r="M57">
        <v>0.760656</v>
      </c>
      <c r="N57">
        <v>0.77964599999999995</v>
      </c>
      <c r="O57">
        <v>0.80235199999999995</v>
      </c>
      <c r="P57">
        <v>0.83257599999999998</v>
      </c>
      <c r="Q57">
        <v>0.86914499999999995</v>
      </c>
      <c r="R57">
        <v>0.90859400000000001</v>
      </c>
      <c r="S57">
        <v>0.945886</v>
      </c>
      <c r="T57">
        <v>0.98561200000000004</v>
      </c>
      <c r="U57">
        <v>1.0343070000000001</v>
      </c>
      <c r="V57">
        <v>1.0903769999999999</v>
      </c>
      <c r="W57">
        <v>1.153419</v>
      </c>
      <c r="X57">
        <v>1.225795</v>
      </c>
      <c r="Y57">
        <v>1.3056989999999999</v>
      </c>
      <c r="Z57">
        <v>1.3922490000000001</v>
      </c>
      <c r="AA57">
        <v>1.484488</v>
      </c>
      <c r="AB57">
        <v>1.5809979999999999</v>
      </c>
      <c r="AC57">
        <v>1.6801299999999999</v>
      </c>
      <c r="AD57">
        <v>1.7820590000000001</v>
      </c>
      <c r="AE57">
        <v>1.884468</v>
      </c>
      <c r="AF57">
        <v>1.9861610000000001</v>
      </c>
      <c r="AG57">
        <v>2.0826009999999999</v>
      </c>
      <c r="AH57">
        <v>2.1823290000000002</v>
      </c>
      <c r="AI57" s="22">
        <v>4.2999999999999997E-2</v>
      </c>
    </row>
    <row r="58" spans="1:35">
      <c r="A58" t="s">
        <v>195</v>
      </c>
      <c r="B58" t="s">
        <v>1754</v>
      </c>
      <c r="C58" t="s">
        <v>1755</v>
      </c>
      <c r="D58" t="s">
        <v>201</v>
      </c>
      <c r="F58">
        <v>0.76294700000000004</v>
      </c>
      <c r="G58">
        <v>0.71779700000000002</v>
      </c>
      <c r="H58">
        <v>0.67420999999999998</v>
      </c>
      <c r="I58">
        <v>0.63435699999999995</v>
      </c>
      <c r="J58">
        <v>0.59662400000000004</v>
      </c>
      <c r="K58">
        <v>0.55701900000000004</v>
      </c>
      <c r="L58">
        <v>0.51948000000000005</v>
      </c>
      <c r="M58">
        <v>0.48167900000000002</v>
      </c>
      <c r="N58">
        <v>0.44507600000000003</v>
      </c>
      <c r="O58">
        <v>0.41159099999999998</v>
      </c>
      <c r="P58">
        <v>0.38195299999999999</v>
      </c>
      <c r="Q58">
        <v>0.353408</v>
      </c>
      <c r="R58">
        <v>0.32573099999999999</v>
      </c>
      <c r="S58">
        <v>0.30006699999999997</v>
      </c>
      <c r="T58">
        <v>0.27565400000000001</v>
      </c>
      <c r="U58">
        <v>0.25478499999999998</v>
      </c>
      <c r="V58">
        <v>0.23588799999999999</v>
      </c>
      <c r="W58">
        <v>0.21936</v>
      </c>
      <c r="X58">
        <v>0.204011</v>
      </c>
      <c r="Y58">
        <v>0.18836</v>
      </c>
      <c r="Z58">
        <v>0.17463999999999999</v>
      </c>
      <c r="AA58">
        <v>0.158723</v>
      </c>
      <c r="AB58">
        <v>0.14244699999999999</v>
      </c>
      <c r="AC58">
        <v>0.12915199999999999</v>
      </c>
      <c r="AD58">
        <v>0.118099</v>
      </c>
      <c r="AE58">
        <v>0.106783</v>
      </c>
      <c r="AF58">
        <v>9.5460000000000003E-2</v>
      </c>
      <c r="AG58">
        <v>8.5358000000000003E-2</v>
      </c>
      <c r="AH58">
        <v>7.6896000000000006E-2</v>
      </c>
      <c r="AI58" s="22">
        <v>-7.9000000000000001E-2</v>
      </c>
    </row>
    <row r="59" spans="1:35">
      <c r="A59" t="s">
        <v>236</v>
      </c>
      <c r="B59" t="s">
        <v>1756</v>
      </c>
      <c r="C59" t="s">
        <v>1757</v>
      </c>
      <c r="D59" t="s">
        <v>201</v>
      </c>
      <c r="F59">
        <v>10.430758000000001</v>
      </c>
      <c r="G59">
        <v>10.828306</v>
      </c>
      <c r="H59">
        <v>11.286505999999999</v>
      </c>
      <c r="I59">
        <v>11.871587</v>
      </c>
      <c r="J59">
        <v>12.567764</v>
      </c>
      <c r="K59">
        <v>13.31671</v>
      </c>
      <c r="L59">
        <v>14.132089000000001</v>
      </c>
      <c r="M59">
        <v>14.969037999999999</v>
      </c>
      <c r="N59">
        <v>15.886168</v>
      </c>
      <c r="O59">
        <v>16.907169</v>
      </c>
      <c r="P59">
        <v>18.109857999999999</v>
      </c>
      <c r="Q59">
        <v>19.412040999999999</v>
      </c>
      <c r="R59">
        <v>20.819136</v>
      </c>
      <c r="S59">
        <v>22.333103000000001</v>
      </c>
      <c r="T59">
        <v>23.839766999999998</v>
      </c>
      <c r="U59">
        <v>25.520502</v>
      </c>
      <c r="V59">
        <v>27.246191</v>
      </c>
      <c r="W59">
        <v>28.969595000000002</v>
      </c>
      <c r="X59">
        <v>30.822426</v>
      </c>
      <c r="Y59">
        <v>32.632908</v>
      </c>
      <c r="Z59">
        <v>34.439242999999998</v>
      </c>
      <c r="AA59">
        <v>36.195014999999998</v>
      </c>
      <c r="AB59">
        <v>37.869453</v>
      </c>
      <c r="AC59">
        <v>39.473038000000003</v>
      </c>
      <c r="AD59">
        <v>41.030662999999997</v>
      </c>
      <c r="AE59">
        <v>42.506256</v>
      </c>
      <c r="AF59">
        <v>43.889240000000001</v>
      </c>
      <c r="AG59">
        <v>45.314704999999996</v>
      </c>
      <c r="AH59">
        <v>46.748733999999999</v>
      </c>
      <c r="AI59" s="22">
        <v>5.5E-2</v>
      </c>
    </row>
    <row r="60" spans="1:35">
      <c r="A60" t="s">
        <v>237</v>
      </c>
      <c r="B60" t="s">
        <v>1758</v>
      </c>
      <c r="C60" t="s">
        <v>1759</v>
      </c>
      <c r="D60" t="s">
        <v>201</v>
      </c>
      <c r="F60">
        <v>3.7860999999999999E-2</v>
      </c>
      <c r="G60">
        <v>4.3709999999999999E-2</v>
      </c>
      <c r="H60">
        <v>4.7997999999999999E-2</v>
      </c>
      <c r="I60">
        <v>5.1563999999999999E-2</v>
      </c>
      <c r="J60">
        <v>5.4260999999999997E-2</v>
      </c>
      <c r="K60">
        <v>5.5766000000000003E-2</v>
      </c>
      <c r="L60">
        <v>5.6363999999999997E-2</v>
      </c>
      <c r="M60">
        <v>5.6127999999999997E-2</v>
      </c>
      <c r="N60">
        <v>5.5379999999999999E-2</v>
      </c>
      <c r="O60">
        <v>5.4268999999999998E-2</v>
      </c>
      <c r="P60">
        <v>5.2969000000000002E-2</v>
      </c>
      <c r="Q60">
        <v>5.1353999999999997E-2</v>
      </c>
      <c r="R60">
        <v>4.9551999999999999E-2</v>
      </c>
      <c r="S60">
        <v>4.7759999999999997E-2</v>
      </c>
      <c r="T60">
        <v>4.5504999999999997E-2</v>
      </c>
      <c r="U60">
        <v>4.3230999999999999E-2</v>
      </c>
      <c r="V60">
        <v>4.1355999999999997E-2</v>
      </c>
      <c r="W60">
        <v>3.9386999999999998E-2</v>
      </c>
      <c r="X60">
        <v>3.7150000000000002E-2</v>
      </c>
      <c r="Y60">
        <v>3.4993999999999997E-2</v>
      </c>
      <c r="Z60">
        <v>3.3027000000000001E-2</v>
      </c>
      <c r="AA60">
        <v>3.1154999999999999E-2</v>
      </c>
      <c r="AB60">
        <v>2.9354999999999999E-2</v>
      </c>
      <c r="AC60">
        <v>2.7653E-2</v>
      </c>
      <c r="AD60">
        <v>2.6076999999999999E-2</v>
      </c>
      <c r="AE60">
        <v>2.4584999999999999E-2</v>
      </c>
      <c r="AF60">
        <v>2.3174E-2</v>
      </c>
      <c r="AG60">
        <v>2.1876E-2</v>
      </c>
      <c r="AH60">
        <v>2.0629999999999999E-2</v>
      </c>
      <c r="AI60" s="22">
        <v>-2.1000000000000001E-2</v>
      </c>
    </row>
    <row r="61" spans="1:35">
      <c r="A61" t="s">
        <v>238</v>
      </c>
      <c r="B61" t="s">
        <v>1760</v>
      </c>
      <c r="C61" t="s">
        <v>1761</v>
      </c>
      <c r="D61" t="s">
        <v>201</v>
      </c>
      <c r="F61">
        <v>0</v>
      </c>
      <c r="G61">
        <v>0</v>
      </c>
      <c r="H61">
        <v>3.8661000000000001E-2</v>
      </c>
      <c r="I61">
        <v>7.6413999999999996E-2</v>
      </c>
      <c r="J61">
        <v>0.11343300000000001</v>
      </c>
      <c r="K61">
        <v>0.14805499999999999</v>
      </c>
      <c r="L61">
        <v>0.18076100000000001</v>
      </c>
      <c r="M61">
        <v>0.21062</v>
      </c>
      <c r="N61">
        <v>0.23810300000000001</v>
      </c>
      <c r="O61">
        <v>0.26388400000000001</v>
      </c>
      <c r="P61">
        <v>0.28945799999999999</v>
      </c>
      <c r="Q61">
        <v>0.31404100000000001</v>
      </c>
      <c r="R61">
        <v>0.33735700000000002</v>
      </c>
      <c r="S61">
        <v>0.36081600000000003</v>
      </c>
      <c r="T61">
        <v>0.38390299999999999</v>
      </c>
      <c r="U61">
        <v>0.40889700000000001</v>
      </c>
      <c r="V61">
        <v>0.435332</v>
      </c>
      <c r="W61">
        <v>0.46310400000000002</v>
      </c>
      <c r="X61">
        <v>0.49369800000000003</v>
      </c>
      <c r="Y61">
        <v>0.52685999999999999</v>
      </c>
      <c r="Z61">
        <v>0.56333100000000003</v>
      </c>
      <c r="AA61">
        <v>0.60099999999999998</v>
      </c>
      <c r="AB61">
        <v>0.64114800000000005</v>
      </c>
      <c r="AC61">
        <v>0.68338600000000005</v>
      </c>
      <c r="AD61">
        <v>0.72826199999999996</v>
      </c>
      <c r="AE61">
        <v>0.77503500000000003</v>
      </c>
      <c r="AF61">
        <v>0.82349799999999995</v>
      </c>
      <c r="AG61">
        <v>0.87576799999999999</v>
      </c>
      <c r="AH61">
        <v>0.93063399999999996</v>
      </c>
      <c r="AI61" t="s">
        <v>111</v>
      </c>
    </row>
    <row r="62" spans="1:35">
      <c r="A62" t="s">
        <v>239</v>
      </c>
      <c r="B62" t="s">
        <v>1762</v>
      </c>
      <c r="C62" t="s">
        <v>1763</v>
      </c>
      <c r="D62" t="s">
        <v>201</v>
      </c>
      <c r="F62">
        <v>0</v>
      </c>
      <c r="G62">
        <v>0</v>
      </c>
      <c r="H62">
        <v>4.8370000000000003E-2</v>
      </c>
      <c r="I62">
        <v>9.4232999999999997E-2</v>
      </c>
      <c r="J62">
        <v>0.13824400000000001</v>
      </c>
      <c r="K62">
        <v>0.17905299999999999</v>
      </c>
      <c r="L62">
        <v>0.21695200000000001</v>
      </c>
      <c r="M62">
        <v>0.25115599999999999</v>
      </c>
      <c r="N62">
        <v>0.28272599999999998</v>
      </c>
      <c r="O62">
        <v>0.313085</v>
      </c>
      <c r="P62">
        <v>0.344219</v>
      </c>
      <c r="Q62">
        <v>0.37559399999999998</v>
      </c>
      <c r="R62">
        <v>0.40673199999999998</v>
      </c>
      <c r="S62">
        <v>0.43945800000000002</v>
      </c>
      <c r="T62">
        <v>0.473408</v>
      </c>
      <c r="U62">
        <v>0.511772</v>
      </c>
      <c r="V62">
        <v>0.55420800000000003</v>
      </c>
      <c r="W62">
        <v>0.60096400000000005</v>
      </c>
      <c r="X62">
        <v>0.65425299999999997</v>
      </c>
      <c r="Y62">
        <v>0.71394500000000005</v>
      </c>
      <c r="Z62">
        <v>0.78086999999999995</v>
      </c>
      <c r="AA62">
        <v>0.85239799999999999</v>
      </c>
      <c r="AB62">
        <v>0.930037</v>
      </c>
      <c r="AC62">
        <v>1.013144</v>
      </c>
      <c r="AD62">
        <v>1.1022259999999999</v>
      </c>
      <c r="AE62">
        <v>1.195867</v>
      </c>
      <c r="AF62">
        <v>1.2934749999999999</v>
      </c>
      <c r="AG62">
        <v>1.3978710000000001</v>
      </c>
      <c r="AH62">
        <v>1.5072430000000001</v>
      </c>
      <c r="AI62" t="s">
        <v>111</v>
      </c>
    </row>
    <row r="63" spans="1:35">
      <c r="A63" t="s">
        <v>240</v>
      </c>
      <c r="B63" t="s">
        <v>1764</v>
      </c>
      <c r="C63" t="s">
        <v>1765</v>
      </c>
      <c r="D63" t="s">
        <v>201</v>
      </c>
      <c r="F63">
        <v>0</v>
      </c>
      <c r="G63">
        <v>0</v>
      </c>
      <c r="H63">
        <v>8.1702999999999998E-2</v>
      </c>
      <c r="I63">
        <v>0.16492399999999999</v>
      </c>
      <c r="J63">
        <v>0.249639</v>
      </c>
      <c r="K63">
        <v>0.33211400000000002</v>
      </c>
      <c r="L63">
        <v>0.41172500000000001</v>
      </c>
      <c r="M63">
        <v>0.48722900000000002</v>
      </c>
      <c r="N63">
        <v>0.55920099999999995</v>
      </c>
      <c r="O63">
        <v>0.62911099999999998</v>
      </c>
      <c r="P63">
        <v>0.70016299999999998</v>
      </c>
      <c r="Q63">
        <v>0.76988800000000002</v>
      </c>
      <c r="R63">
        <v>0.837453</v>
      </c>
      <c r="S63">
        <v>0.90615100000000004</v>
      </c>
      <c r="T63">
        <v>0.97520799999999996</v>
      </c>
      <c r="U63">
        <v>1.050481</v>
      </c>
      <c r="V63">
        <v>1.1308</v>
      </c>
      <c r="W63">
        <v>1.216048</v>
      </c>
      <c r="X63">
        <v>1.310146</v>
      </c>
      <c r="Y63">
        <v>1.412428</v>
      </c>
      <c r="Z63">
        <v>1.5248949999999999</v>
      </c>
      <c r="AA63">
        <v>1.643073</v>
      </c>
      <c r="AB63">
        <v>1.769298</v>
      </c>
      <c r="AC63">
        <v>1.902334</v>
      </c>
      <c r="AD63">
        <v>2.0436429999999999</v>
      </c>
      <c r="AE63">
        <v>2.1911909999999999</v>
      </c>
      <c r="AF63">
        <v>2.34422</v>
      </c>
      <c r="AG63">
        <v>2.5079220000000002</v>
      </c>
      <c r="AH63">
        <v>2.679551</v>
      </c>
      <c r="AI63" t="s">
        <v>111</v>
      </c>
    </row>
    <row r="64" spans="1:35">
      <c r="A64" t="s">
        <v>242</v>
      </c>
      <c r="B64" t="s">
        <v>1766</v>
      </c>
      <c r="C64" t="s">
        <v>1767</v>
      </c>
      <c r="D64" t="s">
        <v>201</v>
      </c>
      <c r="F64">
        <v>969.94104000000004</v>
      </c>
      <c r="G64">
        <v>940.81140100000005</v>
      </c>
      <c r="H64">
        <v>917.15948500000002</v>
      </c>
      <c r="I64">
        <v>901.62683100000004</v>
      </c>
      <c r="J64">
        <v>890.986267</v>
      </c>
      <c r="K64">
        <v>878.49066200000004</v>
      </c>
      <c r="L64">
        <v>867.02545199999997</v>
      </c>
      <c r="M64">
        <v>854.45935099999997</v>
      </c>
      <c r="N64">
        <v>843.13299600000005</v>
      </c>
      <c r="O64">
        <v>833.16625999999997</v>
      </c>
      <c r="P64">
        <v>827.27294900000004</v>
      </c>
      <c r="Q64">
        <v>820.74218800000006</v>
      </c>
      <c r="R64">
        <v>813.97717299999999</v>
      </c>
      <c r="S64">
        <v>809.44793700000002</v>
      </c>
      <c r="T64">
        <v>804.86724900000002</v>
      </c>
      <c r="U64">
        <v>804.27380400000004</v>
      </c>
      <c r="V64">
        <v>803.65301499999998</v>
      </c>
      <c r="W64">
        <v>803.74835199999995</v>
      </c>
      <c r="X64">
        <v>804.90423599999997</v>
      </c>
      <c r="Y64">
        <v>806.42053199999998</v>
      </c>
      <c r="Z64">
        <v>809.15692100000001</v>
      </c>
      <c r="AA64">
        <v>813.02740500000004</v>
      </c>
      <c r="AB64">
        <v>817.48468000000003</v>
      </c>
      <c r="AC64">
        <v>821.82128899999998</v>
      </c>
      <c r="AD64">
        <v>826.55474900000002</v>
      </c>
      <c r="AE64">
        <v>831.33837900000003</v>
      </c>
      <c r="AF64">
        <v>836.18963599999995</v>
      </c>
      <c r="AG64">
        <v>842.79064900000003</v>
      </c>
      <c r="AH64">
        <v>850.25305200000003</v>
      </c>
      <c r="AI64" s="22">
        <v>-5.0000000000000001E-3</v>
      </c>
    </row>
    <row r="65" spans="1:35">
      <c r="A65" t="s">
        <v>243</v>
      </c>
    </row>
    <row r="66" spans="1:35">
      <c r="A66" t="s">
        <v>189</v>
      </c>
      <c r="B66" t="s">
        <v>1768</v>
      </c>
      <c r="C66" t="s">
        <v>1769</v>
      </c>
      <c r="D66" t="s">
        <v>201</v>
      </c>
      <c r="F66">
        <v>4148.1689450000003</v>
      </c>
      <c r="G66">
        <v>4031.2768550000001</v>
      </c>
      <c r="H66">
        <v>3923.3715820000002</v>
      </c>
      <c r="I66">
        <v>3854.0532229999999</v>
      </c>
      <c r="J66">
        <v>3806.7148440000001</v>
      </c>
      <c r="K66">
        <v>3750.2373050000001</v>
      </c>
      <c r="L66">
        <v>3693.4155270000001</v>
      </c>
      <c r="M66">
        <v>3630.9484859999998</v>
      </c>
      <c r="N66">
        <v>3571.5920409999999</v>
      </c>
      <c r="O66">
        <v>3516.5554200000001</v>
      </c>
      <c r="P66">
        <v>3472.7036130000001</v>
      </c>
      <c r="Q66">
        <v>3426.9506839999999</v>
      </c>
      <c r="R66">
        <v>3378.28125</v>
      </c>
      <c r="S66">
        <v>3336.9165039999998</v>
      </c>
      <c r="T66">
        <v>3294.4421390000002</v>
      </c>
      <c r="U66">
        <v>3266.608643</v>
      </c>
      <c r="V66">
        <v>3244.7055660000001</v>
      </c>
      <c r="W66">
        <v>3221.592529</v>
      </c>
      <c r="X66">
        <v>3204.0227049999999</v>
      </c>
      <c r="Y66">
        <v>3185.608643</v>
      </c>
      <c r="Z66">
        <v>3171.5009770000001</v>
      </c>
      <c r="AA66">
        <v>3157.0290530000002</v>
      </c>
      <c r="AB66">
        <v>3141.9304200000001</v>
      </c>
      <c r="AC66">
        <v>3125.6206050000001</v>
      </c>
      <c r="AD66">
        <v>3109.5190429999998</v>
      </c>
      <c r="AE66">
        <v>3091.6689449999999</v>
      </c>
      <c r="AF66">
        <v>3072.7773440000001</v>
      </c>
      <c r="AG66">
        <v>3059.4216310000002</v>
      </c>
      <c r="AH66">
        <v>3049.4814449999999</v>
      </c>
      <c r="AI66" s="22">
        <v>-1.0999999999999999E-2</v>
      </c>
    </row>
    <row r="67" spans="1:35">
      <c r="A67" t="s">
        <v>235</v>
      </c>
      <c r="B67" t="s">
        <v>1770</v>
      </c>
      <c r="C67" t="s">
        <v>1771</v>
      </c>
      <c r="D67" t="s">
        <v>201</v>
      </c>
      <c r="F67">
        <v>3.9627940000000001</v>
      </c>
      <c r="G67">
        <v>3.8460070000000002</v>
      </c>
      <c r="H67">
        <v>3.804529</v>
      </c>
      <c r="I67">
        <v>3.841955</v>
      </c>
      <c r="J67">
        <v>3.9621430000000002</v>
      </c>
      <c r="K67">
        <v>4.1158770000000002</v>
      </c>
      <c r="L67">
        <v>4.2837519999999998</v>
      </c>
      <c r="M67">
        <v>4.4468259999999997</v>
      </c>
      <c r="N67">
        <v>4.6316410000000001</v>
      </c>
      <c r="O67">
        <v>4.8100990000000001</v>
      </c>
      <c r="P67">
        <v>4.9843229999999998</v>
      </c>
      <c r="Q67">
        <v>5.1373819999999997</v>
      </c>
      <c r="R67">
        <v>5.265428</v>
      </c>
      <c r="S67">
        <v>5.3822130000000001</v>
      </c>
      <c r="T67">
        <v>5.4628730000000001</v>
      </c>
      <c r="U67">
        <v>5.5420579999999999</v>
      </c>
      <c r="V67">
        <v>5.6001430000000001</v>
      </c>
      <c r="W67">
        <v>5.6377040000000003</v>
      </c>
      <c r="X67">
        <v>5.6738970000000002</v>
      </c>
      <c r="Y67">
        <v>5.7021569999999997</v>
      </c>
      <c r="Z67">
        <v>5.7064909999999998</v>
      </c>
      <c r="AA67">
        <v>5.7013220000000002</v>
      </c>
      <c r="AB67">
        <v>5.7074999999999996</v>
      </c>
      <c r="AC67">
        <v>5.7172200000000002</v>
      </c>
      <c r="AD67">
        <v>5.7331320000000003</v>
      </c>
      <c r="AE67">
        <v>5.7496049999999999</v>
      </c>
      <c r="AF67">
        <v>5.7660749999999998</v>
      </c>
      <c r="AG67">
        <v>5.7918760000000002</v>
      </c>
      <c r="AH67">
        <v>5.8238260000000004</v>
      </c>
      <c r="AI67" s="22">
        <v>1.4E-2</v>
      </c>
    </row>
    <row r="68" spans="1:35">
      <c r="A68" t="s">
        <v>192</v>
      </c>
      <c r="B68" t="s">
        <v>1772</v>
      </c>
      <c r="C68" t="s">
        <v>1773</v>
      </c>
      <c r="D68" t="s">
        <v>201</v>
      </c>
      <c r="F68">
        <v>0.56835999999999998</v>
      </c>
      <c r="G68">
        <v>0.60670599999999997</v>
      </c>
      <c r="H68">
        <v>0.64312599999999998</v>
      </c>
      <c r="I68">
        <v>0.68250599999999995</v>
      </c>
      <c r="J68">
        <v>0.72353500000000004</v>
      </c>
      <c r="K68">
        <v>0.75692199999999998</v>
      </c>
      <c r="L68">
        <v>0.782138</v>
      </c>
      <c r="M68">
        <v>0.79613500000000004</v>
      </c>
      <c r="N68">
        <v>0.80374400000000001</v>
      </c>
      <c r="O68">
        <v>0.80603999999999998</v>
      </c>
      <c r="P68">
        <v>0.80596699999999999</v>
      </c>
      <c r="Q68">
        <v>0.804809</v>
      </c>
      <c r="R68">
        <v>0.80398999999999998</v>
      </c>
      <c r="S68">
        <v>0.80492399999999997</v>
      </c>
      <c r="T68">
        <v>0.80324899999999999</v>
      </c>
      <c r="U68">
        <v>0.803678</v>
      </c>
      <c r="V68">
        <v>0.80220499999999995</v>
      </c>
      <c r="W68">
        <v>0.79977500000000001</v>
      </c>
      <c r="X68">
        <v>0.79792799999999997</v>
      </c>
      <c r="Y68">
        <v>0.79701900000000003</v>
      </c>
      <c r="Z68">
        <v>0.79640699999999998</v>
      </c>
      <c r="AA68">
        <v>0.79543399999999997</v>
      </c>
      <c r="AB68">
        <v>0.79418699999999998</v>
      </c>
      <c r="AC68">
        <v>0.79286000000000001</v>
      </c>
      <c r="AD68">
        <v>0.79214099999999998</v>
      </c>
      <c r="AE68">
        <v>0.79139000000000004</v>
      </c>
      <c r="AF68">
        <v>0.79042599999999996</v>
      </c>
      <c r="AG68">
        <v>0.78996599999999995</v>
      </c>
      <c r="AH68">
        <v>0.78929800000000006</v>
      </c>
      <c r="AI68" s="22">
        <v>1.2E-2</v>
      </c>
    </row>
    <row r="69" spans="1:35">
      <c r="A69" t="s">
        <v>195</v>
      </c>
      <c r="B69" t="s">
        <v>1774</v>
      </c>
      <c r="C69" t="s">
        <v>1775</v>
      </c>
      <c r="D69" t="s">
        <v>201</v>
      </c>
      <c r="F69">
        <v>50.280738999999997</v>
      </c>
      <c r="G69">
        <v>50.068455</v>
      </c>
      <c r="H69">
        <v>49.655692999999999</v>
      </c>
      <c r="I69">
        <v>49.359779000000003</v>
      </c>
      <c r="J69">
        <v>48.977187999999998</v>
      </c>
      <c r="K69">
        <v>48.107246000000004</v>
      </c>
      <c r="L69">
        <v>46.838107999999998</v>
      </c>
      <c r="M69">
        <v>45.236046000000002</v>
      </c>
      <c r="N69">
        <v>43.567093</v>
      </c>
      <c r="O69">
        <v>42.027355</v>
      </c>
      <c r="P69">
        <v>40.837364000000001</v>
      </c>
      <c r="Q69">
        <v>39.986961000000001</v>
      </c>
      <c r="R69">
        <v>39.485703000000001</v>
      </c>
      <c r="S69">
        <v>39.368915999999999</v>
      </c>
      <c r="T69">
        <v>39.458328000000002</v>
      </c>
      <c r="U69">
        <v>39.932766000000001</v>
      </c>
      <c r="V69">
        <v>40.665218000000003</v>
      </c>
      <c r="W69">
        <v>41.599049000000001</v>
      </c>
      <c r="X69">
        <v>42.818123</v>
      </c>
      <c r="Y69">
        <v>44.241703000000001</v>
      </c>
      <c r="Z69">
        <v>45.859436000000002</v>
      </c>
      <c r="AA69">
        <v>47.627850000000002</v>
      </c>
      <c r="AB69">
        <v>49.540225999999997</v>
      </c>
      <c r="AC69">
        <v>51.565514</v>
      </c>
      <c r="AD69">
        <v>53.733218999999998</v>
      </c>
      <c r="AE69">
        <v>56.009075000000003</v>
      </c>
      <c r="AF69">
        <v>58.349373</v>
      </c>
      <c r="AG69">
        <v>60.919922</v>
      </c>
      <c r="AH69">
        <v>63.711185</v>
      </c>
      <c r="AI69" s="22">
        <v>8.0000000000000002E-3</v>
      </c>
    </row>
    <row r="70" spans="1:35">
      <c r="A70" t="s">
        <v>236</v>
      </c>
      <c r="B70" t="s">
        <v>1776</v>
      </c>
      <c r="C70" t="s">
        <v>1777</v>
      </c>
      <c r="D70" t="s">
        <v>201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111</v>
      </c>
    </row>
    <row r="71" spans="1:35">
      <c r="A71" t="s">
        <v>237</v>
      </c>
      <c r="B71" t="s">
        <v>1778</v>
      </c>
      <c r="C71" t="s">
        <v>1779</v>
      </c>
      <c r="D71" t="s">
        <v>201</v>
      </c>
      <c r="F71">
        <v>4.6922999999999999E-2</v>
      </c>
      <c r="G71">
        <v>5.4698999999999998E-2</v>
      </c>
      <c r="H71">
        <v>6.1366999999999998E-2</v>
      </c>
      <c r="I71">
        <v>6.7617999999999998E-2</v>
      </c>
      <c r="J71">
        <v>7.3111999999999996E-2</v>
      </c>
      <c r="K71">
        <v>7.7225000000000002E-2</v>
      </c>
      <c r="L71">
        <v>8.0045000000000005E-2</v>
      </c>
      <c r="M71">
        <v>8.1566E-2</v>
      </c>
      <c r="N71">
        <v>8.2086999999999993E-2</v>
      </c>
      <c r="O71">
        <v>8.1693000000000002E-2</v>
      </c>
      <c r="P71">
        <v>8.0528000000000002E-2</v>
      </c>
      <c r="Q71">
        <v>7.8351000000000004E-2</v>
      </c>
      <c r="R71">
        <v>7.5394000000000003E-2</v>
      </c>
      <c r="S71">
        <v>7.2048000000000001E-2</v>
      </c>
      <c r="T71">
        <v>6.8336999999999995E-2</v>
      </c>
      <c r="U71">
        <v>6.4832000000000001E-2</v>
      </c>
      <c r="V71">
        <v>6.1281000000000002E-2</v>
      </c>
      <c r="W71">
        <v>5.7109E-2</v>
      </c>
      <c r="X71">
        <v>5.2908999999999998E-2</v>
      </c>
      <c r="Y71">
        <v>4.9218999999999999E-2</v>
      </c>
      <c r="Z71">
        <v>4.6171999999999998E-2</v>
      </c>
      <c r="AA71">
        <v>4.3128E-2</v>
      </c>
      <c r="AB71">
        <v>4.0410000000000001E-2</v>
      </c>
      <c r="AC71">
        <v>3.7878000000000002E-2</v>
      </c>
      <c r="AD71">
        <v>3.5562999999999997E-2</v>
      </c>
      <c r="AE71">
        <v>3.3422E-2</v>
      </c>
      <c r="AF71">
        <v>3.1433000000000003E-2</v>
      </c>
      <c r="AG71">
        <v>2.9628999999999999E-2</v>
      </c>
      <c r="AH71">
        <v>2.7977999999999999E-2</v>
      </c>
      <c r="AI71" s="22">
        <v>-1.7999999999999999E-2</v>
      </c>
    </row>
    <row r="72" spans="1:35">
      <c r="A72" t="s">
        <v>238</v>
      </c>
      <c r="B72" t="s">
        <v>1780</v>
      </c>
      <c r="C72" t="s">
        <v>1781</v>
      </c>
      <c r="D72" t="s">
        <v>201</v>
      </c>
      <c r="F72">
        <v>0</v>
      </c>
      <c r="G72">
        <v>0</v>
      </c>
      <c r="H72">
        <v>9.3968999999999997E-2</v>
      </c>
      <c r="I72">
        <v>0.10784000000000001</v>
      </c>
      <c r="J72">
        <v>0.12324599999999999</v>
      </c>
      <c r="K72">
        <v>0.138739</v>
      </c>
      <c r="L72">
        <v>0.154194</v>
      </c>
      <c r="M72">
        <v>0.16878799999999999</v>
      </c>
      <c r="N72">
        <v>0.18259400000000001</v>
      </c>
      <c r="O72">
        <v>0.19550100000000001</v>
      </c>
      <c r="P72">
        <v>0.207788</v>
      </c>
      <c r="Q72">
        <v>0.21850600000000001</v>
      </c>
      <c r="R72">
        <v>0.227493</v>
      </c>
      <c r="S72">
        <v>0.235429</v>
      </c>
      <c r="T72">
        <v>0.24181</v>
      </c>
      <c r="U72">
        <v>0.24799399999999999</v>
      </c>
      <c r="V72">
        <v>0.253774</v>
      </c>
      <c r="W72">
        <v>0.25946200000000003</v>
      </c>
      <c r="X72">
        <v>0.26647300000000002</v>
      </c>
      <c r="Y72">
        <v>0.27532699999999999</v>
      </c>
      <c r="Z72">
        <v>0.28709600000000002</v>
      </c>
      <c r="AA72">
        <v>0.297709</v>
      </c>
      <c r="AB72">
        <v>0.30827700000000002</v>
      </c>
      <c r="AC72">
        <v>0.32179400000000002</v>
      </c>
      <c r="AD72">
        <v>0.34068999999999999</v>
      </c>
      <c r="AE72">
        <v>0.35961700000000002</v>
      </c>
      <c r="AF72">
        <v>0.38024000000000002</v>
      </c>
      <c r="AG72">
        <v>0.403499</v>
      </c>
      <c r="AH72">
        <v>0.42918600000000001</v>
      </c>
      <c r="AI72" t="s">
        <v>111</v>
      </c>
    </row>
    <row r="73" spans="1:35">
      <c r="A73" t="s">
        <v>239</v>
      </c>
      <c r="B73" t="s">
        <v>1782</v>
      </c>
      <c r="C73" t="s">
        <v>1783</v>
      </c>
      <c r="D73" t="s">
        <v>201</v>
      </c>
      <c r="F73">
        <v>0</v>
      </c>
      <c r="G73">
        <v>0</v>
      </c>
      <c r="H73">
        <v>0.20038</v>
      </c>
      <c r="I73">
        <v>0.227545</v>
      </c>
      <c r="J73">
        <v>0.25758599999999998</v>
      </c>
      <c r="K73">
        <v>0.287607</v>
      </c>
      <c r="L73">
        <v>0.31698300000000001</v>
      </c>
      <c r="M73">
        <v>0.34418100000000001</v>
      </c>
      <c r="N73">
        <v>0.36947000000000002</v>
      </c>
      <c r="O73">
        <v>0.39272800000000002</v>
      </c>
      <c r="P73">
        <v>0.41434799999999999</v>
      </c>
      <c r="Q73">
        <v>0.43237199999999998</v>
      </c>
      <c r="R73">
        <v>0.44650499999999999</v>
      </c>
      <c r="S73">
        <v>0.45807900000000001</v>
      </c>
      <c r="T73">
        <v>0.46613700000000002</v>
      </c>
      <c r="U73">
        <v>0.47335500000000003</v>
      </c>
      <c r="V73">
        <v>0.479375</v>
      </c>
      <c r="W73">
        <v>0.48491600000000001</v>
      </c>
      <c r="X73">
        <v>0.49279499999999998</v>
      </c>
      <c r="Y73">
        <v>0.50410500000000003</v>
      </c>
      <c r="Z73">
        <v>0.52083800000000002</v>
      </c>
      <c r="AA73">
        <v>0.53412099999999996</v>
      </c>
      <c r="AB73">
        <v>0.54621799999999998</v>
      </c>
      <c r="AC73">
        <v>0.56340500000000004</v>
      </c>
      <c r="AD73">
        <v>0.59040000000000004</v>
      </c>
      <c r="AE73">
        <v>0.61546299999999998</v>
      </c>
      <c r="AF73">
        <v>0.64187399999999994</v>
      </c>
      <c r="AG73">
        <v>0.67086900000000005</v>
      </c>
      <c r="AH73">
        <v>0.70177400000000001</v>
      </c>
      <c r="AI73" t="s">
        <v>111</v>
      </c>
    </row>
    <row r="74" spans="1:35">
      <c r="A74" t="s">
        <v>240</v>
      </c>
      <c r="B74" t="s">
        <v>1784</v>
      </c>
      <c r="C74" t="s">
        <v>1785</v>
      </c>
      <c r="D74" t="s">
        <v>201</v>
      </c>
      <c r="F74">
        <v>0</v>
      </c>
      <c r="G74">
        <v>0</v>
      </c>
      <c r="H74">
        <v>0.111358</v>
      </c>
      <c r="I74">
        <v>0.226552</v>
      </c>
      <c r="J74">
        <v>0.34701100000000001</v>
      </c>
      <c r="K74">
        <v>0.46850000000000003</v>
      </c>
      <c r="L74">
        <v>0.59016000000000002</v>
      </c>
      <c r="M74">
        <v>0.70980200000000004</v>
      </c>
      <c r="N74">
        <v>0.827546</v>
      </c>
      <c r="O74">
        <v>0.94406100000000004</v>
      </c>
      <c r="P74">
        <v>1.0617449999999999</v>
      </c>
      <c r="Q74">
        <v>1.1749270000000001</v>
      </c>
      <c r="R74">
        <v>1.2809429999999999</v>
      </c>
      <c r="S74">
        <v>1.3823890000000001</v>
      </c>
      <c r="T74">
        <v>1.4753540000000001</v>
      </c>
      <c r="U74">
        <v>1.5660940000000001</v>
      </c>
      <c r="V74">
        <v>1.650725</v>
      </c>
      <c r="W74">
        <v>1.728137</v>
      </c>
      <c r="X74">
        <v>1.804441</v>
      </c>
      <c r="Y74">
        <v>1.880045</v>
      </c>
      <c r="Z74">
        <v>1.959276</v>
      </c>
      <c r="AA74">
        <v>2.0384820000000001</v>
      </c>
      <c r="AB74">
        <v>2.1167880000000001</v>
      </c>
      <c r="AC74">
        <v>2.1974689999999999</v>
      </c>
      <c r="AD74">
        <v>2.2879350000000001</v>
      </c>
      <c r="AE74">
        <v>2.3849619999999998</v>
      </c>
      <c r="AF74">
        <v>2.4892069999999999</v>
      </c>
      <c r="AG74">
        <v>2.6072109999999999</v>
      </c>
      <c r="AH74">
        <v>2.738353</v>
      </c>
      <c r="AI74" t="s">
        <v>111</v>
      </c>
    </row>
    <row r="75" spans="1:35">
      <c r="A75" t="s">
        <v>244</v>
      </c>
      <c r="B75" t="s">
        <v>1786</v>
      </c>
      <c r="C75" t="s">
        <v>1787</v>
      </c>
      <c r="D75" t="s">
        <v>201</v>
      </c>
      <c r="F75">
        <v>4203.0288090000004</v>
      </c>
      <c r="G75">
        <v>4085.8522950000001</v>
      </c>
      <c r="H75">
        <v>3977.9414059999999</v>
      </c>
      <c r="I75">
        <v>3908.5683589999999</v>
      </c>
      <c r="J75">
        <v>3861.1779790000001</v>
      </c>
      <c r="K75">
        <v>3804.1889649999998</v>
      </c>
      <c r="L75">
        <v>3746.460693</v>
      </c>
      <c r="M75">
        <v>3682.7314449999999</v>
      </c>
      <c r="N75">
        <v>3622.056885</v>
      </c>
      <c r="O75">
        <v>3565.8129880000001</v>
      </c>
      <c r="P75">
        <v>3521.0964359999998</v>
      </c>
      <c r="Q75">
        <v>3474.783203</v>
      </c>
      <c r="R75">
        <v>3425.866211</v>
      </c>
      <c r="S75">
        <v>3384.6201169999999</v>
      </c>
      <c r="T75">
        <v>3342.4174800000001</v>
      </c>
      <c r="U75">
        <v>3315.2402339999999</v>
      </c>
      <c r="V75">
        <v>3294.218018</v>
      </c>
      <c r="W75">
        <v>3272.1579590000001</v>
      </c>
      <c r="X75">
        <v>3255.9282229999999</v>
      </c>
      <c r="Y75">
        <v>3239.0588379999999</v>
      </c>
      <c r="Z75">
        <v>3226.6770019999999</v>
      </c>
      <c r="AA75">
        <v>3214.0676269999999</v>
      </c>
      <c r="AB75">
        <v>3200.9846189999998</v>
      </c>
      <c r="AC75">
        <v>3186.8178710000002</v>
      </c>
      <c r="AD75">
        <v>3173.03125</v>
      </c>
      <c r="AE75">
        <v>3157.6115719999998</v>
      </c>
      <c r="AF75">
        <v>3141.225586</v>
      </c>
      <c r="AG75">
        <v>3130.6340329999998</v>
      </c>
      <c r="AH75">
        <v>3123.702393</v>
      </c>
      <c r="AI75" s="22">
        <v>-1.0999999999999999E-2</v>
      </c>
    </row>
    <row r="76" spans="1:35">
      <c r="A76" t="s">
        <v>170</v>
      </c>
      <c r="B76" t="s">
        <v>247</v>
      </c>
      <c r="C76" t="s">
        <v>266</v>
      </c>
    </row>
    <row r="77" spans="1:35">
      <c r="A77" t="s">
        <v>189</v>
      </c>
      <c r="B77" t="s">
        <v>1788</v>
      </c>
      <c r="C77" t="s">
        <v>1789</v>
      </c>
      <c r="D77" t="s">
        <v>201</v>
      </c>
      <c r="F77">
        <v>5249.9169920000004</v>
      </c>
      <c r="G77">
        <v>5094.5859380000002</v>
      </c>
      <c r="H77">
        <v>4954.8515619999998</v>
      </c>
      <c r="I77">
        <v>4862.6987300000001</v>
      </c>
      <c r="J77">
        <v>4796.2695309999999</v>
      </c>
      <c r="K77">
        <v>4717.8774409999996</v>
      </c>
      <c r="L77">
        <v>4640.3652339999999</v>
      </c>
      <c r="M77">
        <v>4557.6166990000002</v>
      </c>
      <c r="N77">
        <v>4481.7353519999997</v>
      </c>
      <c r="O77">
        <v>4413.7387699999999</v>
      </c>
      <c r="P77">
        <v>4361.8056640000004</v>
      </c>
      <c r="Q77">
        <v>4308.2617190000001</v>
      </c>
      <c r="R77">
        <v>4252.0986329999996</v>
      </c>
      <c r="S77">
        <v>4205.8251950000003</v>
      </c>
      <c r="T77">
        <v>4158.4414059999999</v>
      </c>
      <c r="U77">
        <v>4129.2504879999997</v>
      </c>
      <c r="V77">
        <v>4106.8349609999996</v>
      </c>
      <c r="W77">
        <v>4083.4311520000001</v>
      </c>
      <c r="X77">
        <v>4067.608154</v>
      </c>
      <c r="Y77">
        <v>4051.3776859999998</v>
      </c>
      <c r="Z77">
        <v>4040.8857419999999</v>
      </c>
      <c r="AA77">
        <v>4031.2490229999999</v>
      </c>
      <c r="AB77">
        <v>4021.6232909999999</v>
      </c>
      <c r="AC77">
        <v>4011.3183589999999</v>
      </c>
      <c r="AD77">
        <v>4002.3701169999999</v>
      </c>
      <c r="AE77">
        <v>3992.2924800000001</v>
      </c>
      <c r="AF77">
        <v>3981.5913089999999</v>
      </c>
      <c r="AG77">
        <v>3978.1057129999999</v>
      </c>
      <c r="AH77">
        <v>3979.0385740000002</v>
      </c>
      <c r="AI77" s="22">
        <v>-0.01</v>
      </c>
    </row>
    <row r="78" spans="1:35">
      <c r="A78" t="s">
        <v>235</v>
      </c>
      <c r="B78" t="s">
        <v>1790</v>
      </c>
      <c r="C78" t="s">
        <v>1791</v>
      </c>
      <c r="D78" t="s">
        <v>201</v>
      </c>
      <c r="F78">
        <v>562.38818400000002</v>
      </c>
      <c r="G78">
        <v>555.801514</v>
      </c>
      <c r="H78">
        <v>552.26074200000005</v>
      </c>
      <c r="I78">
        <v>551.68633999999997</v>
      </c>
      <c r="J78">
        <v>552.55212400000005</v>
      </c>
      <c r="K78">
        <v>550.61614999999995</v>
      </c>
      <c r="L78">
        <v>548.34570299999996</v>
      </c>
      <c r="M78">
        <v>545.48895300000004</v>
      </c>
      <c r="N78">
        <v>543.67315699999995</v>
      </c>
      <c r="O78">
        <v>542.65777600000001</v>
      </c>
      <c r="P78">
        <v>544.31243900000004</v>
      </c>
      <c r="Q78">
        <v>545.60974099999999</v>
      </c>
      <c r="R78">
        <v>546.66473399999995</v>
      </c>
      <c r="S78">
        <v>548.660889</v>
      </c>
      <c r="T78">
        <v>549.95959500000004</v>
      </c>
      <c r="U78">
        <v>553.48419200000001</v>
      </c>
      <c r="V78">
        <v>556.13909899999999</v>
      </c>
      <c r="W78">
        <v>558.78949</v>
      </c>
      <c r="X78">
        <v>561.62091099999998</v>
      </c>
      <c r="Y78">
        <v>565.66882299999997</v>
      </c>
      <c r="Z78">
        <v>570.327271</v>
      </c>
      <c r="AA78">
        <v>574.83325200000002</v>
      </c>
      <c r="AB78">
        <v>579.18627900000001</v>
      </c>
      <c r="AC78">
        <v>583.32092299999999</v>
      </c>
      <c r="AD78">
        <v>587.94250499999998</v>
      </c>
      <c r="AE78">
        <v>592.51135299999999</v>
      </c>
      <c r="AF78">
        <v>596.90911900000003</v>
      </c>
      <c r="AG78">
        <v>602.21044900000004</v>
      </c>
      <c r="AH78">
        <v>607.98480199999995</v>
      </c>
      <c r="AI78" s="22">
        <v>3.0000000000000001E-3</v>
      </c>
    </row>
    <row r="79" spans="1:35">
      <c r="A79" t="s">
        <v>192</v>
      </c>
      <c r="B79" t="s">
        <v>1792</v>
      </c>
      <c r="C79" t="s">
        <v>1793</v>
      </c>
      <c r="D79" t="s">
        <v>201</v>
      </c>
      <c r="F79">
        <v>1.2411490000000001</v>
      </c>
      <c r="G79">
        <v>1.34948</v>
      </c>
      <c r="H79">
        <v>1.456639</v>
      </c>
      <c r="I79">
        <v>1.567971</v>
      </c>
      <c r="J79">
        <v>1.681467</v>
      </c>
      <c r="K79">
        <v>1.7794460000000001</v>
      </c>
      <c r="L79">
        <v>1.86659</v>
      </c>
      <c r="M79">
        <v>1.9382360000000001</v>
      </c>
      <c r="N79">
        <v>2.005061</v>
      </c>
      <c r="O79">
        <v>2.0700889999999998</v>
      </c>
      <c r="P79">
        <v>2.1416400000000002</v>
      </c>
      <c r="Q79">
        <v>2.2180689999999998</v>
      </c>
      <c r="R79">
        <v>2.2961619999999998</v>
      </c>
      <c r="S79">
        <v>2.3744969999999999</v>
      </c>
      <c r="T79">
        <v>2.4530400000000001</v>
      </c>
      <c r="U79">
        <v>2.5472969999999999</v>
      </c>
      <c r="V79">
        <v>2.6510910000000001</v>
      </c>
      <c r="W79">
        <v>2.765018</v>
      </c>
      <c r="X79">
        <v>2.8953329999999999</v>
      </c>
      <c r="Y79">
        <v>3.0399590000000001</v>
      </c>
      <c r="Z79">
        <v>3.1981799999999998</v>
      </c>
      <c r="AA79">
        <v>3.3673670000000002</v>
      </c>
      <c r="AB79">
        <v>3.5440170000000002</v>
      </c>
      <c r="AC79">
        <v>3.7288239999999999</v>
      </c>
      <c r="AD79">
        <v>3.9246300000000001</v>
      </c>
      <c r="AE79">
        <v>4.1269479999999996</v>
      </c>
      <c r="AF79">
        <v>4.3333190000000004</v>
      </c>
      <c r="AG79">
        <v>4.5414009999999996</v>
      </c>
      <c r="AH79">
        <v>4.7579419999999999</v>
      </c>
      <c r="AI79" s="22">
        <v>4.9000000000000002E-2</v>
      </c>
    </row>
    <row r="80" spans="1:35">
      <c r="A80" t="s">
        <v>195</v>
      </c>
      <c r="B80" t="s">
        <v>1794</v>
      </c>
      <c r="C80" t="s">
        <v>1795</v>
      </c>
      <c r="D80" t="s">
        <v>201</v>
      </c>
      <c r="F80">
        <v>51.236542</v>
      </c>
      <c r="G80">
        <v>50.962176999999997</v>
      </c>
      <c r="H80">
        <v>50.491249000000003</v>
      </c>
      <c r="I80">
        <v>50.142643</v>
      </c>
      <c r="J80">
        <v>49.710509999999999</v>
      </c>
      <c r="K80">
        <v>48.789504999999998</v>
      </c>
      <c r="L80">
        <v>47.472079999999998</v>
      </c>
      <c r="M80">
        <v>45.822308</v>
      </c>
      <c r="N80">
        <v>44.107993999999998</v>
      </c>
      <c r="O80">
        <v>42.526989</v>
      </c>
      <c r="P80">
        <v>41.300410999999997</v>
      </c>
      <c r="Q80">
        <v>40.414501000000001</v>
      </c>
      <c r="R80">
        <v>39.878418000000003</v>
      </c>
      <c r="S80">
        <v>39.728603</v>
      </c>
      <c r="T80">
        <v>39.786152000000001</v>
      </c>
      <c r="U80">
        <v>40.232017999999997</v>
      </c>
      <c r="V80">
        <v>40.938454</v>
      </c>
      <c r="W80">
        <v>41.849299999999999</v>
      </c>
      <c r="X80">
        <v>43.046658000000001</v>
      </c>
      <c r="Y80">
        <v>44.449615000000001</v>
      </c>
      <c r="Z80">
        <v>46.05003</v>
      </c>
      <c r="AA80">
        <v>47.799937999999997</v>
      </c>
      <c r="AB80">
        <v>49.694374000000003</v>
      </c>
      <c r="AC80">
        <v>51.705215000000003</v>
      </c>
      <c r="AD80">
        <v>53.860950000000003</v>
      </c>
      <c r="AE80">
        <v>56.124836000000002</v>
      </c>
      <c r="AF80">
        <v>58.452976</v>
      </c>
      <c r="AG80">
        <v>61.01247</v>
      </c>
      <c r="AH80">
        <v>63.794086</v>
      </c>
      <c r="AI80" s="22">
        <v>8.0000000000000002E-3</v>
      </c>
    </row>
    <row r="81" spans="1:35">
      <c r="A81" t="s">
        <v>236</v>
      </c>
      <c r="B81" t="s">
        <v>1796</v>
      </c>
      <c r="C81" t="s">
        <v>1797</v>
      </c>
      <c r="D81" t="s">
        <v>201</v>
      </c>
      <c r="F81">
        <v>56.734439999999999</v>
      </c>
      <c r="G81">
        <v>55.975769</v>
      </c>
      <c r="H81">
        <v>55.439964000000003</v>
      </c>
      <c r="I81">
        <v>55.137214999999998</v>
      </c>
      <c r="J81">
        <v>54.952826999999999</v>
      </c>
      <c r="K81">
        <v>54.689785000000001</v>
      </c>
      <c r="L81">
        <v>54.542090999999999</v>
      </c>
      <c r="M81">
        <v>54.520401</v>
      </c>
      <c r="N81">
        <v>54.774734000000002</v>
      </c>
      <c r="O81">
        <v>55.323501999999998</v>
      </c>
      <c r="P81">
        <v>56.253174000000001</v>
      </c>
      <c r="Q81">
        <v>57.262343999999999</v>
      </c>
      <c r="R81">
        <v>58.166153000000001</v>
      </c>
      <c r="S81">
        <v>59.091793000000003</v>
      </c>
      <c r="T81">
        <v>59.826087999999999</v>
      </c>
      <c r="U81">
        <v>60.787384000000003</v>
      </c>
      <c r="V81">
        <v>61.617919999999998</v>
      </c>
      <c r="W81">
        <v>62.409126000000001</v>
      </c>
      <c r="X81">
        <v>63.484912999999999</v>
      </c>
      <c r="Y81">
        <v>64.687957999999995</v>
      </c>
      <c r="Z81">
        <v>66.075584000000006</v>
      </c>
      <c r="AA81">
        <v>67.603133999999997</v>
      </c>
      <c r="AB81">
        <v>69.225548000000003</v>
      </c>
      <c r="AC81">
        <v>70.865425000000002</v>
      </c>
      <c r="AD81">
        <v>72.564635999999993</v>
      </c>
      <c r="AE81">
        <v>74.241989000000004</v>
      </c>
      <c r="AF81">
        <v>75.862365999999994</v>
      </c>
      <c r="AG81">
        <v>77.550551999999996</v>
      </c>
      <c r="AH81">
        <v>79.267166000000003</v>
      </c>
      <c r="AI81" s="22">
        <v>1.2E-2</v>
      </c>
    </row>
    <row r="82" spans="1:35">
      <c r="A82" t="s">
        <v>237</v>
      </c>
      <c r="B82" t="s">
        <v>1798</v>
      </c>
      <c r="C82" t="s">
        <v>1799</v>
      </c>
      <c r="D82" t="s">
        <v>201</v>
      </c>
      <c r="F82">
        <v>8.9421E-2</v>
      </c>
      <c r="G82">
        <v>0.102626</v>
      </c>
      <c r="H82">
        <v>0.113247</v>
      </c>
      <c r="I82">
        <v>0.12280199999999999</v>
      </c>
      <c r="J82">
        <v>0.13078600000000001</v>
      </c>
      <c r="K82">
        <v>0.13623199999999999</v>
      </c>
      <c r="L82">
        <v>0.139515</v>
      </c>
      <c r="M82">
        <v>0.140596</v>
      </c>
      <c r="N82">
        <v>0.14011799999999999</v>
      </c>
      <c r="O82">
        <v>0.13838400000000001</v>
      </c>
      <c r="P82">
        <v>0.135714</v>
      </c>
      <c r="Q82">
        <v>0.13156100000000001</v>
      </c>
      <c r="R82">
        <v>0.12640100000000001</v>
      </c>
      <c r="S82">
        <v>0.12095</v>
      </c>
      <c r="T82">
        <v>0.114736</v>
      </c>
      <c r="U82">
        <v>0.108764</v>
      </c>
      <c r="V82">
        <v>0.103186</v>
      </c>
      <c r="W82">
        <v>9.6922999999999995E-2</v>
      </c>
      <c r="X82">
        <v>9.0437000000000003E-2</v>
      </c>
      <c r="Y82">
        <v>8.4582000000000004E-2</v>
      </c>
      <c r="Z82">
        <v>7.9557000000000003E-2</v>
      </c>
      <c r="AA82">
        <v>7.4632000000000004E-2</v>
      </c>
      <c r="AB82">
        <v>7.0045999999999997E-2</v>
      </c>
      <c r="AC82">
        <v>6.5727999999999995E-2</v>
      </c>
      <c r="AD82">
        <v>6.1776999999999999E-2</v>
      </c>
      <c r="AE82">
        <v>5.8103000000000002E-2</v>
      </c>
      <c r="AF82">
        <v>5.4674E-2</v>
      </c>
      <c r="AG82">
        <v>5.1552000000000001E-2</v>
      </c>
      <c r="AH82">
        <v>4.8641999999999998E-2</v>
      </c>
      <c r="AI82" s="22">
        <v>-2.1999999999999999E-2</v>
      </c>
    </row>
    <row r="83" spans="1:35">
      <c r="A83" t="s">
        <v>238</v>
      </c>
      <c r="B83" t="s">
        <v>1800</v>
      </c>
      <c r="C83" t="s">
        <v>1801</v>
      </c>
      <c r="D83" t="s">
        <v>201</v>
      </c>
      <c r="F83">
        <v>0</v>
      </c>
      <c r="G83">
        <v>3.1223000000000001E-2</v>
      </c>
      <c r="H83">
        <v>0.19468199999999999</v>
      </c>
      <c r="I83">
        <v>0.27852399999999999</v>
      </c>
      <c r="J83">
        <v>0.36315700000000001</v>
      </c>
      <c r="K83">
        <v>0.443772</v>
      </c>
      <c r="L83">
        <v>0.52136499999999997</v>
      </c>
      <c r="M83">
        <v>0.59411199999999997</v>
      </c>
      <c r="N83">
        <v>0.663184</v>
      </c>
      <c r="O83">
        <v>0.72962499999999997</v>
      </c>
      <c r="P83">
        <v>0.79639599999999999</v>
      </c>
      <c r="Q83">
        <v>0.86107999999999996</v>
      </c>
      <c r="R83">
        <v>0.92327000000000004</v>
      </c>
      <c r="S83">
        <v>0.98654799999999998</v>
      </c>
      <c r="T83">
        <v>1.0495829999999999</v>
      </c>
      <c r="U83">
        <v>1.118633</v>
      </c>
      <c r="V83">
        <v>1.1928430000000001</v>
      </c>
      <c r="W83">
        <v>1.2726649999999999</v>
      </c>
      <c r="X83">
        <v>1.363113</v>
      </c>
      <c r="Y83">
        <v>1.464269</v>
      </c>
      <c r="Z83">
        <v>1.5777429999999999</v>
      </c>
      <c r="AA83">
        <v>1.6956990000000001</v>
      </c>
      <c r="AB83">
        <v>1.819596</v>
      </c>
      <c r="AC83">
        <v>1.952555</v>
      </c>
      <c r="AD83">
        <v>2.0971549999999999</v>
      </c>
      <c r="AE83">
        <v>2.2459030000000002</v>
      </c>
      <c r="AF83">
        <v>2.3994059999999999</v>
      </c>
      <c r="AG83">
        <v>2.561833</v>
      </c>
      <c r="AH83">
        <v>2.7309640000000002</v>
      </c>
      <c r="AI83" t="s">
        <v>111</v>
      </c>
    </row>
    <row r="84" spans="1:35">
      <c r="A84" t="s">
        <v>239</v>
      </c>
      <c r="B84" t="s">
        <v>1802</v>
      </c>
      <c r="C84" t="s">
        <v>1803</v>
      </c>
      <c r="D84" t="s">
        <v>201</v>
      </c>
      <c r="F84">
        <v>0</v>
      </c>
      <c r="G84">
        <v>3.7399000000000002E-2</v>
      </c>
      <c r="H84">
        <v>0.32291300000000001</v>
      </c>
      <c r="I84">
        <v>0.433558</v>
      </c>
      <c r="J84">
        <v>0.54477500000000001</v>
      </c>
      <c r="K84">
        <v>0.650644</v>
      </c>
      <c r="L84">
        <v>0.75134400000000001</v>
      </c>
      <c r="M84">
        <v>0.84477599999999997</v>
      </c>
      <c r="N84">
        <v>0.933338</v>
      </c>
      <c r="O84">
        <v>1.0193179999999999</v>
      </c>
      <c r="P84">
        <v>1.106617</v>
      </c>
      <c r="Q84">
        <v>1.192067</v>
      </c>
      <c r="R84">
        <v>1.274824</v>
      </c>
      <c r="S84">
        <v>1.359926</v>
      </c>
      <c r="T84">
        <v>1.4457869999999999</v>
      </c>
      <c r="U84">
        <v>1.5416810000000001</v>
      </c>
      <c r="V84">
        <v>1.6468430000000001</v>
      </c>
      <c r="W84">
        <v>1.7627539999999999</v>
      </c>
      <c r="X84">
        <v>1.897227</v>
      </c>
      <c r="Y84">
        <v>2.0511330000000001</v>
      </c>
      <c r="Z84">
        <v>2.2268560000000002</v>
      </c>
      <c r="AA84">
        <v>2.41065</v>
      </c>
      <c r="AB84">
        <v>2.604946</v>
      </c>
      <c r="AC84">
        <v>2.816163</v>
      </c>
      <c r="AD84">
        <v>3.0489739999999999</v>
      </c>
      <c r="AE84">
        <v>3.2880760000000002</v>
      </c>
      <c r="AF84">
        <v>3.5348269999999999</v>
      </c>
      <c r="AG84">
        <v>3.7946209999999998</v>
      </c>
      <c r="AH84">
        <v>4.0636669999999997</v>
      </c>
      <c r="AI84" t="s">
        <v>111</v>
      </c>
    </row>
    <row r="85" spans="1:35">
      <c r="A85" t="s">
        <v>240</v>
      </c>
      <c r="B85" t="s">
        <v>1804</v>
      </c>
      <c r="C85" t="s">
        <v>1805</v>
      </c>
      <c r="D85" t="s">
        <v>201</v>
      </c>
      <c r="F85">
        <v>0</v>
      </c>
      <c r="G85">
        <v>0</v>
      </c>
      <c r="H85">
        <v>0.193074</v>
      </c>
      <c r="I85">
        <v>0.39150400000000002</v>
      </c>
      <c r="J85">
        <v>0.596692</v>
      </c>
      <c r="K85">
        <v>0.80067200000000005</v>
      </c>
      <c r="L85">
        <v>1.001957</v>
      </c>
      <c r="M85">
        <v>1.197117</v>
      </c>
      <c r="N85">
        <v>1.386846</v>
      </c>
      <c r="O85">
        <v>1.5732839999999999</v>
      </c>
      <c r="P85">
        <v>1.762032</v>
      </c>
      <c r="Q85">
        <v>1.94495</v>
      </c>
      <c r="R85">
        <v>2.1185429999999998</v>
      </c>
      <c r="S85">
        <v>2.2886959999999998</v>
      </c>
      <c r="T85">
        <v>2.4507270000000001</v>
      </c>
      <c r="U85">
        <v>2.6167479999999999</v>
      </c>
      <c r="V85">
        <v>2.7817050000000001</v>
      </c>
      <c r="W85">
        <v>2.9443709999999998</v>
      </c>
      <c r="X85">
        <v>3.114779</v>
      </c>
      <c r="Y85">
        <v>3.2926709999999999</v>
      </c>
      <c r="Z85">
        <v>3.4843730000000002</v>
      </c>
      <c r="AA85">
        <v>3.681759</v>
      </c>
      <c r="AB85">
        <v>3.8862909999999999</v>
      </c>
      <c r="AC85">
        <v>4.100009</v>
      </c>
      <c r="AD85">
        <v>4.3317829999999997</v>
      </c>
      <c r="AE85">
        <v>4.5763559999999996</v>
      </c>
      <c r="AF85">
        <v>4.8336259999999998</v>
      </c>
      <c r="AG85">
        <v>5.1153269999999997</v>
      </c>
      <c r="AH85">
        <v>5.4180919999999997</v>
      </c>
      <c r="AI85" t="s">
        <v>111</v>
      </c>
    </row>
    <row r="86" spans="1:35">
      <c r="A86" t="s">
        <v>143</v>
      </c>
      <c r="B86" t="s">
        <v>1806</v>
      </c>
      <c r="C86" t="s">
        <v>1807</v>
      </c>
      <c r="D86" t="s">
        <v>201</v>
      </c>
      <c r="F86">
        <v>5921.6083980000003</v>
      </c>
      <c r="G86">
        <v>5758.8452150000003</v>
      </c>
      <c r="H86">
        <v>5615.3242190000001</v>
      </c>
      <c r="I86">
        <v>5522.4580079999996</v>
      </c>
      <c r="J86">
        <v>5456.8017579999996</v>
      </c>
      <c r="K86">
        <v>5375.7822269999997</v>
      </c>
      <c r="L86">
        <v>5295.0068359999996</v>
      </c>
      <c r="M86">
        <v>5208.1630859999996</v>
      </c>
      <c r="N86">
        <v>5129.4169920000004</v>
      </c>
      <c r="O86">
        <v>5059.7763670000004</v>
      </c>
      <c r="P86">
        <v>5009.6118159999996</v>
      </c>
      <c r="Q86">
        <v>4957.8979490000002</v>
      </c>
      <c r="R86">
        <v>4903.5493159999996</v>
      </c>
      <c r="S86">
        <v>4860.435547</v>
      </c>
      <c r="T86">
        <v>4815.5268550000001</v>
      </c>
      <c r="U86">
        <v>4791.6865230000003</v>
      </c>
      <c r="V86">
        <v>4773.90625</v>
      </c>
      <c r="W86">
        <v>4755.3193359999996</v>
      </c>
      <c r="X86">
        <v>4745.1240230000003</v>
      </c>
      <c r="Y86">
        <v>4736.1157229999999</v>
      </c>
      <c r="Z86">
        <v>4733.9067379999997</v>
      </c>
      <c r="AA86">
        <v>4732.7128910000001</v>
      </c>
      <c r="AB86">
        <v>4731.6552730000003</v>
      </c>
      <c r="AC86">
        <v>4729.8740230000003</v>
      </c>
      <c r="AD86">
        <v>4730.2001950000003</v>
      </c>
      <c r="AE86">
        <v>4729.46875</v>
      </c>
      <c r="AF86">
        <v>4727.9702150000003</v>
      </c>
      <c r="AG86">
        <v>4734.9438479999999</v>
      </c>
      <c r="AH86">
        <v>4747.1030270000001</v>
      </c>
      <c r="AI86" s="22">
        <v>-8.0000000000000002E-3</v>
      </c>
    </row>
    <row r="87" spans="1:35">
      <c r="A87" t="s">
        <v>248</v>
      </c>
    </row>
    <row r="88" spans="1:35">
      <c r="A88" t="s">
        <v>170</v>
      </c>
    </row>
    <row r="89" spans="1:35">
      <c r="A89" t="s">
        <v>189</v>
      </c>
      <c r="B89" t="s">
        <v>1808</v>
      </c>
      <c r="C89" t="s">
        <v>1809</v>
      </c>
      <c r="D89" t="s">
        <v>267</v>
      </c>
      <c r="F89">
        <v>14.990826999999999</v>
      </c>
      <c r="G89">
        <v>15.195835000000001</v>
      </c>
      <c r="H89">
        <v>15.453761999999999</v>
      </c>
      <c r="I89">
        <v>15.764835</v>
      </c>
      <c r="J89">
        <v>16.103656999999998</v>
      </c>
      <c r="K89">
        <v>16.460249000000001</v>
      </c>
      <c r="L89">
        <v>16.807583000000001</v>
      </c>
      <c r="M89">
        <v>17.144188</v>
      </c>
      <c r="N89">
        <v>17.457806000000001</v>
      </c>
      <c r="O89">
        <v>17.746956000000001</v>
      </c>
      <c r="P89">
        <v>18.018951000000001</v>
      </c>
      <c r="Q89">
        <v>18.272202</v>
      </c>
      <c r="R89">
        <v>18.49737</v>
      </c>
      <c r="S89">
        <v>18.698295999999999</v>
      </c>
      <c r="T89">
        <v>18.881610999999999</v>
      </c>
      <c r="U89">
        <v>19.048977000000001</v>
      </c>
      <c r="V89">
        <v>19.200341999999999</v>
      </c>
      <c r="W89">
        <v>19.331123000000002</v>
      </c>
      <c r="X89">
        <v>19.443902999999999</v>
      </c>
      <c r="Y89">
        <v>19.542442000000001</v>
      </c>
      <c r="Z89">
        <v>19.624690999999999</v>
      </c>
      <c r="AA89">
        <v>19.687042000000002</v>
      </c>
      <c r="AB89">
        <v>19.732797999999999</v>
      </c>
      <c r="AC89">
        <v>19.765715</v>
      </c>
      <c r="AD89">
        <v>19.789014999999999</v>
      </c>
      <c r="AE89">
        <v>19.803076000000001</v>
      </c>
      <c r="AF89">
        <v>19.809339999999999</v>
      </c>
      <c r="AG89">
        <v>19.811682000000001</v>
      </c>
      <c r="AH89">
        <v>19.811537000000001</v>
      </c>
      <c r="AI89" s="22">
        <v>0.01</v>
      </c>
    </row>
    <row r="90" spans="1:35">
      <c r="A90" t="s">
        <v>235</v>
      </c>
      <c r="B90" t="s">
        <v>1810</v>
      </c>
      <c r="C90" t="s">
        <v>1811</v>
      </c>
      <c r="D90" t="s">
        <v>268</v>
      </c>
      <c r="F90">
        <v>10.726827</v>
      </c>
      <c r="G90">
        <v>11.005366</v>
      </c>
      <c r="H90">
        <v>11.295146000000001</v>
      </c>
      <c r="I90">
        <v>11.596507000000001</v>
      </c>
      <c r="J90">
        <v>11.891500000000001</v>
      </c>
      <c r="K90">
        <v>12.183458</v>
      </c>
      <c r="L90">
        <v>12.456664</v>
      </c>
      <c r="M90">
        <v>12.71387</v>
      </c>
      <c r="N90">
        <v>12.949475</v>
      </c>
      <c r="O90">
        <v>13.167376000000001</v>
      </c>
      <c r="P90">
        <v>13.364095000000001</v>
      </c>
      <c r="Q90">
        <v>13.539407000000001</v>
      </c>
      <c r="R90">
        <v>13.695525999999999</v>
      </c>
      <c r="S90">
        <v>13.836619000000001</v>
      </c>
      <c r="T90">
        <v>13.962876</v>
      </c>
      <c r="U90">
        <v>14.077448</v>
      </c>
      <c r="V90">
        <v>14.185199000000001</v>
      </c>
      <c r="W90">
        <v>14.290082999999999</v>
      </c>
      <c r="X90">
        <v>14.388892999999999</v>
      </c>
      <c r="Y90">
        <v>14.442099000000001</v>
      </c>
      <c r="Z90">
        <v>14.491308</v>
      </c>
      <c r="AA90">
        <v>14.538304</v>
      </c>
      <c r="AB90">
        <v>14.576364</v>
      </c>
      <c r="AC90">
        <v>14.611788000000001</v>
      </c>
      <c r="AD90">
        <v>14.644666000000001</v>
      </c>
      <c r="AE90">
        <v>14.676098</v>
      </c>
      <c r="AF90">
        <v>14.708055</v>
      </c>
      <c r="AG90">
        <v>14.740869999999999</v>
      </c>
      <c r="AH90">
        <v>14.772921</v>
      </c>
      <c r="AI90" s="22">
        <v>1.0999999999999999E-2</v>
      </c>
    </row>
    <row r="91" spans="1:35">
      <c r="A91" t="s">
        <v>192</v>
      </c>
      <c r="B91" t="s">
        <v>1812</v>
      </c>
      <c r="C91" t="s">
        <v>1813</v>
      </c>
      <c r="D91" t="s">
        <v>268</v>
      </c>
      <c r="F91">
        <v>8.2871159999999993</v>
      </c>
      <c r="G91">
        <v>12.031981</v>
      </c>
      <c r="H91">
        <v>12.360588999999999</v>
      </c>
      <c r="I91">
        <v>12.523303</v>
      </c>
      <c r="J91">
        <v>12.634840000000001</v>
      </c>
      <c r="K91">
        <v>12.74039</v>
      </c>
      <c r="L91">
        <v>12.832022</v>
      </c>
      <c r="M91">
        <v>12.931651</v>
      </c>
      <c r="N91">
        <v>13.04673</v>
      </c>
      <c r="O91">
        <v>13.172309</v>
      </c>
      <c r="P91">
        <v>13.306245000000001</v>
      </c>
      <c r="Q91">
        <v>13.439323</v>
      </c>
      <c r="R91">
        <v>13.563253</v>
      </c>
      <c r="S91">
        <v>13.672013</v>
      </c>
      <c r="T91">
        <v>13.766769999999999</v>
      </c>
      <c r="U91">
        <v>13.849815</v>
      </c>
      <c r="V91">
        <v>13.922634</v>
      </c>
      <c r="W91">
        <v>13.986432000000001</v>
      </c>
      <c r="X91">
        <v>14.041862</v>
      </c>
      <c r="Y91">
        <v>14.089687</v>
      </c>
      <c r="Z91">
        <v>14.130868</v>
      </c>
      <c r="AA91">
        <v>14.166186</v>
      </c>
      <c r="AB91">
        <v>14.198964</v>
      </c>
      <c r="AC91">
        <v>14.22842</v>
      </c>
      <c r="AD91">
        <v>14.254268</v>
      </c>
      <c r="AE91">
        <v>14.276505</v>
      </c>
      <c r="AF91">
        <v>14.295197</v>
      </c>
      <c r="AG91">
        <v>14.310687</v>
      </c>
      <c r="AH91">
        <v>14.323290999999999</v>
      </c>
      <c r="AI91" s="22">
        <v>0.02</v>
      </c>
    </row>
    <row r="92" spans="1:35">
      <c r="A92" t="s">
        <v>195</v>
      </c>
      <c r="B92" t="s">
        <v>1814</v>
      </c>
      <c r="C92" t="s">
        <v>1815</v>
      </c>
      <c r="D92" t="s">
        <v>268</v>
      </c>
      <c r="F92">
        <v>10.037064000000001</v>
      </c>
      <c r="G92">
        <v>10.038249</v>
      </c>
      <c r="H92">
        <v>10.039481</v>
      </c>
      <c r="I92">
        <v>10.040761</v>
      </c>
      <c r="J92">
        <v>10.042078999999999</v>
      </c>
      <c r="K92">
        <v>10.043437000000001</v>
      </c>
      <c r="L92">
        <v>10.044829</v>
      </c>
      <c r="M92">
        <v>10.046252000000001</v>
      </c>
      <c r="N92">
        <v>10.047701999999999</v>
      </c>
      <c r="O92">
        <v>10.049175999999999</v>
      </c>
      <c r="P92">
        <v>10.050672</v>
      </c>
      <c r="Q92">
        <v>10.057157</v>
      </c>
      <c r="R92">
        <v>10.07352</v>
      </c>
      <c r="S92">
        <v>10.105247</v>
      </c>
      <c r="T92">
        <v>10.140972</v>
      </c>
      <c r="U92">
        <v>10.185603</v>
      </c>
      <c r="V92">
        <v>10.231821</v>
      </c>
      <c r="W92">
        <v>10.26587</v>
      </c>
      <c r="X92">
        <v>10.275093999999999</v>
      </c>
      <c r="Y92">
        <v>10.25789</v>
      </c>
      <c r="Z92">
        <v>10.216538</v>
      </c>
      <c r="AA92">
        <v>10.161301999999999</v>
      </c>
      <c r="AB92">
        <v>10.092756</v>
      </c>
      <c r="AC92">
        <v>10.027177</v>
      </c>
      <c r="AD92">
        <v>9.9940409999999993</v>
      </c>
      <c r="AE92">
        <v>10.014453</v>
      </c>
      <c r="AF92">
        <v>10.061934000000001</v>
      </c>
      <c r="AG92">
        <v>10.114000000000001</v>
      </c>
      <c r="AH92">
        <v>10.188726000000001</v>
      </c>
      <c r="AI92" s="22">
        <v>1E-3</v>
      </c>
    </row>
    <row r="93" spans="1:35">
      <c r="A93" t="s">
        <v>236</v>
      </c>
      <c r="B93" t="s">
        <v>1816</v>
      </c>
      <c r="C93" t="s">
        <v>1817</v>
      </c>
      <c r="D93" t="s">
        <v>268</v>
      </c>
      <c r="F93">
        <v>10.330606</v>
      </c>
      <c r="G93">
        <v>10.473398</v>
      </c>
      <c r="H93">
        <v>10.635232999999999</v>
      </c>
      <c r="I93">
        <v>10.811537</v>
      </c>
      <c r="J93">
        <v>10.992823</v>
      </c>
      <c r="K93">
        <v>11.179570999999999</v>
      </c>
      <c r="L93">
        <v>11.358347</v>
      </c>
      <c r="M93">
        <v>11.530927999999999</v>
      </c>
      <c r="N93">
        <v>11.697601000000001</v>
      </c>
      <c r="O93">
        <v>11.859797</v>
      </c>
      <c r="P93">
        <v>12.017756</v>
      </c>
      <c r="Q93">
        <v>12.173800999999999</v>
      </c>
      <c r="R93">
        <v>12.336893</v>
      </c>
      <c r="S93">
        <v>12.507586</v>
      </c>
      <c r="T93">
        <v>12.68805</v>
      </c>
      <c r="U93">
        <v>12.874475</v>
      </c>
      <c r="V93">
        <v>13.077565</v>
      </c>
      <c r="W93">
        <v>13.287155</v>
      </c>
      <c r="X93">
        <v>13.497173</v>
      </c>
      <c r="Y93">
        <v>13.658909</v>
      </c>
      <c r="Z93">
        <v>13.800933000000001</v>
      </c>
      <c r="AA93">
        <v>13.916017</v>
      </c>
      <c r="AB93">
        <v>14.006437999999999</v>
      </c>
      <c r="AC93">
        <v>14.081751000000001</v>
      </c>
      <c r="AD93">
        <v>14.147543000000001</v>
      </c>
      <c r="AE93">
        <v>14.206153</v>
      </c>
      <c r="AF93">
        <v>14.260489</v>
      </c>
      <c r="AG93">
        <v>14.31892</v>
      </c>
      <c r="AH93">
        <v>14.378976</v>
      </c>
      <c r="AI93" s="22">
        <v>1.2E-2</v>
      </c>
    </row>
    <row r="94" spans="1:35">
      <c r="A94" t="s">
        <v>237</v>
      </c>
      <c r="B94" t="s">
        <v>1818</v>
      </c>
      <c r="C94" t="s">
        <v>1819</v>
      </c>
      <c r="D94" t="s">
        <v>267</v>
      </c>
      <c r="F94">
        <v>24.120540999999999</v>
      </c>
      <c r="G94">
        <v>24.120649</v>
      </c>
      <c r="H94">
        <v>24.120832</v>
      </c>
      <c r="I94">
        <v>24.121075000000001</v>
      </c>
      <c r="J94">
        <v>24.121359000000002</v>
      </c>
      <c r="K94">
        <v>24.121646999999999</v>
      </c>
      <c r="L94">
        <v>24.12191</v>
      </c>
      <c r="M94">
        <v>24.1206</v>
      </c>
      <c r="N94">
        <v>24.120342000000001</v>
      </c>
      <c r="O94">
        <v>24.12031</v>
      </c>
      <c r="P94">
        <v>24.120283000000001</v>
      </c>
      <c r="Q94">
        <v>24.116168999999999</v>
      </c>
      <c r="R94">
        <v>24.116142</v>
      </c>
      <c r="S94">
        <v>24.116114</v>
      </c>
      <c r="T94">
        <v>24.116087</v>
      </c>
      <c r="U94">
        <v>24.116057999999999</v>
      </c>
      <c r="V94">
        <v>24.116029999999999</v>
      </c>
      <c r="W94">
        <v>24.116001000000001</v>
      </c>
      <c r="X94">
        <v>24.121918000000001</v>
      </c>
      <c r="Y94">
        <v>24.121894999999999</v>
      </c>
      <c r="Z94">
        <v>24.121870000000001</v>
      </c>
      <c r="AA94">
        <v>24.121849000000001</v>
      </c>
      <c r="AB94">
        <v>24.121849000000001</v>
      </c>
      <c r="AC94">
        <v>24.121849000000001</v>
      </c>
      <c r="AD94">
        <v>24.121849000000001</v>
      </c>
      <c r="AE94">
        <v>24.121849000000001</v>
      </c>
      <c r="AF94">
        <v>24.121849000000001</v>
      </c>
      <c r="AG94">
        <v>24.121849000000001</v>
      </c>
      <c r="AH94">
        <v>24.121849000000001</v>
      </c>
      <c r="AI94" s="22">
        <v>0</v>
      </c>
    </row>
    <row r="95" spans="1:35">
      <c r="A95" t="s">
        <v>238</v>
      </c>
      <c r="B95" t="s">
        <v>1820</v>
      </c>
      <c r="C95" t="s">
        <v>1821</v>
      </c>
      <c r="D95" t="s">
        <v>267</v>
      </c>
      <c r="F95">
        <v>0</v>
      </c>
      <c r="G95">
        <v>23.149602999999999</v>
      </c>
      <c r="H95">
        <v>23.472764999999999</v>
      </c>
      <c r="I95">
        <v>23.715693000000002</v>
      </c>
      <c r="J95">
        <v>23.940075</v>
      </c>
      <c r="K95">
        <v>24.190411000000001</v>
      </c>
      <c r="L95">
        <v>24.446352000000001</v>
      </c>
      <c r="M95">
        <v>24.748117000000001</v>
      </c>
      <c r="N95">
        <v>25.091992999999999</v>
      </c>
      <c r="O95">
        <v>25.473272000000001</v>
      </c>
      <c r="P95">
        <v>25.884830000000001</v>
      </c>
      <c r="Q95">
        <v>26.288961</v>
      </c>
      <c r="R95">
        <v>26.659797999999999</v>
      </c>
      <c r="S95">
        <v>26.990131000000002</v>
      </c>
      <c r="T95">
        <v>27.284669999999998</v>
      </c>
      <c r="U95">
        <v>27.544640000000001</v>
      </c>
      <c r="V95">
        <v>27.771345</v>
      </c>
      <c r="W95">
        <v>27.966187000000001</v>
      </c>
      <c r="X95">
        <v>28.130445000000002</v>
      </c>
      <c r="Y95">
        <v>28.266403</v>
      </c>
      <c r="Z95">
        <v>28.382709999999999</v>
      </c>
      <c r="AA95">
        <v>28.481961999999999</v>
      </c>
      <c r="AB95">
        <v>28.566258999999999</v>
      </c>
      <c r="AC95">
        <v>28.638152999999999</v>
      </c>
      <c r="AD95">
        <v>28.706033999999999</v>
      </c>
      <c r="AE95">
        <v>28.767852999999999</v>
      </c>
      <c r="AF95">
        <v>28.822959999999998</v>
      </c>
      <c r="AG95">
        <v>28.87105</v>
      </c>
      <c r="AH95">
        <v>28.912033000000001</v>
      </c>
      <c r="AI95" t="s">
        <v>111</v>
      </c>
    </row>
    <row r="96" spans="1:35">
      <c r="A96" t="s">
        <v>239</v>
      </c>
      <c r="B96" t="s">
        <v>1822</v>
      </c>
      <c r="C96" t="s">
        <v>1823</v>
      </c>
      <c r="D96" t="s">
        <v>268</v>
      </c>
      <c r="F96">
        <v>0</v>
      </c>
      <c r="G96">
        <v>18.966135000000001</v>
      </c>
      <c r="H96">
        <v>19.092039</v>
      </c>
      <c r="I96">
        <v>19.214801999999999</v>
      </c>
      <c r="J96">
        <v>19.305622</v>
      </c>
      <c r="K96">
        <v>19.397898000000001</v>
      </c>
      <c r="L96">
        <v>19.482711999999999</v>
      </c>
      <c r="M96">
        <v>19.577449999999999</v>
      </c>
      <c r="N96">
        <v>19.683924000000001</v>
      </c>
      <c r="O96">
        <v>19.801506</v>
      </c>
      <c r="P96">
        <v>19.927548999999999</v>
      </c>
      <c r="Q96">
        <v>20.055523000000001</v>
      </c>
      <c r="R96">
        <v>20.178999000000001</v>
      </c>
      <c r="S96">
        <v>20.292757000000002</v>
      </c>
      <c r="T96">
        <v>20.398233000000001</v>
      </c>
      <c r="U96">
        <v>20.494122000000001</v>
      </c>
      <c r="V96">
        <v>20.578828999999999</v>
      </c>
      <c r="W96">
        <v>20.651620999999999</v>
      </c>
      <c r="X96">
        <v>20.712885</v>
      </c>
      <c r="Y96">
        <v>20.763338000000001</v>
      </c>
      <c r="Z96">
        <v>20.805949999999999</v>
      </c>
      <c r="AA96">
        <v>20.841664999999999</v>
      </c>
      <c r="AB96">
        <v>20.871314999999999</v>
      </c>
      <c r="AC96">
        <v>20.895990000000001</v>
      </c>
      <c r="AD96">
        <v>20.918527999999998</v>
      </c>
      <c r="AE96">
        <v>20.938431000000001</v>
      </c>
      <c r="AF96">
        <v>20.955587000000001</v>
      </c>
      <c r="AG96">
        <v>20.970182000000001</v>
      </c>
      <c r="AH96">
        <v>20.982382000000001</v>
      </c>
      <c r="AI96" t="s">
        <v>111</v>
      </c>
    </row>
    <row r="97" spans="1:35">
      <c r="A97" t="s">
        <v>240</v>
      </c>
      <c r="B97" t="s">
        <v>1824</v>
      </c>
      <c r="C97" t="s">
        <v>1825</v>
      </c>
      <c r="D97" t="s">
        <v>267</v>
      </c>
      <c r="F97">
        <v>0</v>
      </c>
      <c r="G97">
        <v>0</v>
      </c>
      <c r="H97">
        <v>18.589188</v>
      </c>
      <c r="I97">
        <v>17.308316999999999</v>
      </c>
      <c r="J97">
        <v>16.941782</v>
      </c>
      <c r="K97">
        <v>16.756969000000002</v>
      </c>
      <c r="L97">
        <v>16.642426</v>
      </c>
      <c r="M97">
        <v>16.563610000000001</v>
      </c>
      <c r="N97">
        <v>16.506260000000001</v>
      </c>
      <c r="O97">
        <v>16.462553</v>
      </c>
      <c r="P97">
        <v>16.427906</v>
      </c>
      <c r="Q97">
        <v>16.400134999999999</v>
      </c>
      <c r="R97">
        <v>16.378022999999999</v>
      </c>
      <c r="S97">
        <v>16.360289000000002</v>
      </c>
      <c r="T97">
        <v>16.346004000000001</v>
      </c>
      <c r="U97">
        <v>16.334526</v>
      </c>
      <c r="V97">
        <v>16.325377</v>
      </c>
      <c r="W97">
        <v>16.318187999999999</v>
      </c>
      <c r="X97">
        <v>16.312683</v>
      </c>
      <c r="Y97">
        <v>16.308593999999999</v>
      </c>
      <c r="Z97">
        <v>16.305630000000001</v>
      </c>
      <c r="AA97">
        <v>16.300325000000001</v>
      </c>
      <c r="AB97">
        <v>16.295318999999999</v>
      </c>
      <c r="AC97">
        <v>16.291018000000001</v>
      </c>
      <c r="AD97">
        <v>16.287289000000001</v>
      </c>
      <c r="AE97">
        <v>16.278582</v>
      </c>
      <c r="AF97">
        <v>16.271843000000001</v>
      </c>
      <c r="AG97">
        <v>16.266584000000002</v>
      </c>
      <c r="AH97">
        <v>16.262445</v>
      </c>
      <c r="AI97" t="s">
        <v>111</v>
      </c>
    </row>
    <row r="98" spans="1:35">
      <c r="A98" t="s">
        <v>249</v>
      </c>
      <c r="B98" t="s">
        <v>1826</v>
      </c>
      <c r="C98" t="s">
        <v>1827</v>
      </c>
      <c r="F98">
        <v>13.701715</v>
      </c>
      <c r="G98">
        <v>13.874705000000001</v>
      </c>
      <c r="H98">
        <v>14.09103</v>
      </c>
      <c r="I98">
        <v>14.350107</v>
      </c>
      <c r="J98">
        <v>14.627439000000001</v>
      </c>
      <c r="K98">
        <v>14.917809</v>
      </c>
      <c r="L98">
        <v>15.198219</v>
      </c>
      <c r="M98">
        <v>15.468105</v>
      </c>
      <c r="N98">
        <v>15.718248000000001</v>
      </c>
      <c r="O98">
        <v>15.950189</v>
      </c>
      <c r="P98">
        <v>16.164223</v>
      </c>
      <c r="Q98">
        <v>16.358761000000001</v>
      </c>
      <c r="R98">
        <v>16.530821</v>
      </c>
      <c r="S98">
        <v>16.684151</v>
      </c>
      <c r="T98">
        <v>16.821214999999999</v>
      </c>
      <c r="U98">
        <v>16.944859000000001</v>
      </c>
      <c r="V98">
        <v>17.058762000000002</v>
      </c>
      <c r="W98">
        <v>17.163989999999998</v>
      </c>
      <c r="X98">
        <v>17.259305999999999</v>
      </c>
      <c r="Y98">
        <v>17.324244</v>
      </c>
      <c r="Z98">
        <v>17.380686000000001</v>
      </c>
      <c r="AA98">
        <v>17.429478</v>
      </c>
      <c r="AB98">
        <v>17.467466000000002</v>
      </c>
      <c r="AC98">
        <v>17.499217999999999</v>
      </c>
      <c r="AD98">
        <v>17.525841</v>
      </c>
      <c r="AE98">
        <v>17.548109</v>
      </c>
      <c r="AF98">
        <v>17.567924000000001</v>
      </c>
      <c r="AG98">
        <v>17.586690999999998</v>
      </c>
      <c r="AH98">
        <v>17.603672</v>
      </c>
      <c r="AI98" s="22">
        <v>8.9999999999999993E-3</v>
      </c>
    </row>
    <row r="99" spans="1:35">
      <c r="A99" t="s">
        <v>171</v>
      </c>
    </row>
    <row r="100" spans="1:35">
      <c r="A100" t="s">
        <v>189</v>
      </c>
      <c r="B100" t="s">
        <v>1828</v>
      </c>
      <c r="C100" t="s">
        <v>1829</v>
      </c>
      <c r="D100" t="s">
        <v>267</v>
      </c>
      <c r="F100">
        <v>9.1881959999999996</v>
      </c>
      <c r="G100">
        <v>9.3360979999999998</v>
      </c>
      <c r="H100">
        <v>9.4993839999999992</v>
      </c>
      <c r="I100">
        <v>9.6925690000000007</v>
      </c>
      <c r="J100">
        <v>9.913354</v>
      </c>
      <c r="K100">
        <v>10.152265999999999</v>
      </c>
      <c r="L100">
        <v>10.389875</v>
      </c>
      <c r="M100">
        <v>10.634052000000001</v>
      </c>
      <c r="N100">
        <v>10.877926</v>
      </c>
      <c r="O100">
        <v>11.121212</v>
      </c>
      <c r="P100">
        <v>11.358387</v>
      </c>
      <c r="Q100">
        <v>11.582022</v>
      </c>
      <c r="R100">
        <v>11.788220000000001</v>
      </c>
      <c r="S100">
        <v>11.976482000000001</v>
      </c>
      <c r="T100">
        <v>12.14776</v>
      </c>
      <c r="U100">
        <v>12.304593000000001</v>
      </c>
      <c r="V100">
        <v>12.450073</v>
      </c>
      <c r="W100">
        <v>12.585081000000001</v>
      </c>
      <c r="X100">
        <v>12.70984</v>
      </c>
      <c r="Y100">
        <v>12.825391</v>
      </c>
      <c r="Z100">
        <v>12.930717</v>
      </c>
      <c r="AA100">
        <v>13.021278000000001</v>
      </c>
      <c r="AB100">
        <v>13.098618999999999</v>
      </c>
      <c r="AC100">
        <v>13.167104999999999</v>
      </c>
      <c r="AD100">
        <v>13.230903</v>
      </c>
      <c r="AE100">
        <v>13.288655</v>
      </c>
      <c r="AF100">
        <v>13.341359000000001</v>
      </c>
      <c r="AG100">
        <v>13.391953000000001</v>
      </c>
      <c r="AH100">
        <v>13.441268000000001</v>
      </c>
      <c r="AI100" s="22">
        <v>1.4E-2</v>
      </c>
    </row>
    <row r="101" spans="1:35">
      <c r="A101" t="s">
        <v>235</v>
      </c>
      <c r="B101" t="s">
        <v>1830</v>
      </c>
      <c r="C101" t="s">
        <v>1831</v>
      </c>
      <c r="D101" t="s">
        <v>268</v>
      </c>
      <c r="F101">
        <v>6.7468120000000003</v>
      </c>
      <c r="G101">
        <v>6.8059729999999998</v>
      </c>
      <c r="H101">
        <v>6.873291</v>
      </c>
      <c r="I101">
        <v>6.9574809999999996</v>
      </c>
      <c r="J101">
        <v>7.0568479999999996</v>
      </c>
      <c r="K101">
        <v>7.1691409999999998</v>
      </c>
      <c r="L101">
        <v>7.2814930000000002</v>
      </c>
      <c r="M101">
        <v>7.3995740000000003</v>
      </c>
      <c r="N101">
        <v>7.5210590000000002</v>
      </c>
      <c r="O101">
        <v>7.6459349999999997</v>
      </c>
      <c r="P101">
        <v>7.7708170000000001</v>
      </c>
      <c r="Q101">
        <v>7.8944700000000001</v>
      </c>
      <c r="R101">
        <v>8.0109539999999999</v>
      </c>
      <c r="S101">
        <v>8.1219750000000008</v>
      </c>
      <c r="T101">
        <v>8.2289169999999991</v>
      </c>
      <c r="U101">
        <v>8.3291719999999998</v>
      </c>
      <c r="V101">
        <v>8.4281629999999996</v>
      </c>
      <c r="W101">
        <v>8.5185870000000001</v>
      </c>
      <c r="X101">
        <v>8.6068610000000003</v>
      </c>
      <c r="Y101">
        <v>8.6880790000000001</v>
      </c>
      <c r="Z101">
        <v>8.7629099999999998</v>
      </c>
      <c r="AA101">
        <v>8.8294060000000005</v>
      </c>
      <c r="AB101">
        <v>8.8887710000000002</v>
      </c>
      <c r="AC101">
        <v>8.9441930000000003</v>
      </c>
      <c r="AD101">
        <v>8.9965679999999999</v>
      </c>
      <c r="AE101">
        <v>9.0463989999999992</v>
      </c>
      <c r="AF101">
        <v>9.0921070000000004</v>
      </c>
      <c r="AG101">
        <v>9.1344960000000004</v>
      </c>
      <c r="AH101">
        <v>9.1756949999999993</v>
      </c>
      <c r="AI101" s="22">
        <v>1.0999999999999999E-2</v>
      </c>
    </row>
    <row r="102" spans="1:35">
      <c r="A102" t="s">
        <v>192</v>
      </c>
      <c r="B102" t="s">
        <v>1832</v>
      </c>
      <c r="C102" t="s">
        <v>1833</v>
      </c>
      <c r="D102" t="s">
        <v>268</v>
      </c>
      <c r="F102">
        <v>6.6715020000000003</v>
      </c>
      <c r="G102">
        <v>6.7379670000000003</v>
      </c>
      <c r="H102">
        <v>6.8133189999999999</v>
      </c>
      <c r="I102">
        <v>6.9043219999999996</v>
      </c>
      <c r="J102">
        <v>7.014678</v>
      </c>
      <c r="K102">
        <v>7.1440590000000004</v>
      </c>
      <c r="L102">
        <v>7.2798879999999997</v>
      </c>
      <c r="M102">
        <v>7.4298159999999998</v>
      </c>
      <c r="N102">
        <v>7.5880369999999999</v>
      </c>
      <c r="O102">
        <v>7.754562</v>
      </c>
      <c r="P102">
        <v>7.9247709999999998</v>
      </c>
      <c r="Q102">
        <v>8.0899739999999998</v>
      </c>
      <c r="R102">
        <v>8.243411</v>
      </c>
      <c r="S102">
        <v>8.3951379999999993</v>
      </c>
      <c r="T102">
        <v>8.5370089999999994</v>
      </c>
      <c r="U102">
        <v>8.6666539999999994</v>
      </c>
      <c r="V102">
        <v>8.7836040000000004</v>
      </c>
      <c r="W102">
        <v>8.8865029999999994</v>
      </c>
      <c r="X102">
        <v>8.9737419999999997</v>
      </c>
      <c r="Y102">
        <v>9.0449629999999992</v>
      </c>
      <c r="Z102">
        <v>9.1032170000000008</v>
      </c>
      <c r="AA102">
        <v>9.1507470000000009</v>
      </c>
      <c r="AB102">
        <v>9.1891639999999999</v>
      </c>
      <c r="AC102">
        <v>9.2199039999999997</v>
      </c>
      <c r="AD102">
        <v>9.2445839999999997</v>
      </c>
      <c r="AE102">
        <v>9.2646040000000003</v>
      </c>
      <c r="AF102">
        <v>9.2811260000000004</v>
      </c>
      <c r="AG102">
        <v>9.3066549999999992</v>
      </c>
      <c r="AH102">
        <v>9.3273050000000008</v>
      </c>
      <c r="AI102" s="22">
        <v>1.2E-2</v>
      </c>
    </row>
    <row r="103" spans="1:35">
      <c r="A103" t="s">
        <v>195</v>
      </c>
      <c r="B103" t="s">
        <v>1834</v>
      </c>
      <c r="C103" t="s">
        <v>1835</v>
      </c>
      <c r="D103" t="s">
        <v>268</v>
      </c>
      <c r="F103">
        <v>6.6810460000000003</v>
      </c>
      <c r="G103">
        <v>6.7347700000000001</v>
      </c>
      <c r="H103">
        <v>6.7912619999999997</v>
      </c>
      <c r="I103">
        <v>6.8525619999999998</v>
      </c>
      <c r="J103">
        <v>6.9165469999999996</v>
      </c>
      <c r="K103">
        <v>6.9814170000000004</v>
      </c>
      <c r="L103">
        <v>7.0393889999999999</v>
      </c>
      <c r="M103">
        <v>7.0962230000000002</v>
      </c>
      <c r="N103">
        <v>7.1518350000000002</v>
      </c>
      <c r="O103">
        <v>7.2026159999999999</v>
      </c>
      <c r="P103">
        <v>7.2466290000000004</v>
      </c>
      <c r="Q103">
        <v>7.2856579999999997</v>
      </c>
      <c r="R103">
        <v>7.3224910000000003</v>
      </c>
      <c r="S103">
        <v>7.3556160000000004</v>
      </c>
      <c r="T103">
        <v>7.3862129999999997</v>
      </c>
      <c r="U103">
        <v>7.4103599999999998</v>
      </c>
      <c r="V103">
        <v>7.4297750000000002</v>
      </c>
      <c r="W103">
        <v>7.4391299999999996</v>
      </c>
      <c r="X103">
        <v>7.442882</v>
      </c>
      <c r="Y103">
        <v>7.4515510000000003</v>
      </c>
      <c r="Z103">
        <v>7.4542679999999999</v>
      </c>
      <c r="AA103">
        <v>7.4803759999999997</v>
      </c>
      <c r="AB103">
        <v>7.5229039999999996</v>
      </c>
      <c r="AC103">
        <v>7.5534239999999997</v>
      </c>
      <c r="AD103">
        <v>7.5750149999999996</v>
      </c>
      <c r="AE103">
        <v>7.614058</v>
      </c>
      <c r="AF103">
        <v>7.6656029999999999</v>
      </c>
      <c r="AG103">
        <v>7.7196670000000003</v>
      </c>
      <c r="AH103">
        <v>7.767271</v>
      </c>
      <c r="AI103" s="22">
        <v>5.0000000000000001E-3</v>
      </c>
    </row>
    <row r="104" spans="1:35">
      <c r="A104" t="s">
        <v>236</v>
      </c>
      <c r="B104" t="s">
        <v>1836</v>
      </c>
      <c r="C104" t="s">
        <v>1837</v>
      </c>
      <c r="D104" t="s">
        <v>269</v>
      </c>
      <c r="F104">
        <v>6.8776599999999997</v>
      </c>
      <c r="G104">
        <v>6.9464769999999998</v>
      </c>
      <c r="H104">
        <v>7.0316939999999999</v>
      </c>
      <c r="I104">
        <v>7.1393779999999998</v>
      </c>
      <c r="J104">
        <v>7.2710100000000004</v>
      </c>
      <c r="K104">
        <v>7.4228050000000003</v>
      </c>
      <c r="L104">
        <v>7.5675879999999998</v>
      </c>
      <c r="M104">
        <v>7.7185959999999998</v>
      </c>
      <c r="N104">
        <v>7.868862</v>
      </c>
      <c r="O104">
        <v>8.0213760000000001</v>
      </c>
      <c r="P104">
        <v>8.1704209999999993</v>
      </c>
      <c r="Q104">
        <v>8.3122059999999998</v>
      </c>
      <c r="R104">
        <v>8.4322219999999994</v>
      </c>
      <c r="S104">
        <v>8.5384259999999994</v>
      </c>
      <c r="T104">
        <v>8.6339450000000006</v>
      </c>
      <c r="U104">
        <v>8.7155539999999991</v>
      </c>
      <c r="V104">
        <v>8.7864950000000004</v>
      </c>
      <c r="W104">
        <v>8.8488640000000007</v>
      </c>
      <c r="X104">
        <v>8.8984299999999994</v>
      </c>
      <c r="Y104">
        <v>8.9431840000000005</v>
      </c>
      <c r="Z104">
        <v>8.9809140000000003</v>
      </c>
      <c r="AA104">
        <v>9.0129999999999999</v>
      </c>
      <c r="AB104">
        <v>9.0410540000000008</v>
      </c>
      <c r="AC104">
        <v>9.0654760000000003</v>
      </c>
      <c r="AD104">
        <v>9.0876669999999997</v>
      </c>
      <c r="AE104">
        <v>9.1082640000000001</v>
      </c>
      <c r="AF104">
        <v>9.1278100000000002</v>
      </c>
      <c r="AG104">
        <v>9.1450809999999993</v>
      </c>
      <c r="AH104">
        <v>9.1601099999999995</v>
      </c>
      <c r="AI104" s="22">
        <v>0.01</v>
      </c>
    </row>
    <row r="105" spans="1:35">
      <c r="A105" t="s">
        <v>237</v>
      </c>
      <c r="B105" t="s">
        <v>1838</v>
      </c>
      <c r="C105" t="s">
        <v>1839</v>
      </c>
      <c r="D105" t="s">
        <v>268</v>
      </c>
      <c r="F105">
        <v>17.408874999999998</v>
      </c>
      <c r="G105">
        <v>17.423165999999998</v>
      </c>
      <c r="H105">
        <v>17.482942999999999</v>
      </c>
      <c r="I105">
        <v>17.581129000000001</v>
      </c>
      <c r="J105">
        <v>17.712309000000001</v>
      </c>
      <c r="K105">
        <v>17.8626</v>
      </c>
      <c r="L105">
        <v>18.002521999999999</v>
      </c>
      <c r="M105">
        <v>18.150670999999999</v>
      </c>
      <c r="N105">
        <v>18.300470000000001</v>
      </c>
      <c r="O105">
        <v>18.449529999999999</v>
      </c>
      <c r="P105">
        <v>18.594228999999999</v>
      </c>
      <c r="Q105">
        <v>18.726381</v>
      </c>
      <c r="R105">
        <v>18.804873000000001</v>
      </c>
      <c r="S105">
        <v>18.890383</v>
      </c>
      <c r="T105">
        <v>18.995626000000001</v>
      </c>
      <c r="U105">
        <v>19.084696000000001</v>
      </c>
      <c r="V105">
        <v>19.140737999999999</v>
      </c>
      <c r="W105">
        <v>19.18825</v>
      </c>
      <c r="X105">
        <v>19.252804000000001</v>
      </c>
      <c r="Y105">
        <v>19.303322000000001</v>
      </c>
      <c r="Z105">
        <v>19.341737999999999</v>
      </c>
      <c r="AA105">
        <v>19.371510000000001</v>
      </c>
      <c r="AB105">
        <v>19.394907</v>
      </c>
      <c r="AC105">
        <v>19.411966</v>
      </c>
      <c r="AD105">
        <v>19.423490999999999</v>
      </c>
      <c r="AE105">
        <v>19.433184000000001</v>
      </c>
      <c r="AF105">
        <v>19.439589000000002</v>
      </c>
      <c r="AG105">
        <v>19.397735999999998</v>
      </c>
      <c r="AH105">
        <v>19.397739000000001</v>
      </c>
      <c r="AI105" s="22">
        <v>4.0000000000000001E-3</v>
      </c>
    </row>
    <row r="106" spans="1:35">
      <c r="A106" t="s">
        <v>238</v>
      </c>
      <c r="B106" t="s">
        <v>1840</v>
      </c>
      <c r="C106" t="s">
        <v>1841</v>
      </c>
      <c r="D106" t="s">
        <v>268</v>
      </c>
      <c r="F106">
        <v>0</v>
      </c>
      <c r="G106">
        <v>0</v>
      </c>
      <c r="H106">
        <v>14.554</v>
      </c>
      <c r="I106">
        <v>14.824313999999999</v>
      </c>
      <c r="J106">
        <v>15.014953999999999</v>
      </c>
      <c r="K106">
        <v>15.212344999999999</v>
      </c>
      <c r="L106">
        <v>15.390496000000001</v>
      </c>
      <c r="M106">
        <v>15.579511999999999</v>
      </c>
      <c r="N106">
        <v>15.770977999999999</v>
      </c>
      <c r="O106">
        <v>15.972148000000001</v>
      </c>
      <c r="P106">
        <v>16.189619</v>
      </c>
      <c r="Q106">
        <v>16.420777999999999</v>
      </c>
      <c r="R106">
        <v>16.650421000000001</v>
      </c>
      <c r="S106">
        <v>16.858395000000002</v>
      </c>
      <c r="T106">
        <v>17.062218000000001</v>
      </c>
      <c r="U106">
        <v>17.254933999999999</v>
      </c>
      <c r="V106">
        <v>17.42662</v>
      </c>
      <c r="W106">
        <v>17.578842000000002</v>
      </c>
      <c r="X106">
        <v>17.711262000000001</v>
      </c>
      <c r="Y106">
        <v>17.824017000000001</v>
      </c>
      <c r="Z106">
        <v>17.918346</v>
      </c>
      <c r="AA106">
        <v>18.007669</v>
      </c>
      <c r="AB106">
        <v>18.082498999999999</v>
      </c>
      <c r="AC106">
        <v>18.145136000000001</v>
      </c>
      <c r="AD106">
        <v>18.197275000000001</v>
      </c>
      <c r="AE106">
        <v>18.241306000000002</v>
      </c>
      <c r="AF106">
        <v>18.278448000000001</v>
      </c>
      <c r="AG106">
        <v>18.293972</v>
      </c>
      <c r="AH106">
        <v>18.307734</v>
      </c>
      <c r="AI106" t="s">
        <v>111</v>
      </c>
    </row>
    <row r="107" spans="1:35">
      <c r="A107" t="s">
        <v>239</v>
      </c>
      <c r="B107" t="s">
        <v>1842</v>
      </c>
      <c r="C107" t="s">
        <v>1843</v>
      </c>
      <c r="D107" t="s">
        <v>268</v>
      </c>
      <c r="F107">
        <v>0</v>
      </c>
      <c r="G107">
        <v>0</v>
      </c>
      <c r="H107">
        <v>10.500056000000001</v>
      </c>
      <c r="I107">
        <v>10.663458</v>
      </c>
      <c r="J107">
        <v>10.770956</v>
      </c>
      <c r="K107">
        <v>10.877931</v>
      </c>
      <c r="L107">
        <v>10.974544</v>
      </c>
      <c r="M107">
        <v>11.080019</v>
      </c>
      <c r="N107">
        <v>11.197202000000001</v>
      </c>
      <c r="O107">
        <v>11.329388</v>
      </c>
      <c r="P107">
        <v>11.479568</v>
      </c>
      <c r="Q107">
        <v>11.645052</v>
      </c>
      <c r="R107">
        <v>11.816371</v>
      </c>
      <c r="S107">
        <v>11.969814</v>
      </c>
      <c r="T107">
        <v>12.12377</v>
      </c>
      <c r="U107">
        <v>12.271343999999999</v>
      </c>
      <c r="V107">
        <v>12.403601</v>
      </c>
      <c r="W107">
        <v>12.520307000000001</v>
      </c>
      <c r="X107">
        <v>12.620941</v>
      </c>
      <c r="Y107">
        <v>12.705432</v>
      </c>
      <c r="Z107">
        <v>12.774882</v>
      </c>
      <c r="AA107">
        <v>12.837982</v>
      </c>
      <c r="AB107">
        <v>12.889324999999999</v>
      </c>
      <c r="AC107">
        <v>12.930984</v>
      </c>
      <c r="AD107">
        <v>12.964622</v>
      </c>
      <c r="AE107">
        <v>12.991986000000001</v>
      </c>
      <c r="AF107">
        <v>13.014219000000001</v>
      </c>
      <c r="AG107">
        <v>13.032406</v>
      </c>
      <c r="AH107">
        <v>13.047252</v>
      </c>
      <c r="AI107" t="s">
        <v>111</v>
      </c>
    </row>
    <row r="108" spans="1:35">
      <c r="A108" t="s">
        <v>240</v>
      </c>
      <c r="B108" t="s">
        <v>1844</v>
      </c>
      <c r="C108" t="s">
        <v>1845</v>
      </c>
      <c r="D108" t="s">
        <v>268</v>
      </c>
      <c r="F108">
        <v>0</v>
      </c>
      <c r="G108">
        <v>0</v>
      </c>
      <c r="H108">
        <v>11.516575</v>
      </c>
      <c r="I108">
        <v>11.516747000000001</v>
      </c>
      <c r="J108">
        <v>11.516781</v>
      </c>
      <c r="K108">
        <v>11.5168</v>
      </c>
      <c r="L108">
        <v>11.516813000000001</v>
      </c>
      <c r="M108">
        <v>11.516828</v>
      </c>
      <c r="N108">
        <v>11.516838999999999</v>
      </c>
      <c r="O108">
        <v>11.516855</v>
      </c>
      <c r="P108">
        <v>11.516870000000001</v>
      </c>
      <c r="Q108">
        <v>11.516885</v>
      </c>
      <c r="R108">
        <v>11.516895</v>
      </c>
      <c r="S108">
        <v>11.516905</v>
      </c>
      <c r="T108">
        <v>11.516907</v>
      </c>
      <c r="U108">
        <v>11.516908000000001</v>
      </c>
      <c r="V108">
        <v>11.516905</v>
      </c>
      <c r="W108">
        <v>11.516905</v>
      </c>
      <c r="X108">
        <v>11.516899</v>
      </c>
      <c r="Y108">
        <v>11.516897999999999</v>
      </c>
      <c r="Z108">
        <v>11.516895999999999</v>
      </c>
      <c r="AA108">
        <v>11.516893</v>
      </c>
      <c r="AB108">
        <v>11.516890999999999</v>
      </c>
      <c r="AC108">
        <v>11.516890999999999</v>
      </c>
      <c r="AD108">
        <v>11.51689</v>
      </c>
      <c r="AE108">
        <v>11.516890999999999</v>
      </c>
      <c r="AF108">
        <v>11.516887000000001</v>
      </c>
      <c r="AG108">
        <v>11.516889000000001</v>
      </c>
      <c r="AH108">
        <v>11.516883</v>
      </c>
      <c r="AI108" t="s">
        <v>111</v>
      </c>
    </row>
    <row r="109" spans="1:35">
      <c r="A109" t="s">
        <v>250</v>
      </c>
      <c r="B109" t="s">
        <v>1846</v>
      </c>
      <c r="C109" t="s">
        <v>1847</v>
      </c>
      <c r="F109">
        <v>8.204955</v>
      </c>
      <c r="G109">
        <v>8.3157870000000003</v>
      </c>
      <c r="H109">
        <v>8.4378159999999998</v>
      </c>
      <c r="I109">
        <v>8.5862459999999992</v>
      </c>
      <c r="J109">
        <v>8.7571700000000003</v>
      </c>
      <c r="K109">
        <v>8.9445899999999998</v>
      </c>
      <c r="L109">
        <v>9.1308469999999993</v>
      </c>
      <c r="M109">
        <v>9.3225560000000005</v>
      </c>
      <c r="N109">
        <v>9.515466</v>
      </c>
      <c r="O109">
        <v>9.709721</v>
      </c>
      <c r="P109">
        <v>9.8998550000000005</v>
      </c>
      <c r="Q109">
        <v>10.082129999999999</v>
      </c>
      <c r="R109">
        <v>10.250633000000001</v>
      </c>
      <c r="S109">
        <v>10.406843</v>
      </c>
      <c r="T109">
        <v>10.553023</v>
      </c>
      <c r="U109">
        <v>10.687296</v>
      </c>
      <c r="V109">
        <v>10.81714</v>
      </c>
      <c r="W109">
        <v>10.934727000000001</v>
      </c>
      <c r="X109">
        <v>11.047109000000001</v>
      </c>
      <c r="Y109">
        <v>11.14997</v>
      </c>
      <c r="Z109">
        <v>11.243423</v>
      </c>
      <c r="AA109">
        <v>11.324615</v>
      </c>
      <c r="AB109">
        <v>11.395239</v>
      </c>
      <c r="AC109">
        <v>11.459415999999999</v>
      </c>
      <c r="AD109">
        <v>11.519515999999999</v>
      </c>
      <c r="AE109">
        <v>11.575438999999999</v>
      </c>
      <c r="AF109">
        <v>11.626836000000001</v>
      </c>
      <c r="AG109">
        <v>11.675577000000001</v>
      </c>
      <c r="AH109">
        <v>11.723552</v>
      </c>
      <c r="AI109" s="22">
        <v>1.2999999999999999E-2</v>
      </c>
    </row>
    <row r="110" spans="1:35">
      <c r="A110" t="s">
        <v>243</v>
      </c>
    </row>
    <row r="111" spans="1:35">
      <c r="A111" t="s">
        <v>189</v>
      </c>
      <c r="B111" t="s">
        <v>1848</v>
      </c>
      <c r="C111" t="s">
        <v>1849</v>
      </c>
      <c r="D111" t="s">
        <v>267</v>
      </c>
      <c r="F111">
        <v>6.1723790000000003</v>
      </c>
      <c r="G111">
        <v>6.2501629999999997</v>
      </c>
      <c r="H111">
        <v>6.3399929999999998</v>
      </c>
      <c r="I111">
        <v>6.4461300000000001</v>
      </c>
      <c r="J111">
        <v>6.5662589999999996</v>
      </c>
      <c r="K111">
        <v>6.6943140000000003</v>
      </c>
      <c r="L111">
        <v>6.819439</v>
      </c>
      <c r="M111">
        <v>6.9420869999999999</v>
      </c>
      <c r="N111">
        <v>7.0601950000000002</v>
      </c>
      <c r="O111">
        <v>7.17354</v>
      </c>
      <c r="P111">
        <v>7.2810879999999996</v>
      </c>
      <c r="Q111">
        <v>7.3780000000000001</v>
      </c>
      <c r="R111">
        <v>7.4628839999999999</v>
      </c>
      <c r="S111">
        <v>7.5364060000000004</v>
      </c>
      <c r="T111">
        <v>7.6005079999999996</v>
      </c>
      <c r="U111">
        <v>7.6560259999999998</v>
      </c>
      <c r="V111">
        <v>7.7032790000000002</v>
      </c>
      <c r="W111">
        <v>7.7446919999999997</v>
      </c>
      <c r="X111">
        <v>7.7809039999999996</v>
      </c>
      <c r="Y111">
        <v>7.8134550000000003</v>
      </c>
      <c r="Z111">
        <v>7.840757</v>
      </c>
      <c r="AA111">
        <v>7.8643190000000001</v>
      </c>
      <c r="AB111">
        <v>7.8844390000000004</v>
      </c>
      <c r="AC111">
        <v>7.9019810000000001</v>
      </c>
      <c r="AD111">
        <v>7.9185400000000001</v>
      </c>
      <c r="AE111">
        <v>7.9343510000000004</v>
      </c>
      <c r="AF111">
        <v>7.9497150000000003</v>
      </c>
      <c r="AG111">
        <v>7.9657349999999996</v>
      </c>
      <c r="AH111">
        <v>7.9823529999999998</v>
      </c>
      <c r="AI111" s="22">
        <v>8.9999999999999993E-3</v>
      </c>
    </row>
    <row r="112" spans="1:35">
      <c r="A112" t="s">
        <v>235</v>
      </c>
      <c r="B112" t="s">
        <v>1850</v>
      </c>
      <c r="C112" t="s">
        <v>1851</v>
      </c>
      <c r="D112" t="s">
        <v>268</v>
      </c>
      <c r="F112">
        <v>5.5984280000000002</v>
      </c>
      <c r="G112">
        <v>5.6726150000000004</v>
      </c>
      <c r="H112">
        <v>5.7459030000000002</v>
      </c>
      <c r="I112">
        <v>5.8214740000000003</v>
      </c>
      <c r="J112">
        <v>5.8918400000000002</v>
      </c>
      <c r="K112">
        <v>5.9561289999999998</v>
      </c>
      <c r="L112">
        <v>6.0136279999999998</v>
      </c>
      <c r="M112">
        <v>6.0690499999999998</v>
      </c>
      <c r="N112">
        <v>6.118017</v>
      </c>
      <c r="O112">
        <v>6.1657859999999998</v>
      </c>
      <c r="P112">
        <v>6.2134349999999996</v>
      </c>
      <c r="Q112">
        <v>6.2599320000000001</v>
      </c>
      <c r="R112">
        <v>6.303585</v>
      </c>
      <c r="S112">
        <v>6.344659</v>
      </c>
      <c r="T112">
        <v>6.3852739999999999</v>
      </c>
      <c r="U112">
        <v>6.4225329999999996</v>
      </c>
      <c r="V112">
        <v>6.4575469999999999</v>
      </c>
      <c r="W112">
        <v>6.4912130000000001</v>
      </c>
      <c r="X112">
        <v>6.5247510000000002</v>
      </c>
      <c r="Y112">
        <v>6.5534470000000002</v>
      </c>
      <c r="Z112">
        <v>6.581798</v>
      </c>
      <c r="AA112">
        <v>6.6093820000000001</v>
      </c>
      <c r="AB112">
        <v>6.6344289999999999</v>
      </c>
      <c r="AC112">
        <v>6.6536429999999998</v>
      </c>
      <c r="AD112">
        <v>6.6694820000000004</v>
      </c>
      <c r="AE112">
        <v>6.6825279999999996</v>
      </c>
      <c r="AF112">
        <v>6.6931120000000002</v>
      </c>
      <c r="AG112">
        <v>6.7021470000000001</v>
      </c>
      <c r="AH112">
        <v>6.7094459999999998</v>
      </c>
      <c r="AI112" s="22">
        <v>6.0000000000000001E-3</v>
      </c>
    </row>
    <row r="113" spans="1:35">
      <c r="A113" t="s">
        <v>192</v>
      </c>
      <c r="B113" t="s">
        <v>1852</v>
      </c>
      <c r="C113" t="s">
        <v>1853</v>
      </c>
      <c r="D113" t="s">
        <v>268</v>
      </c>
      <c r="F113">
        <v>6.0498820000000002</v>
      </c>
      <c r="G113">
        <v>6.0476359999999998</v>
      </c>
      <c r="H113">
        <v>6.0424569999999997</v>
      </c>
      <c r="I113">
        <v>6.041099</v>
      </c>
      <c r="J113">
        <v>6.0478569999999996</v>
      </c>
      <c r="K113">
        <v>6.0672699999999997</v>
      </c>
      <c r="L113">
        <v>6.0945150000000003</v>
      </c>
      <c r="M113">
        <v>6.1340960000000004</v>
      </c>
      <c r="N113">
        <v>6.1834110000000004</v>
      </c>
      <c r="O113">
        <v>6.2425569999999997</v>
      </c>
      <c r="P113">
        <v>6.3091400000000002</v>
      </c>
      <c r="Q113">
        <v>6.3769150000000003</v>
      </c>
      <c r="R113">
        <v>6.436153</v>
      </c>
      <c r="S113">
        <v>6.4858890000000002</v>
      </c>
      <c r="T113">
        <v>6.5307510000000004</v>
      </c>
      <c r="U113">
        <v>6.5718370000000004</v>
      </c>
      <c r="V113">
        <v>6.6100839999999996</v>
      </c>
      <c r="W113">
        <v>6.6457499999999996</v>
      </c>
      <c r="X113">
        <v>6.6793750000000003</v>
      </c>
      <c r="Y113">
        <v>6.710102</v>
      </c>
      <c r="Z113">
        <v>6.7354380000000003</v>
      </c>
      <c r="AA113">
        <v>6.7577069999999999</v>
      </c>
      <c r="AB113">
        <v>6.7769919999999999</v>
      </c>
      <c r="AC113">
        <v>6.7934559999999999</v>
      </c>
      <c r="AD113">
        <v>6.807423</v>
      </c>
      <c r="AE113">
        <v>6.819178</v>
      </c>
      <c r="AF113">
        <v>6.8295170000000001</v>
      </c>
      <c r="AG113">
        <v>6.8410000000000002</v>
      </c>
      <c r="AH113">
        <v>6.8538550000000003</v>
      </c>
      <c r="AI113" s="22">
        <v>4.0000000000000001E-3</v>
      </c>
    </row>
    <row r="114" spans="1:35">
      <c r="A114" t="s">
        <v>195</v>
      </c>
      <c r="B114" t="s">
        <v>1854</v>
      </c>
      <c r="C114" t="s">
        <v>1855</v>
      </c>
      <c r="D114" t="s">
        <v>267</v>
      </c>
      <c r="F114">
        <v>5.9032150000000003</v>
      </c>
      <c r="G114">
        <v>5.971978</v>
      </c>
      <c r="H114">
        <v>6.0519489999999996</v>
      </c>
      <c r="I114">
        <v>6.1443570000000003</v>
      </c>
      <c r="J114">
        <v>6.2444309999999996</v>
      </c>
      <c r="K114">
        <v>6.3494830000000002</v>
      </c>
      <c r="L114">
        <v>6.4469339999999997</v>
      </c>
      <c r="M114">
        <v>6.5407650000000004</v>
      </c>
      <c r="N114">
        <v>6.631767</v>
      </c>
      <c r="O114">
        <v>6.721997</v>
      </c>
      <c r="P114">
        <v>6.8098879999999999</v>
      </c>
      <c r="Q114">
        <v>6.8910470000000004</v>
      </c>
      <c r="R114">
        <v>6.9637089999999997</v>
      </c>
      <c r="S114">
        <v>7.0280950000000004</v>
      </c>
      <c r="T114">
        <v>7.0878100000000002</v>
      </c>
      <c r="U114">
        <v>7.1421640000000002</v>
      </c>
      <c r="V114">
        <v>7.191567</v>
      </c>
      <c r="W114">
        <v>7.2349160000000001</v>
      </c>
      <c r="X114">
        <v>7.271738</v>
      </c>
      <c r="Y114">
        <v>7.3024620000000002</v>
      </c>
      <c r="Z114">
        <v>7.3284010000000004</v>
      </c>
      <c r="AA114">
        <v>7.3514480000000004</v>
      </c>
      <c r="AB114">
        <v>7.3716299999999997</v>
      </c>
      <c r="AC114">
        <v>7.3894929999999999</v>
      </c>
      <c r="AD114">
        <v>7.4061589999999997</v>
      </c>
      <c r="AE114">
        <v>7.4215730000000004</v>
      </c>
      <c r="AF114">
        <v>7.4374900000000004</v>
      </c>
      <c r="AG114">
        <v>7.4537440000000004</v>
      </c>
      <c r="AH114">
        <v>7.4693319999999996</v>
      </c>
      <c r="AI114" s="22">
        <v>8.0000000000000002E-3</v>
      </c>
    </row>
    <row r="115" spans="1:35">
      <c r="A115" t="s">
        <v>236</v>
      </c>
      <c r="B115" t="s">
        <v>1856</v>
      </c>
      <c r="C115" t="s">
        <v>1857</v>
      </c>
      <c r="D115" t="s">
        <v>268</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111</v>
      </c>
    </row>
    <row r="116" spans="1:35">
      <c r="A116" t="s">
        <v>237</v>
      </c>
      <c r="B116" t="s">
        <v>1858</v>
      </c>
      <c r="C116" t="s">
        <v>1859</v>
      </c>
      <c r="D116" t="s">
        <v>267</v>
      </c>
      <c r="F116">
        <v>12.530443</v>
      </c>
      <c r="G116">
        <v>12.264912000000001</v>
      </c>
      <c r="H116">
        <v>12.103764999999999</v>
      </c>
      <c r="I116">
        <v>11.988803000000001</v>
      </c>
      <c r="J116">
        <v>11.901937999999999</v>
      </c>
      <c r="K116">
        <v>11.834828</v>
      </c>
      <c r="L116">
        <v>11.776933</v>
      </c>
      <c r="M116">
        <v>11.728014999999999</v>
      </c>
      <c r="N116">
        <v>11.685517000000001</v>
      </c>
      <c r="O116">
        <v>11.647477</v>
      </c>
      <c r="P116">
        <v>11.613695</v>
      </c>
      <c r="Q116">
        <v>11.584943000000001</v>
      </c>
      <c r="R116">
        <v>11.563078000000001</v>
      </c>
      <c r="S116">
        <v>11.551143</v>
      </c>
      <c r="T116">
        <v>11.538569000000001</v>
      </c>
      <c r="U116">
        <v>11.531321999999999</v>
      </c>
      <c r="V116">
        <v>11.536275</v>
      </c>
      <c r="W116">
        <v>11.546806</v>
      </c>
      <c r="X116">
        <v>11.540997000000001</v>
      </c>
      <c r="Y116">
        <v>11.546763</v>
      </c>
      <c r="Z116">
        <v>11.572368000000001</v>
      </c>
      <c r="AA116">
        <v>11.596401</v>
      </c>
      <c r="AB116">
        <v>11.607893000000001</v>
      </c>
      <c r="AC116">
        <v>11.616717</v>
      </c>
      <c r="AD116">
        <v>11.623176000000001</v>
      </c>
      <c r="AE116">
        <v>11.62772</v>
      </c>
      <c r="AF116">
        <v>11.630972</v>
      </c>
      <c r="AG116">
        <v>11.633329</v>
      </c>
      <c r="AH116">
        <v>11.634862</v>
      </c>
      <c r="AI116" s="22">
        <v>-3.0000000000000001E-3</v>
      </c>
    </row>
    <row r="117" spans="1:35">
      <c r="A117" t="s">
        <v>238</v>
      </c>
      <c r="B117" t="s">
        <v>1860</v>
      </c>
      <c r="C117" t="s">
        <v>1861</v>
      </c>
      <c r="D117" t="s">
        <v>267</v>
      </c>
      <c r="F117">
        <v>0</v>
      </c>
      <c r="G117">
        <v>0</v>
      </c>
      <c r="H117">
        <v>1.546092</v>
      </c>
      <c r="I117">
        <v>2.7360000000000002</v>
      </c>
      <c r="J117">
        <v>3.6467459999999998</v>
      </c>
      <c r="K117">
        <v>4.3527519999999997</v>
      </c>
      <c r="L117">
        <v>4.9220860000000002</v>
      </c>
      <c r="M117">
        <v>5.4007050000000003</v>
      </c>
      <c r="N117">
        <v>5.8205150000000003</v>
      </c>
      <c r="O117">
        <v>6.2095510000000003</v>
      </c>
      <c r="P117">
        <v>6.5909620000000002</v>
      </c>
      <c r="Q117">
        <v>6.9709329999999996</v>
      </c>
      <c r="R117">
        <v>7.346317</v>
      </c>
      <c r="S117">
        <v>7.7141799999999998</v>
      </c>
      <c r="T117">
        <v>8.0825110000000002</v>
      </c>
      <c r="U117">
        <v>8.4473579999999995</v>
      </c>
      <c r="V117">
        <v>8.7964439999999993</v>
      </c>
      <c r="W117">
        <v>9.1181920000000005</v>
      </c>
      <c r="X117">
        <v>9.3973209999999998</v>
      </c>
      <c r="Y117">
        <v>9.6181850000000004</v>
      </c>
      <c r="Z117">
        <v>9.7676079999999992</v>
      </c>
      <c r="AA117">
        <v>9.9699349999999995</v>
      </c>
      <c r="AB117">
        <v>10.181891</v>
      </c>
      <c r="AC117">
        <v>10.318937999999999</v>
      </c>
      <c r="AD117">
        <v>10.342834</v>
      </c>
      <c r="AE117">
        <v>10.41</v>
      </c>
      <c r="AF117">
        <v>10.469529</v>
      </c>
      <c r="AG117">
        <v>10.522557000000001</v>
      </c>
      <c r="AH117">
        <v>10.569413000000001</v>
      </c>
      <c r="AI117" t="s">
        <v>111</v>
      </c>
    </row>
    <row r="118" spans="1:35">
      <c r="A118" t="s">
        <v>239</v>
      </c>
      <c r="B118" t="s">
        <v>1862</v>
      </c>
      <c r="C118" t="s">
        <v>1863</v>
      </c>
      <c r="D118" t="s">
        <v>268</v>
      </c>
      <c r="F118">
        <v>0</v>
      </c>
      <c r="G118">
        <v>0</v>
      </c>
      <c r="H118">
        <v>1.4758230000000001</v>
      </c>
      <c r="I118">
        <v>2.6038709999999998</v>
      </c>
      <c r="J118">
        <v>3.4689930000000002</v>
      </c>
      <c r="K118">
        <v>4.1408490000000002</v>
      </c>
      <c r="L118">
        <v>4.6799150000000003</v>
      </c>
      <c r="M118">
        <v>5.131392</v>
      </c>
      <c r="N118">
        <v>5.5266799999999998</v>
      </c>
      <c r="O118">
        <v>5.8942059999999996</v>
      </c>
      <c r="P118">
        <v>6.2553999999999998</v>
      </c>
      <c r="Q118">
        <v>6.618671</v>
      </c>
      <c r="R118">
        <v>6.9812019999999997</v>
      </c>
      <c r="S118">
        <v>7.3429510000000002</v>
      </c>
      <c r="T118">
        <v>7.7086709999999998</v>
      </c>
      <c r="U118">
        <v>8.0750270000000004</v>
      </c>
      <c r="V118">
        <v>8.4300040000000003</v>
      </c>
      <c r="W118">
        <v>8.7610109999999999</v>
      </c>
      <c r="X118">
        <v>9.0510110000000008</v>
      </c>
      <c r="Y118">
        <v>9.2813940000000006</v>
      </c>
      <c r="Z118">
        <v>9.4351839999999996</v>
      </c>
      <c r="AA118">
        <v>9.6532990000000005</v>
      </c>
      <c r="AB118">
        <v>9.8873870000000004</v>
      </c>
      <c r="AC118">
        <v>10.037898999999999</v>
      </c>
      <c r="AD118">
        <v>10.055942999999999</v>
      </c>
      <c r="AE118">
        <v>10.127402999999999</v>
      </c>
      <c r="AF118">
        <v>10.190970999999999</v>
      </c>
      <c r="AG118">
        <v>10.247705</v>
      </c>
      <c r="AH118">
        <v>10.297942000000001</v>
      </c>
      <c r="AI118" t="s">
        <v>111</v>
      </c>
    </row>
    <row r="119" spans="1:35">
      <c r="A119" t="s">
        <v>240</v>
      </c>
      <c r="B119" t="s">
        <v>1864</v>
      </c>
      <c r="C119" t="s">
        <v>1865</v>
      </c>
      <c r="D119" t="s">
        <v>267</v>
      </c>
      <c r="F119">
        <v>0</v>
      </c>
      <c r="G119">
        <v>0</v>
      </c>
      <c r="H119">
        <v>7.1006340000000003</v>
      </c>
      <c r="I119">
        <v>7.1059159999999997</v>
      </c>
      <c r="J119">
        <v>7.1075530000000002</v>
      </c>
      <c r="K119">
        <v>7.1082619999999999</v>
      </c>
      <c r="L119">
        <v>7.108644</v>
      </c>
      <c r="M119">
        <v>7.1088389999999997</v>
      </c>
      <c r="N119">
        <v>7.1089120000000001</v>
      </c>
      <c r="O119">
        <v>7.10893</v>
      </c>
      <c r="P119">
        <v>7.1089359999999999</v>
      </c>
      <c r="Q119">
        <v>7.108943</v>
      </c>
      <c r="R119">
        <v>7.1089659999999997</v>
      </c>
      <c r="S119">
        <v>7.1090030000000004</v>
      </c>
      <c r="T119">
        <v>7.1090530000000003</v>
      </c>
      <c r="U119">
        <v>7.1091139999999999</v>
      </c>
      <c r="V119">
        <v>7.1091860000000002</v>
      </c>
      <c r="W119">
        <v>7.1092690000000003</v>
      </c>
      <c r="X119">
        <v>7.1093650000000004</v>
      </c>
      <c r="Y119">
        <v>7.10947</v>
      </c>
      <c r="Z119">
        <v>7.1095860000000002</v>
      </c>
      <c r="AA119">
        <v>7.1097349999999997</v>
      </c>
      <c r="AB119">
        <v>7.1099069999999998</v>
      </c>
      <c r="AC119">
        <v>7.1100849999999998</v>
      </c>
      <c r="AD119">
        <v>7.1102600000000002</v>
      </c>
      <c r="AE119">
        <v>7.1104640000000003</v>
      </c>
      <c r="AF119">
        <v>7.1106790000000002</v>
      </c>
      <c r="AG119">
        <v>7.1109059999999999</v>
      </c>
      <c r="AH119">
        <v>7.1111440000000004</v>
      </c>
      <c r="AI119" t="s">
        <v>111</v>
      </c>
    </row>
    <row r="120" spans="1:35">
      <c r="A120" t="s">
        <v>251</v>
      </c>
      <c r="B120" t="s">
        <v>1866</v>
      </c>
      <c r="C120" t="s">
        <v>1867</v>
      </c>
      <c r="F120">
        <v>6.1685410000000003</v>
      </c>
      <c r="G120">
        <v>6.2461190000000002</v>
      </c>
      <c r="H120">
        <v>6.3357140000000003</v>
      </c>
      <c r="I120">
        <v>6.4415589999999998</v>
      </c>
      <c r="J120">
        <v>6.5613010000000003</v>
      </c>
      <c r="K120">
        <v>6.6889289999999999</v>
      </c>
      <c r="L120">
        <v>6.8135919999999999</v>
      </c>
      <c r="M120">
        <v>6.9357920000000002</v>
      </c>
      <c r="N120">
        <v>7.0534879999999998</v>
      </c>
      <c r="O120">
        <v>7.1664760000000003</v>
      </c>
      <c r="P120">
        <v>7.2736970000000003</v>
      </c>
      <c r="Q120">
        <v>7.3703019999999997</v>
      </c>
      <c r="R120">
        <v>7.4548839999999998</v>
      </c>
      <c r="S120">
        <v>7.5281099999999999</v>
      </c>
      <c r="T120">
        <v>7.5919629999999998</v>
      </c>
      <c r="U120">
        <v>7.6472530000000001</v>
      </c>
      <c r="V120">
        <v>7.694312</v>
      </c>
      <c r="W120">
        <v>7.7355099999999997</v>
      </c>
      <c r="X120">
        <v>7.7714720000000002</v>
      </c>
      <c r="Y120">
        <v>7.8037029999999996</v>
      </c>
      <c r="Z120">
        <v>7.830692</v>
      </c>
      <c r="AA120">
        <v>7.8539320000000004</v>
      </c>
      <c r="AB120">
        <v>7.87371</v>
      </c>
      <c r="AC120">
        <v>7.8908800000000001</v>
      </c>
      <c r="AD120">
        <v>7.9070320000000001</v>
      </c>
      <c r="AE120">
        <v>7.922396</v>
      </c>
      <c r="AF120">
        <v>7.9373050000000003</v>
      </c>
      <c r="AG120">
        <v>7.9528379999999999</v>
      </c>
      <c r="AH120">
        <v>7.9689120000000004</v>
      </c>
      <c r="AI120" s="22">
        <v>8.9999999999999993E-3</v>
      </c>
    </row>
    <row r="121" spans="1:35">
      <c r="A121" t="s">
        <v>252</v>
      </c>
      <c r="B121" t="s">
        <v>1868</v>
      </c>
      <c r="C121" t="s">
        <v>1869</v>
      </c>
      <c r="F121">
        <v>7.4737900000000002</v>
      </c>
      <c r="G121">
        <v>7.574878</v>
      </c>
      <c r="H121">
        <v>7.6960300000000004</v>
      </c>
      <c r="I121">
        <v>7.8354850000000003</v>
      </c>
      <c r="J121">
        <v>7.9866429999999999</v>
      </c>
      <c r="K121">
        <v>8.1451189999999993</v>
      </c>
      <c r="L121">
        <v>8.3001760000000004</v>
      </c>
      <c r="M121">
        <v>8.4559069999999998</v>
      </c>
      <c r="N121">
        <v>8.6109109999999998</v>
      </c>
      <c r="O121">
        <v>8.7645049999999998</v>
      </c>
      <c r="P121">
        <v>8.9144360000000002</v>
      </c>
      <c r="Q121">
        <v>9.0551460000000006</v>
      </c>
      <c r="R121">
        <v>9.1840910000000004</v>
      </c>
      <c r="S121">
        <v>9.3011660000000003</v>
      </c>
      <c r="T121">
        <v>9.407648</v>
      </c>
      <c r="U121">
        <v>9.5034890000000001</v>
      </c>
      <c r="V121">
        <v>9.5894919999999999</v>
      </c>
      <c r="W121">
        <v>9.6682100000000002</v>
      </c>
      <c r="X121">
        <v>9.7415749999999992</v>
      </c>
      <c r="Y121">
        <v>9.8092579999999998</v>
      </c>
      <c r="Z121">
        <v>9.8708480000000005</v>
      </c>
      <c r="AA121">
        <v>9.9272620000000007</v>
      </c>
      <c r="AB121">
        <v>9.9783410000000003</v>
      </c>
      <c r="AC121">
        <v>10.026918999999999</v>
      </c>
      <c r="AD121">
        <v>10.075530000000001</v>
      </c>
      <c r="AE121">
        <v>10.123870999999999</v>
      </c>
      <c r="AF121">
        <v>10.171478</v>
      </c>
      <c r="AG121">
        <v>10.218241000000001</v>
      </c>
      <c r="AH121">
        <v>10.264495</v>
      </c>
      <c r="AI121" s="22">
        <v>1.0999999999999999E-2</v>
      </c>
    </row>
    <row r="122" spans="1:35">
      <c r="A122" t="s">
        <v>253</v>
      </c>
    </row>
    <row r="123" spans="1:35">
      <c r="A123" t="s">
        <v>170</v>
      </c>
    </row>
    <row r="124" spans="1:35">
      <c r="A124" t="s">
        <v>189</v>
      </c>
      <c r="B124" t="s">
        <v>1870</v>
      </c>
      <c r="C124" t="s">
        <v>1871</v>
      </c>
      <c r="D124" t="s">
        <v>231</v>
      </c>
      <c r="F124">
        <v>3.015037</v>
      </c>
      <c r="G124">
        <v>3.08155</v>
      </c>
      <c r="H124">
        <v>3.1501079999999999</v>
      </c>
      <c r="I124">
        <v>3.2224620000000002</v>
      </c>
      <c r="J124">
        <v>3.2939560000000001</v>
      </c>
      <c r="K124">
        <v>3.3616600000000001</v>
      </c>
      <c r="L124">
        <v>3.427092</v>
      </c>
      <c r="M124">
        <v>3.4902700000000002</v>
      </c>
      <c r="N124">
        <v>3.549833</v>
      </c>
      <c r="O124">
        <v>3.6058970000000001</v>
      </c>
      <c r="P124">
        <v>3.6627139999999998</v>
      </c>
      <c r="Q124">
        <v>3.7146720000000002</v>
      </c>
      <c r="R124">
        <v>3.7616619999999998</v>
      </c>
      <c r="S124">
        <v>3.8032520000000001</v>
      </c>
      <c r="T124">
        <v>3.8431760000000001</v>
      </c>
      <c r="U124">
        <v>3.882984</v>
      </c>
      <c r="V124">
        <v>3.924528</v>
      </c>
      <c r="W124">
        <v>3.9655680000000002</v>
      </c>
      <c r="X124">
        <v>4.0046330000000001</v>
      </c>
      <c r="Y124">
        <v>4.0458100000000004</v>
      </c>
      <c r="Z124">
        <v>4.0873410000000003</v>
      </c>
      <c r="AA124">
        <v>4.1353119999999999</v>
      </c>
      <c r="AB124">
        <v>4.1866269999999997</v>
      </c>
      <c r="AC124">
        <v>4.2350120000000002</v>
      </c>
      <c r="AD124">
        <v>4.2808120000000001</v>
      </c>
      <c r="AE124">
        <v>4.3291370000000002</v>
      </c>
      <c r="AF124">
        <v>4.3789559999999996</v>
      </c>
      <c r="AG124">
        <v>4.4252010000000004</v>
      </c>
      <c r="AH124">
        <v>4.470567</v>
      </c>
      <c r="AI124" s="22">
        <v>1.4E-2</v>
      </c>
    </row>
    <row r="125" spans="1:35">
      <c r="A125" t="s">
        <v>235</v>
      </c>
      <c r="B125" t="s">
        <v>1872</v>
      </c>
      <c r="C125" t="s">
        <v>1873</v>
      </c>
      <c r="D125" t="s">
        <v>231</v>
      </c>
      <c r="F125">
        <v>1.311809</v>
      </c>
      <c r="G125">
        <v>1.378085</v>
      </c>
      <c r="H125">
        <v>1.4506669999999999</v>
      </c>
      <c r="I125">
        <v>1.530327</v>
      </c>
      <c r="J125">
        <v>1.6128629999999999</v>
      </c>
      <c r="K125">
        <v>1.6953240000000001</v>
      </c>
      <c r="L125">
        <v>1.777282</v>
      </c>
      <c r="M125">
        <v>1.85809</v>
      </c>
      <c r="N125">
        <v>1.9378629999999999</v>
      </c>
      <c r="O125">
        <v>2.0154909999999999</v>
      </c>
      <c r="P125">
        <v>2.09484</v>
      </c>
      <c r="Q125">
        <v>2.1723409999999999</v>
      </c>
      <c r="R125">
        <v>2.2465320000000002</v>
      </c>
      <c r="S125">
        <v>2.3165019999999998</v>
      </c>
      <c r="T125">
        <v>2.386161</v>
      </c>
      <c r="U125">
        <v>2.4562300000000001</v>
      </c>
      <c r="V125">
        <v>2.5262910000000001</v>
      </c>
      <c r="W125">
        <v>2.5965050000000001</v>
      </c>
      <c r="X125">
        <v>2.6668989999999999</v>
      </c>
      <c r="Y125">
        <v>2.740135</v>
      </c>
      <c r="Z125">
        <v>2.8113969999999999</v>
      </c>
      <c r="AA125">
        <v>2.8850440000000002</v>
      </c>
      <c r="AB125">
        <v>2.9621379999999999</v>
      </c>
      <c r="AC125">
        <v>3.0392920000000001</v>
      </c>
      <c r="AD125">
        <v>3.1158380000000001</v>
      </c>
      <c r="AE125">
        <v>3.1936939999999998</v>
      </c>
      <c r="AF125">
        <v>3.2711389999999998</v>
      </c>
      <c r="AG125">
        <v>3.3446229999999999</v>
      </c>
      <c r="AH125">
        <v>3.4151910000000001</v>
      </c>
      <c r="AI125" s="22">
        <v>3.5000000000000003E-2</v>
      </c>
    </row>
    <row r="126" spans="1:35">
      <c r="A126" t="s">
        <v>192</v>
      </c>
      <c r="B126" t="s">
        <v>1874</v>
      </c>
      <c r="C126" t="s">
        <v>1875</v>
      </c>
      <c r="D126" t="s">
        <v>231</v>
      </c>
      <c r="F126">
        <v>1.18E-4</v>
      </c>
      <c r="G126">
        <v>3.6200000000000002E-4</v>
      </c>
      <c r="H126">
        <v>6.1200000000000002E-4</v>
      </c>
      <c r="I126">
        <v>8.6600000000000002E-4</v>
      </c>
      <c r="J126">
        <v>1.1249999999999999E-3</v>
      </c>
      <c r="K126">
        <v>1.384E-3</v>
      </c>
      <c r="L126">
        <v>1.6490000000000001E-3</v>
      </c>
      <c r="M126">
        <v>1.9220000000000001E-3</v>
      </c>
      <c r="N126">
        <v>2.2049999999999999E-3</v>
      </c>
      <c r="O126">
        <v>2.4989999999999999E-3</v>
      </c>
      <c r="P126">
        <v>2.8089999999999999E-3</v>
      </c>
      <c r="Q126">
        <v>3.1350000000000002E-3</v>
      </c>
      <c r="R126">
        <v>3.454E-3</v>
      </c>
      <c r="S126">
        <v>3.7759999999999998E-3</v>
      </c>
      <c r="T126">
        <v>4.1209999999999997E-3</v>
      </c>
      <c r="U126">
        <v>4.4949999999999999E-3</v>
      </c>
      <c r="V126">
        <v>4.9040000000000004E-3</v>
      </c>
      <c r="W126">
        <v>5.3540000000000003E-3</v>
      </c>
      <c r="X126">
        <v>5.8450000000000004E-3</v>
      </c>
      <c r="Y126">
        <v>6.3769999999999999E-3</v>
      </c>
      <c r="Z126">
        <v>6.9519999999999998E-3</v>
      </c>
      <c r="AA126">
        <v>7.5729999999999999E-3</v>
      </c>
      <c r="AB126">
        <v>8.2400000000000008E-3</v>
      </c>
      <c r="AC126">
        <v>8.9560000000000004E-3</v>
      </c>
      <c r="AD126">
        <v>9.7230000000000007E-3</v>
      </c>
      <c r="AE126">
        <v>1.0541999999999999E-2</v>
      </c>
      <c r="AF126">
        <v>1.1409000000000001E-2</v>
      </c>
      <c r="AG126">
        <v>1.2322E-2</v>
      </c>
      <c r="AH126">
        <v>1.3278E-2</v>
      </c>
      <c r="AI126" s="22">
        <v>0.184</v>
      </c>
    </row>
    <row r="127" spans="1:35">
      <c r="A127" t="s">
        <v>195</v>
      </c>
      <c r="B127" t="s">
        <v>1876</v>
      </c>
      <c r="C127" t="s">
        <v>1877</v>
      </c>
      <c r="D127" t="s">
        <v>231</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22">
        <v>-2.9000000000000001E-2</v>
      </c>
    </row>
    <row r="128" spans="1:35">
      <c r="A128" t="s">
        <v>236</v>
      </c>
      <c r="B128" t="s">
        <v>1878</v>
      </c>
      <c r="C128" t="s">
        <v>1879</v>
      </c>
      <c r="D128" t="s">
        <v>231</v>
      </c>
      <c r="F128">
        <v>0.22939300000000001</v>
      </c>
      <c r="G128">
        <v>0.24005599999999999</v>
      </c>
      <c r="H128">
        <v>0.250585</v>
      </c>
      <c r="I128">
        <v>0.26078800000000002</v>
      </c>
      <c r="J128">
        <v>0.27049899999999999</v>
      </c>
      <c r="K128">
        <v>0.27981400000000001</v>
      </c>
      <c r="L128">
        <v>0.28869499999999998</v>
      </c>
      <c r="M128">
        <v>0.29727199999999998</v>
      </c>
      <c r="N128">
        <v>0.30555500000000002</v>
      </c>
      <c r="O128">
        <v>0.31373000000000001</v>
      </c>
      <c r="P128">
        <v>0.321961</v>
      </c>
      <c r="Q128">
        <v>0.33024900000000001</v>
      </c>
      <c r="R128">
        <v>0.33824700000000002</v>
      </c>
      <c r="S128">
        <v>0.34599299999999999</v>
      </c>
      <c r="T128">
        <v>0.35356300000000002</v>
      </c>
      <c r="U128">
        <v>0.36109599999999997</v>
      </c>
      <c r="V128">
        <v>0.368676</v>
      </c>
      <c r="W128">
        <v>0.376357</v>
      </c>
      <c r="X128">
        <v>0.384127</v>
      </c>
      <c r="Y128">
        <v>0.39127699999999999</v>
      </c>
      <c r="Z128">
        <v>0.398395</v>
      </c>
      <c r="AA128">
        <v>0.405416</v>
      </c>
      <c r="AB128">
        <v>0.41114600000000001</v>
      </c>
      <c r="AC128">
        <v>0.41387200000000002</v>
      </c>
      <c r="AD128">
        <v>0.414489</v>
      </c>
      <c r="AE128">
        <v>0.41369699999999998</v>
      </c>
      <c r="AF128">
        <v>0.41261599999999998</v>
      </c>
      <c r="AG128">
        <v>0.40854600000000002</v>
      </c>
      <c r="AH128">
        <v>0.40374700000000002</v>
      </c>
      <c r="AI128" s="22">
        <v>0.02</v>
      </c>
    </row>
    <row r="129" spans="1:35">
      <c r="A129" t="s">
        <v>237</v>
      </c>
      <c r="B129" t="s">
        <v>1880</v>
      </c>
      <c r="C129" t="s">
        <v>1881</v>
      </c>
      <c r="D129" t="s">
        <v>231</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22">
        <v>-9.4E-2</v>
      </c>
    </row>
    <row r="130" spans="1:35">
      <c r="A130" t="s">
        <v>238</v>
      </c>
      <c r="B130" t="s">
        <v>1882</v>
      </c>
      <c r="C130" t="s">
        <v>1883</v>
      </c>
      <c r="D130" t="s">
        <v>231</v>
      </c>
      <c r="F130">
        <v>0</v>
      </c>
      <c r="G130">
        <v>2.8200000000000002E-4</v>
      </c>
      <c r="H130">
        <v>5.7499999999999999E-4</v>
      </c>
      <c r="I130">
        <v>8.8099999999999995E-4</v>
      </c>
      <c r="J130">
        <v>1.1950000000000001E-3</v>
      </c>
      <c r="K130">
        <v>1.5139999999999999E-3</v>
      </c>
      <c r="L130">
        <v>1.8469999999999999E-3</v>
      </c>
      <c r="M130">
        <v>2.1979999999999999E-3</v>
      </c>
      <c r="N130">
        <v>2.5669999999999998E-3</v>
      </c>
      <c r="O130">
        <v>2.9580000000000001E-3</v>
      </c>
      <c r="P130">
        <v>3.382E-3</v>
      </c>
      <c r="Q130">
        <v>3.8400000000000001E-3</v>
      </c>
      <c r="R130">
        <v>4.3239999999999997E-3</v>
      </c>
      <c r="S130">
        <v>4.8380000000000003E-3</v>
      </c>
      <c r="T130">
        <v>5.3940000000000004E-3</v>
      </c>
      <c r="U130">
        <v>6.0020000000000004E-3</v>
      </c>
      <c r="V130">
        <v>6.6779999999999999E-3</v>
      </c>
      <c r="W130">
        <v>7.43E-3</v>
      </c>
      <c r="X130">
        <v>8.2640000000000005E-3</v>
      </c>
      <c r="Y130">
        <v>9.1809999999999999E-3</v>
      </c>
      <c r="Z130">
        <v>1.0181000000000001E-2</v>
      </c>
      <c r="AA130">
        <v>1.1261E-2</v>
      </c>
      <c r="AB130">
        <v>1.2409999999999999E-2</v>
      </c>
      <c r="AC130">
        <v>1.3627999999999999E-2</v>
      </c>
      <c r="AD130">
        <v>1.4914999999999999E-2</v>
      </c>
      <c r="AE130">
        <v>1.6265000000000002E-2</v>
      </c>
      <c r="AF130">
        <v>1.7672E-2</v>
      </c>
      <c r="AG130">
        <v>1.9127000000000002E-2</v>
      </c>
      <c r="AH130">
        <v>2.0625000000000001E-2</v>
      </c>
      <c r="AI130" t="s">
        <v>111</v>
      </c>
    </row>
    <row r="131" spans="1:35">
      <c r="A131" t="s">
        <v>239</v>
      </c>
      <c r="B131" t="s">
        <v>1884</v>
      </c>
      <c r="C131" t="s">
        <v>1885</v>
      </c>
      <c r="D131" t="s">
        <v>231</v>
      </c>
      <c r="F131">
        <v>0</v>
      </c>
      <c r="G131">
        <v>3.0699999999999998E-4</v>
      </c>
      <c r="H131">
        <v>6.1899999999999998E-4</v>
      </c>
      <c r="I131">
        <v>9.3800000000000003E-4</v>
      </c>
      <c r="J131">
        <v>1.258E-3</v>
      </c>
      <c r="K131">
        <v>1.5770000000000001E-3</v>
      </c>
      <c r="L131">
        <v>1.9040000000000001E-3</v>
      </c>
      <c r="M131">
        <v>2.2420000000000001E-3</v>
      </c>
      <c r="N131">
        <v>2.5929999999999998E-3</v>
      </c>
      <c r="O131">
        <v>2.9659999999999999E-3</v>
      </c>
      <c r="P131">
        <v>3.372E-3</v>
      </c>
      <c r="Q131">
        <v>3.8159999999999999E-3</v>
      </c>
      <c r="R131">
        <v>4.2909999999999997E-3</v>
      </c>
      <c r="S131">
        <v>4.8040000000000001E-3</v>
      </c>
      <c r="T131">
        <v>5.3660000000000001E-3</v>
      </c>
      <c r="U131">
        <v>5.9919999999999999E-3</v>
      </c>
      <c r="V131">
        <v>6.6959999999999997E-3</v>
      </c>
      <c r="W131">
        <v>7.4910000000000003E-3</v>
      </c>
      <c r="X131">
        <v>8.3840000000000008E-3</v>
      </c>
      <c r="Y131">
        <v>9.3779999999999992E-3</v>
      </c>
      <c r="Z131">
        <v>1.0472E-2</v>
      </c>
      <c r="AA131">
        <v>1.166E-2</v>
      </c>
      <c r="AB131">
        <v>1.2933E-2</v>
      </c>
      <c r="AC131">
        <v>1.4290000000000001E-2</v>
      </c>
      <c r="AD131">
        <v>1.5731999999999999E-2</v>
      </c>
      <c r="AE131">
        <v>1.7247999999999999E-2</v>
      </c>
      <c r="AF131">
        <v>1.8831000000000001E-2</v>
      </c>
      <c r="AG131">
        <v>2.0472000000000001E-2</v>
      </c>
      <c r="AH131">
        <v>2.2161E-2</v>
      </c>
      <c r="AI131" t="s">
        <v>111</v>
      </c>
    </row>
    <row r="132" spans="1:35">
      <c r="A132" t="s">
        <v>240</v>
      </c>
      <c r="B132" t="s">
        <v>1886</v>
      </c>
      <c r="C132" t="s">
        <v>1887</v>
      </c>
      <c r="D132" t="s">
        <v>231</v>
      </c>
      <c r="F132">
        <v>0</v>
      </c>
      <c r="G132">
        <v>0</v>
      </c>
      <c r="H132">
        <v>0</v>
      </c>
      <c r="I132">
        <v>0</v>
      </c>
      <c r="J132">
        <v>0</v>
      </c>
      <c r="K132">
        <v>0</v>
      </c>
      <c r="L132">
        <v>0</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9.9999999999999995E-7</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111</v>
      </c>
    </row>
    <row r="133" spans="1:35">
      <c r="A133" t="s">
        <v>241</v>
      </c>
      <c r="B133" t="s">
        <v>1888</v>
      </c>
      <c r="C133" t="s">
        <v>1889</v>
      </c>
      <c r="D133" t="s">
        <v>231</v>
      </c>
      <c r="F133">
        <v>4.5572350000000004</v>
      </c>
      <c r="G133">
        <v>4.7015169999999999</v>
      </c>
      <c r="H133">
        <v>4.8540369999999999</v>
      </c>
      <c r="I133">
        <v>5.0171279999999996</v>
      </c>
      <c r="J133">
        <v>5.1817539999999997</v>
      </c>
      <c r="K133">
        <v>5.3421240000000001</v>
      </c>
      <c r="L133">
        <v>5.4993150000000002</v>
      </c>
      <c r="M133">
        <v>5.6528340000000004</v>
      </c>
      <c r="N133">
        <v>5.8014460000000003</v>
      </c>
      <c r="O133">
        <v>5.9443580000000003</v>
      </c>
      <c r="P133">
        <v>6.0898839999999996</v>
      </c>
      <c r="Q133">
        <v>6.2288509999999997</v>
      </c>
      <c r="R133">
        <v>6.3593000000000002</v>
      </c>
      <c r="S133">
        <v>6.4799410000000002</v>
      </c>
      <c r="T133">
        <v>6.5985399999999998</v>
      </c>
      <c r="U133">
        <v>6.7175419999999999</v>
      </c>
      <c r="V133">
        <v>6.8385049999999996</v>
      </c>
      <c r="W133">
        <v>6.9594290000000001</v>
      </c>
      <c r="X133">
        <v>7.0788570000000002</v>
      </c>
      <c r="Y133">
        <v>7.2028530000000002</v>
      </c>
      <c r="Z133">
        <v>7.3254200000000003</v>
      </c>
      <c r="AA133">
        <v>7.4569270000000003</v>
      </c>
      <c r="AB133">
        <v>7.5941330000000002</v>
      </c>
      <c r="AC133">
        <v>7.7256629999999999</v>
      </c>
      <c r="AD133">
        <v>7.8520909999999997</v>
      </c>
      <c r="AE133">
        <v>7.9811259999999997</v>
      </c>
      <c r="AF133">
        <v>8.1111160000000009</v>
      </c>
      <c r="AG133">
        <v>8.2307199999999998</v>
      </c>
      <c r="AH133">
        <v>8.3459269999999997</v>
      </c>
      <c r="AI133" s="22">
        <v>2.1999999999999999E-2</v>
      </c>
    </row>
    <row r="134" spans="1:35">
      <c r="A134" t="s">
        <v>171</v>
      </c>
    </row>
    <row r="135" spans="1:35">
      <c r="A135" t="s">
        <v>189</v>
      </c>
      <c r="B135" t="s">
        <v>1890</v>
      </c>
      <c r="C135" t="s">
        <v>1891</v>
      </c>
      <c r="D135" t="s">
        <v>231</v>
      </c>
      <c r="F135">
        <v>2.238826</v>
      </c>
      <c r="G135">
        <v>2.2633740000000002</v>
      </c>
      <c r="H135">
        <v>2.2858019999999999</v>
      </c>
      <c r="I135">
        <v>2.3155199999999998</v>
      </c>
      <c r="J135">
        <v>2.3517480000000002</v>
      </c>
      <c r="K135">
        <v>2.3905979999999998</v>
      </c>
      <c r="L135">
        <v>2.4309340000000002</v>
      </c>
      <c r="M135">
        <v>2.4686080000000001</v>
      </c>
      <c r="N135">
        <v>2.5038360000000002</v>
      </c>
      <c r="O135">
        <v>2.5353509999999999</v>
      </c>
      <c r="P135">
        <v>2.5670540000000002</v>
      </c>
      <c r="Q135">
        <v>2.5941019999999999</v>
      </c>
      <c r="R135">
        <v>2.6154500000000001</v>
      </c>
      <c r="S135">
        <v>2.6355559999999998</v>
      </c>
      <c r="T135">
        <v>2.6571289999999999</v>
      </c>
      <c r="U135">
        <v>2.6805840000000001</v>
      </c>
      <c r="V135">
        <v>2.705066</v>
      </c>
      <c r="W135">
        <v>2.7292969999999999</v>
      </c>
      <c r="X135">
        <v>2.75204</v>
      </c>
      <c r="Y135">
        <v>2.772637</v>
      </c>
      <c r="Z135">
        <v>2.7935240000000001</v>
      </c>
      <c r="AA135">
        <v>2.8207249999999999</v>
      </c>
      <c r="AB135">
        <v>2.8527390000000001</v>
      </c>
      <c r="AC135">
        <v>2.8844479999999999</v>
      </c>
      <c r="AD135">
        <v>2.9134350000000002</v>
      </c>
      <c r="AE135">
        <v>2.9424649999999999</v>
      </c>
      <c r="AF135">
        <v>2.9714170000000002</v>
      </c>
      <c r="AG135">
        <v>2.9997310000000001</v>
      </c>
      <c r="AH135">
        <v>3.026831</v>
      </c>
      <c r="AI135" s="22">
        <v>1.0999999999999999E-2</v>
      </c>
    </row>
    <row r="136" spans="1:35">
      <c r="A136" t="s">
        <v>235</v>
      </c>
      <c r="B136" t="s">
        <v>1892</v>
      </c>
      <c r="C136" t="s">
        <v>1893</v>
      </c>
      <c r="D136" t="s">
        <v>231</v>
      </c>
      <c r="F136">
        <v>1.4996799999999999</v>
      </c>
      <c r="G136">
        <v>1.4961500000000001</v>
      </c>
      <c r="H136">
        <v>1.4948760000000001</v>
      </c>
      <c r="I136">
        <v>1.501371</v>
      </c>
      <c r="J136">
        <v>1.5139609999999999</v>
      </c>
      <c r="K136">
        <v>1.530346</v>
      </c>
      <c r="L136">
        <v>1.5480689999999999</v>
      </c>
      <c r="M136">
        <v>1.565221</v>
      </c>
      <c r="N136">
        <v>1.581971</v>
      </c>
      <c r="O136">
        <v>1.595356</v>
      </c>
      <c r="P136">
        <v>1.6105339999999999</v>
      </c>
      <c r="Q136">
        <v>1.6222669999999999</v>
      </c>
      <c r="R136">
        <v>1.6313610000000001</v>
      </c>
      <c r="S136">
        <v>1.6416010000000001</v>
      </c>
      <c r="T136">
        <v>1.65225</v>
      </c>
      <c r="U136">
        <v>1.6639839999999999</v>
      </c>
      <c r="V136">
        <v>1.6763749999999999</v>
      </c>
      <c r="W136">
        <v>1.690836</v>
      </c>
      <c r="X136">
        <v>1.7037960000000001</v>
      </c>
      <c r="Y136">
        <v>1.717433</v>
      </c>
      <c r="Z136">
        <v>1.7319560000000001</v>
      </c>
      <c r="AA136">
        <v>1.749482</v>
      </c>
      <c r="AB136">
        <v>1.7689250000000001</v>
      </c>
      <c r="AC136">
        <v>1.7867660000000001</v>
      </c>
      <c r="AD136">
        <v>1.8028120000000001</v>
      </c>
      <c r="AE136">
        <v>1.81793</v>
      </c>
      <c r="AF136">
        <v>1.8325530000000001</v>
      </c>
      <c r="AG136">
        <v>1.8473809999999999</v>
      </c>
      <c r="AH136">
        <v>1.860595</v>
      </c>
      <c r="AI136" s="22">
        <v>8.0000000000000002E-3</v>
      </c>
    </row>
    <row r="137" spans="1:35">
      <c r="A137" t="s">
        <v>192</v>
      </c>
      <c r="B137" t="s">
        <v>1894</v>
      </c>
      <c r="C137" t="s">
        <v>1895</v>
      </c>
      <c r="D137" t="s">
        <v>231</v>
      </c>
      <c r="F137">
        <v>2.483E-3</v>
      </c>
      <c r="G137">
        <v>2.4729999999999999E-3</v>
      </c>
      <c r="H137">
        <v>2.4919999999999999E-3</v>
      </c>
      <c r="I137">
        <v>2.5439999999999998E-3</v>
      </c>
      <c r="J137">
        <v>2.6310000000000001E-3</v>
      </c>
      <c r="K137">
        <v>2.7360000000000002E-3</v>
      </c>
      <c r="L137">
        <v>2.8579999999999999E-3</v>
      </c>
      <c r="M137">
        <v>2.9759999999999999E-3</v>
      </c>
      <c r="N137">
        <v>3.104E-3</v>
      </c>
      <c r="O137">
        <v>3.2360000000000002E-3</v>
      </c>
      <c r="P137">
        <v>3.3869999999999998E-3</v>
      </c>
      <c r="Q137">
        <v>3.565E-3</v>
      </c>
      <c r="R137">
        <v>3.7369999999999999E-3</v>
      </c>
      <c r="S137">
        <v>3.9110000000000004E-3</v>
      </c>
      <c r="T137">
        <v>4.1190000000000003E-3</v>
      </c>
      <c r="U137">
        <v>4.365E-3</v>
      </c>
      <c r="V137">
        <v>4.6490000000000004E-3</v>
      </c>
      <c r="W137">
        <v>4.9719999999999999E-3</v>
      </c>
      <c r="X137">
        <v>5.3280000000000003E-3</v>
      </c>
      <c r="Y137">
        <v>5.7099999999999998E-3</v>
      </c>
      <c r="Z137">
        <v>6.117E-3</v>
      </c>
      <c r="AA137">
        <v>6.5510000000000004E-3</v>
      </c>
      <c r="AB137">
        <v>7.0089999999999996E-3</v>
      </c>
      <c r="AC137">
        <v>7.4830000000000001E-3</v>
      </c>
      <c r="AD137">
        <v>7.9690000000000004E-3</v>
      </c>
      <c r="AE137">
        <v>8.4659999999999996E-3</v>
      </c>
      <c r="AF137">
        <v>8.9730000000000001E-3</v>
      </c>
      <c r="AG137">
        <v>9.4160000000000008E-3</v>
      </c>
      <c r="AH137">
        <v>9.8849999999999997E-3</v>
      </c>
      <c r="AI137" s="22">
        <v>5.0999999999999997E-2</v>
      </c>
    </row>
    <row r="138" spans="1:35">
      <c r="A138" t="s">
        <v>195</v>
      </c>
      <c r="B138" t="s">
        <v>1896</v>
      </c>
      <c r="C138" t="s">
        <v>1897</v>
      </c>
      <c r="D138" t="s">
        <v>231</v>
      </c>
      <c r="F138">
        <v>2.431E-3</v>
      </c>
      <c r="G138">
        <v>2.4499999999999999E-3</v>
      </c>
      <c r="H138">
        <v>2.457E-3</v>
      </c>
      <c r="I138">
        <v>2.4559999999999998E-3</v>
      </c>
      <c r="J138">
        <v>2.447E-3</v>
      </c>
      <c r="K138">
        <v>2.4299999999999999E-3</v>
      </c>
      <c r="L138">
        <v>2.4030000000000002E-3</v>
      </c>
      <c r="M138">
        <v>2.369E-3</v>
      </c>
      <c r="N138">
        <v>2.3259999999999999E-3</v>
      </c>
      <c r="O138">
        <v>2.2750000000000001E-3</v>
      </c>
      <c r="P138">
        <v>2.2179999999999999E-3</v>
      </c>
      <c r="Q138">
        <v>2.1559999999999999E-3</v>
      </c>
      <c r="R138">
        <v>2.0869999999999999E-3</v>
      </c>
      <c r="S138">
        <v>2.0119999999999999E-3</v>
      </c>
      <c r="T138">
        <v>1.926E-3</v>
      </c>
      <c r="U138">
        <v>1.8400000000000001E-3</v>
      </c>
      <c r="V138">
        <v>1.7520000000000001E-3</v>
      </c>
      <c r="W138">
        <v>1.67E-3</v>
      </c>
      <c r="X138">
        <v>1.593E-3</v>
      </c>
      <c r="Y138">
        <v>1.5039999999999999E-3</v>
      </c>
      <c r="Z138">
        <v>1.4250000000000001E-3</v>
      </c>
      <c r="AA138">
        <v>1.3209999999999999E-3</v>
      </c>
      <c r="AB138">
        <v>1.209E-3</v>
      </c>
      <c r="AC138">
        <v>1.1169999999999999E-3</v>
      </c>
      <c r="AD138">
        <v>1.0380000000000001E-3</v>
      </c>
      <c r="AE138">
        <v>9.5399999999999999E-4</v>
      </c>
      <c r="AF138">
        <v>8.6600000000000002E-4</v>
      </c>
      <c r="AG138">
        <v>7.8600000000000002E-4</v>
      </c>
      <c r="AH138">
        <v>7.1699999999999997E-4</v>
      </c>
      <c r="AI138" s="22">
        <v>-4.2999999999999997E-2</v>
      </c>
    </row>
    <row r="139" spans="1:35">
      <c r="A139" t="s">
        <v>236</v>
      </c>
      <c r="B139" t="s">
        <v>1898</v>
      </c>
      <c r="C139" t="s">
        <v>1899</v>
      </c>
      <c r="D139" t="s">
        <v>231</v>
      </c>
      <c r="F139">
        <v>3.3873E-2</v>
      </c>
      <c r="G139">
        <v>3.6921000000000002E-2</v>
      </c>
      <c r="H139">
        <v>4.0156999999999998E-2</v>
      </c>
      <c r="I139">
        <v>4.3819999999999998E-2</v>
      </c>
      <c r="J139">
        <v>4.8011999999999999E-2</v>
      </c>
      <c r="K139">
        <v>5.2770999999999998E-2</v>
      </c>
      <c r="L139">
        <v>5.7967999999999999E-2</v>
      </c>
      <c r="M139">
        <v>6.3547999999999993E-2</v>
      </c>
      <c r="N139">
        <v>6.9445000000000007E-2</v>
      </c>
      <c r="O139">
        <v>7.5789999999999996E-2</v>
      </c>
      <c r="P139">
        <v>8.2756999999999997E-2</v>
      </c>
      <c r="Q139">
        <v>9.0409000000000003E-2</v>
      </c>
      <c r="R139">
        <v>9.8462999999999995E-2</v>
      </c>
      <c r="S139">
        <v>0.10691199999999999</v>
      </c>
      <c r="T139">
        <v>0.11577800000000001</v>
      </c>
      <c r="U139">
        <v>0.125143</v>
      </c>
      <c r="V139">
        <v>0.134995</v>
      </c>
      <c r="W139">
        <v>0.145313</v>
      </c>
      <c r="X139">
        <v>0.15598699999999999</v>
      </c>
      <c r="Y139">
        <v>0.166876</v>
      </c>
      <c r="Z139">
        <v>0.17783499999999999</v>
      </c>
      <c r="AA139">
        <v>0.18885399999999999</v>
      </c>
      <c r="AB139">
        <v>0.19978299999999999</v>
      </c>
      <c r="AC139">
        <v>0.210512</v>
      </c>
      <c r="AD139">
        <v>0.22093399999999999</v>
      </c>
      <c r="AE139">
        <v>0.23105999999999999</v>
      </c>
      <c r="AF139">
        <v>0.24081900000000001</v>
      </c>
      <c r="AG139">
        <v>0.25052000000000002</v>
      </c>
      <c r="AH139">
        <v>0.260079</v>
      </c>
      <c r="AI139" s="22">
        <v>7.5999999999999998E-2</v>
      </c>
    </row>
    <row r="140" spans="1:35">
      <c r="A140" t="s">
        <v>237</v>
      </c>
      <c r="B140" t="s">
        <v>1900</v>
      </c>
      <c r="C140" t="s">
        <v>1901</v>
      </c>
      <c r="D140" t="s">
        <v>231</v>
      </c>
      <c r="F140">
        <v>2.41E-4</v>
      </c>
      <c r="G140">
        <v>2.9E-4</v>
      </c>
      <c r="H140">
        <v>3.3199999999999999E-4</v>
      </c>
      <c r="I140">
        <v>3.7199999999999999E-4</v>
      </c>
      <c r="J140">
        <v>4.08E-4</v>
      </c>
      <c r="K140">
        <v>4.4000000000000002E-4</v>
      </c>
      <c r="L140">
        <v>4.6799999999999999E-4</v>
      </c>
      <c r="M140">
        <v>4.9100000000000001E-4</v>
      </c>
      <c r="N140">
        <v>5.0900000000000001E-4</v>
      </c>
      <c r="O140">
        <v>5.2300000000000003E-4</v>
      </c>
      <c r="P140">
        <v>5.3300000000000005E-4</v>
      </c>
      <c r="Q140">
        <v>5.4000000000000001E-4</v>
      </c>
      <c r="R140">
        <v>5.4299999999999997E-4</v>
      </c>
      <c r="S140">
        <v>5.4299999999999997E-4</v>
      </c>
      <c r="T140">
        <v>5.4000000000000001E-4</v>
      </c>
      <c r="U140">
        <v>5.3399999999999997E-4</v>
      </c>
      <c r="V140">
        <v>5.2700000000000002E-4</v>
      </c>
      <c r="W140">
        <v>5.1800000000000001E-4</v>
      </c>
      <c r="X140">
        <v>5.0600000000000005E-4</v>
      </c>
      <c r="Y140">
        <v>4.9399999999999997E-4</v>
      </c>
      <c r="Z140">
        <v>4.8000000000000001E-4</v>
      </c>
      <c r="AA140">
        <v>4.6500000000000003E-4</v>
      </c>
      <c r="AB140">
        <v>4.4900000000000002E-4</v>
      </c>
      <c r="AC140">
        <v>4.3300000000000001E-4</v>
      </c>
      <c r="AD140">
        <v>4.1599999999999997E-4</v>
      </c>
      <c r="AE140">
        <v>3.9899999999999999E-4</v>
      </c>
      <c r="AF140">
        <v>3.8200000000000002E-4</v>
      </c>
      <c r="AG140">
        <v>3.6400000000000001E-4</v>
      </c>
      <c r="AH140">
        <v>3.4699999999999998E-4</v>
      </c>
      <c r="AI140" s="22">
        <v>1.2999999999999999E-2</v>
      </c>
    </row>
    <row r="141" spans="1:35">
      <c r="A141" t="s">
        <v>238</v>
      </c>
      <c r="B141" t="s">
        <v>1902</v>
      </c>
      <c r="C141" t="s">
        <v>1903</v>
      </c>
      <c r="D141" t="s">
        <v>231</v>
      </c>
      <c r="F141">
        <v>0</v>
      </c>
      <c r="G141">
        <v>0</v>
      </c>
      <c r="H141">
        <v>1.8599999999999999E-4</v>
      </c>
      <c r="I141">
        <v>3.88E-4</v>
      </c>
      <c r="J141">
        <v>6.0300000000000002E-4</v>
      </c>
      <c r="K141">
        <v>8.2799999999999996E-4</v>
      </c>
      <c r="L141">
        <v>1.06E-3</v>
      </c>
      <c r="M141">
        <v>1.297E-3</v>
      </c>
      <c r="N141">
        <v>1.5330000000000001E-3</v>
      </c>
      <c r="O141">
        <v>1.771E-3</v>
      </c>
      <c r="P141">
        <v>2.016E-3</v>
      </c>
      <c r="Q141">
        <v>2.271E-3</v>
      </c>
      <c r="R141">
        <v>2.5300000000000001E-3</v>
      </c>
      <c r="S141">
        <v>2.7929999999999999E-3</v>
      </c>
      <c r="T141">
        <v>3.0660000000000001E-3</v>
      </c>
      <c r="U141">
        <v>3.3540000000000002E-3</v>
      </c>
      <c r="V141">
        <v>3.6589999999999999E-3</v>
      </c>
      <c r="W141">
        <v>3.9839999999999997E-3</v>
      </c>
      <c r="X141">
        <v>4.3280000000000002E-3</v>
      </c>
      <c r="Y141">
        <v>4.692E-3</v>
      </c>
      <c r="Z141">
        <v>5.0749999999999997E-3</v>
      </c>
      <c r="AA141">
        <v>5.483E-3</v>
      </c>
      <c r="AB141">
        <v>5.9129999999999999E-3</v>
      </c>
      <c r="AC141">
        <v>6.3600000000000002E-3</v>
      </c>
      <c r="AD141">
        <v>6.8240000000000002E-3</v>
      </c>
      <c r="AE141">
        <v>7.3049999999999999E-3</v>
      </c>
      <c r="AF141">
        <v>7.8040000000000002E-3</v>
      </c>
      <c r="AG141">
        <v>8.3219999999999995E-3</v>
      </c>
      <c r="AH141">
        <v>8.8590000000000006E-3</v>
      </c>
      <c r="AI141" t="s">
        <v>111</v>
      </c>
    </row>
    <row r="142" spans="1:35">
      <c r="A142" t="s">
        <v>239</v>
      </c>
      <c r="B142" t="s">
        <v>1904</v>
      </c>
      <c r="C142" t="s">
        <v>1905</v>
      </c>
      <c r="D142" t="s">
        <v>231</v>
      </c>
      <c r="F142">
        <v>0</v>
      </c>
      <c r="G142">
        <v>0</v>
      </c>
      <c r="H142">
        <v>1.8599999999999999E-4</v>
      </c>
      <c r="I142">
        <v>3.8200000000000002E-4</v>
      </c>
      <c r="J142">
        <v>5.8600000000000004E-4</v>
      </c>
      <c r="K142">
        <v>7.9500000000000003E-4</v>
      </c>
      <c r="L142">
        <v>1.0089999999999999E-3</v>
      </c>
      <c r="M142">
        <v>1.224E-3</v>
      </c>
      <c r="N142">
        <v>1.438E-3</v>
      </c>
      <c r="O142">
        <v>1.658E-3</v>
      </c>
      <c r="P142">
        <v>1.8890000000000001E-3</v>
      </c>
      <c r="Q142">
        <v>2.1380000000000001E-3</v>
      </c>
      <c r="R142">
        <v>2.3969999999999998E-3</v>
      </c>
      <c r="S142">
        <v>2.6689999999999999E-3</v>
      </c>
      <c r="T142">
        <v>2.9610000000000001E-3</v>
      </c>
      <c r="U142">
        <v>3.2780000000000001E-3</v>
      </c>
      <c r="V142">
        <v>3.627E-3</v>
      </c>
      <c r="W142">
        <v>4.0109999999999998E-3</v>
      </c>
      <c r="X142">
        <v>4.4349999999999997E-3</v>
      </c>
      <c r="Y142">
        <v>4.8970000000000003E-3</v>
      </c>
      <c r="Z142">
        <v>5.4000000000000003E-3</v>
      </c>
      <c r="AA142">
        <v>5.9490000000000003E-3</v>
      </c>
      <c r="AB142">
        <v>6.5420000000000001E-3</v>
      </c>
      <c r="AC142">
        <v>7.1739999999999998E-3</v>
      </c>
      <c r="AD142">
        <v>7.8429999999999993E-3</v>
      </c>
      <c r="AE142">
        <v>8.548E-3</v>
      </c>
      <c r="AF142">
        <v>9.2890000000000004E-3</v>
      </c>
      <c r="AG142">
        <v>1.0071999999999999E-2</v>
      </c>
      <c r="AH142">
        <v>1.0888999999999999E-2</v>
      </c>
      <c r="AI142" t="s">
        <v>111</v>
      </c>
    </row>
    <row r="143" spans="1:35">
      <c r="A143" t="s">
        <v>240</v>
      </c>
      <c r="B143" t="s">
        <v>1906</v>
      </c>
      <c r="C143" t="s">
        <v>1907</v>
      </c>
      <c r="D143" t="s">
        <v>231</v>
      </c>
      <c r="F143">
        <v>0</v>
      </c>
      <c r="G143">
        <v>0</v>
      </c>
      <c r="H143">
        <v>3.1100000000000002E-4</v>
      </c>
      <c r="I143">
        <v>6.5099999999999999E-4</v>
      </c>
      <c r="J143">
        <v>1.018E-3</v>
      </c>
      <c r="K143">
        <v>1.4040000000000001E-3</v>
      </c>
      <c r="L143">
        <v>1.8060000000000001E-3</v>
      </c>
      <c r="M143">
        <v>2.2160000000000001E-3</v>
      </c>
      <c r="N143">
        <v>2.6259999999999999E-3</v>
      </c>
      <c r="O143">
        <v>3.039E-3</v>
      </c>
      <c r="P143">
        <v>3.4629999999999999E-3</v>
      </c>
      <c r="Q143">
        <v>3.8990000000000001E-3</v>
      </c>
      <c r="R143">
        <v>4.3400000000000001E-3</v>
      </c>
      <c r="S143">
        <v>4.79E-3</v>
      </c>
      <c r="T143">
        <v>5.2560000000000003E-3</v>
      </c>
      <c r="U143">
        <v>5.7499999999999999E-3</v>
      </c>
      <c r="V143">
        <v>6.2779999999999997E-3</v>
      </c>
      <c r="W143">
        <v>6.8459999999999997E-3</v>
      </c>
      <c r="X143">
        <v>7.456E-3</v>
      </c>
      <c r="Y143">
        <v>8.1049999999999994E-3</v>
      </c>
      <c r="Z143">
        <v>8.7980000000000003E-3</v>
      </c>
      <c r="AA143">
        <v>9.5399999999999999E-3</v>
      </c>
      <c r="AB143">
        <v>1.0331E-2</v>
      </c>
      <c r="AC143">
        <v>1.1159000000000001E-2</v>
      </c>
      <c r="AD143">
        <v>1.2024999999999999E-2</v>
      </c>
      <c r="AE143">
        <v>1.2926999999999999E-2</v>
      </c>
      <c r="AF143">
        <v>1.3868999999999999E-2</v>
      </c>
      <c r="AG143">
        <v>1.4857E-2</v>
      </c>
      <c r="AH143">
        <v>1.5883999999999999E-2</v>
      </c>
      <c r="AI143" t="s">
        <v>111</v>
      </c>
    </row>
    <row r="144" spans="1:35">
      <c r="A144" t="s">
        <v>242</v>
      </c>
      <c r="B144" t="s">
        <v>1908</v>
      </c>
      <c r="C144" t="s">
        <v>1909</v>
      </c>
      <c r="D144" t="s">
        <v>231</v>
      </c>
      <c r="F144">
        <v>3.7775319999999999</v>
      </c>
      <c r="G144">
        <v>3.8016570000000001</v>
      </c>
      <c r="H144">
        <v>3.826797</v>
      </c>
      <c r="I144">
        <v>3.8675039999999998</v>
      </c>
      <c r="J144">
        <v>3.921414</v>
      </c>
      <c r="K144">
        <v>3.9823469999999999</v>
      </c>
      <c r="L144">
        <v>4.0465749999999998</v>
      </c>
      <c r="M144">
        <v>4.1079509999999999</v>
      </c>
      <c r="N144">
        <v>4.1667870000000002</v>
      </c>
      <c r="O144">
        <v>4.2190009999999996</v>
      </c>
      <c r="P144">
        <v>4.273854</v>
      </c>
      <c r="Q144">
        <v>4.321345</v>
      </c>
      <c r="R144">
        <v>4.3609059999999999</v>
      </c>
      <c r="S144">
        <v>4.4007839999999998</v>
      </c>
      <c r="T144">
        <v>4.4430269999999998</v>
      </c>
      <c r="U144">
        <v>4.488836</v>
      </c>
      <c r="V144">
        <v>4.5369330000000003</v>
      </c>
      <c r="W144">
        <v>4.5874480000000002</v>
      </c>
      <c r="X144">
        <v>4.6354730000000002</v>
      </c>
      <c r="Y144">
        <v>4.6823509999999997</v>
      </c>
      <c r="Z144">
        <v>4.7306100000000004</v>
      </c>
      <c r="AA144">
        <v>4.7883639999999996</v>
      </c>
      <c r="AB144">
        <v>4.8528969999999996</v>
      </c>
      <c r="AC144">
        <v>4.9154470000000003</v>
      </c>
      <c r="AD144">
        <v>4.9732979999999998</v>
      </c>
      <c r="AE144">
        <v>5.0300529999999997</v>
      </c>
      <c r="AF144">
        <v>5.0859709999999998</v>
      </c>
      <c r="AG144">
        <v>5.1414540000000004</v>
      </c>
      <c r="AH144">
        <v>5.1940850000000003</v>
      </c>
      <c r="AI144" s="22">
        <v>1.0999999999999999E-2</v>
      </c>
    </row>
    <row r="145" spans="1:35">
      <c r="A145" t="s">
        <v>243</v>
      </c>
    </row>
    <row r="146" spans="1:35">
      <c r="A146" t="s">
        <v>189</v>
      </c>
      <c r="B146" t="s">
        <v>1910</v>
      </c>
      <c r="C146" t="s">
        <v>1911</v>
      </c>
      <c r="D146" t="s">
        <v>231</v>
      </c>
      <c r="F146">
        <v>5.1944619999999997</v>
      </c>
      <c r="G146">
        <v>5.2328229999999998</v>
      </c>
      <c r="H146">
        <v>5.2668879999999998</v>
      </c>
      <c r="I146">
        <v>5.3193219999999997</v>
      </c>
      <c r="J146">
        <v>5.3875500000000001</v>
      </c>
      <c r="K146">
        <v>5.4611130000000001</v>
      </c>
      <c r="L146">
        <v>5.534211</v>
      </c>
      <c r="M146">
        <v>5.597963</v>
      </c>
      <c r="N146">
        <v>5.6528239999999998</v>
      </c>
      <c r="O146">
        <v>5.7010459999999998</v>
      </c>
      <c r="P146">
        <v>5.7446830000000002</v>
      </c>
      <c r="Q146">
        <v>5.7797029999999996</v>
      </c>
      <c r="R146">
        <v>5.7983529999999996</v>
      </c>
      <c r="S146">
        <v>5.8140619999999998</v>
      </c>
      <c r="T146">
        <v>5.8338109999999999</v>
      </c>
      <c r="U146">
        <v>5.8552200000000001</v>
      </c>
      <c r="V146">
        <v>5.8780659999999996</v>
      </c>
      <c r="W146">
        <v>5.8949480000000003</v>
      </c>
      <c r="X146">
        <v>5.9060889999999997</v>
      </c>
      <c r="Y146">
        <v>5.9044379999999999</v>
      </c>
      <c r="Z146">
        <v>5.9129310000000004</v>
      </c>
      <c r="AA146">
        <v>5.9276549999999997</v>
      </c>
      <c r="AB146">
        <v>5.9487350000000001</v>
      </c>
      <c r="AC146">
        <v>5.9689170000000003</v>
      </c>
      <c r="AD146">
        <v>5.9804979999999999</v>
      </c>
      <c r="AE146">
        <v>5.985233</v>
      </c>
      <c r="AF146">
        <v>5.9853329999999998</v>
      </c>
      <c r="AG146">
        <v>5.9791749999999997</v>
      </c>
      <c r="AH146">
        <v>5.9653660000000004</v>
      </c>
      <c r="AI146" s="22">
        <v>5.0000000000000001E-3</v>
      </c>
    </row>
    <row r="147" spans="1:35">
      <c r="A147" t="s">
        <v>235</v>
      </c>
      <c r="B147" t="s">
        <v>1912</v>
      </c>
      <c r="C147" t="s">
        <v>1913</v>
      </c>
      <c r="D147" t="s">
        <v>231</v>
      </c>
      <c r="F147">
        <v>4.3656E-2</v>
      </c>
      <c r="G147">
        <v>3.8945E-2</v>
      </c>
      <c r="H147">
        <v>3.5015999999999999E-2</v>
      </c>
      <c r="I147">
        <v>3.1848000000000001E-2</v>
      </c>
      <c r="J147">
        <v>2.9543E-2</v>
      </c>
      <c r="K147">
        <v>2.7923E-2</v>
      </c>
      <c r="L147">
        <v>2.6786999999999998E-2</v>
      </c>
      <c r="M147">
        <v>2.5902999999999999E-2</v>
      </c>
      <c r="N147">
        <v>2.5295999999999999E-2</v>
      </c>
      <c r="O147">
        <v>2.4788000000000001E-2</v>
      </c>
      <c r="P147">
        <v>2.4475E-2</v>
      </c>
      <c r="Q147">
        <v>2.4362999999999999E-2</v>
      </c>
      <c r="R147">
        <v>2.4388E-2</v>
      </c>
      <c r="S147">
        <v>2.4575E-2</v>
      </c>
      <c r="T147">
        <v>2.4816000000000001E-2</v>
      </c>
      <c r="U147">
        <v>2.5201000000000001E-2</v>
      </c>
      <c r="V147">
        <v>2.5683999999999998E-2</v>
      </c>
      <c r="W147">
        <v>2.6178E-2</v>
      </c>
      <c r="X147">
        <v>2.6626E-2</v>
      </c>
      <c r="Y147">
        <v>2.7116999999999999E-2</v>
      </c>
      <c r="Z147">
        <v>2.7505999999999999E-2</v>
      </c>
      <c r="AA147">
        <v>2.7862000000000001E-2</v>
      </c>
      <c r="AB147">
        <v>2.8295000000000001E-2</v>
      </c>
      <c r="AC147">
        <v>2.8759E-2</v>
      </c>
      <c r="AD147">
        <v>2.9224E-2</v>
      </c>
      <c r="AE147">
        <v>2.9678E-2</v>
      </c>
      <c r="AF147">
        <v>3.0127999999999999E-2</v>
      </c>
      <c r="AG147">
        <v>3.0556E-2</v>
      </c>
      <c r="AH147">
        <v>3.0960999999999999E-2</v>
      </c>
      <c r="AI147" s="22">
        <v>-1.2E-2</v>
      </c>
    </row>
    <row r="148" spans="1:35">
      <c r="A148" t="s">
        <v>192</v>
      </c>
      <c r="B148" t="s">
        <v>1914</v>
      </c>
      <c r="C148" t="s">
        <v>1915</v>
      </c>
      <c r="D148" t="s">
        <v>231</v>
      </c>
      <c r="F148">
        <v>3.2009999999999999E-3</v>
      </c>
      <c r="G148">
        <v>3.0999999999999999E-3</v>
      </c>
      <c r="H148">
        <v>3.016E-3</v>
      </c>
      <c r="I148">
        <v>2.9619999999999998E-3</v>
      </c>
      <c r="J148">
        <v>2.9589999999999998E-3</v>
      </c>
      <c r="K148">
        <v>2.9729999999999999E-3</v>
      </c>
      <c r="L148">
        <v>2.9849999999999998E-3</v>
      </c>
      <c r="M148">
        <v>2.9610000000000001E-3</v>
      </c>
      <c r="N148">
        <v>2.947E-3</v>
      </c>
      <c r="O148">
        <v>2.9359999999999998E-3</v>
      </c>
      <c r="P148">
        <v>2.9220000000000001E-3</v>
      </c>
      <c r="Q148">
        <v>2.941E-3</v>
      </c>
      <c r="R148">
        <v>2.9780000000000002E-3</v>
      </c>
      <c r="S148">
        <v>3.0270000000000002E-3</v>
      </c>
      <c r="T148">
        <v>3.0829999999999998E-3</v>
      </c>
      <c r="U148">
        <v>3.1449999999999998E-3</v>
      </c>
      <c r="V148">
        <v>3.2100000000000002E-3</v>
      </c>
      <c r="W148">
        <v>3.277E-3</v>
      </c>
      <c r="X148">
        <v>3.3430000000000001E-3</v>
      </c>
      <c r="Y148">
        <v>3.4069999999999999E-3</v>
      </c>
      <c r="Z148">
        <v>3.467E-3</v>
      </c>
      <c r="AA148">
        <v>3.5239999999999998E-3</v>
      </c>
      <c r="AB148">
        <v>3.5769999999999999E-3</v>
      </c>
      <c r="AC148">
        <v>3.6259999999999999E-3</v>
      </c>
      <c r="AD148">
        <v>3.6709999999999998E-3</v>
      </c>
      <c r="AE148">
        <v>3.712E-3</v>
      </c>
      <c r="AF148">
        <v>3.748E-3</v>
      </c>
      <c r="AG148">
        <v>3.7620000000000002E-3</v>
      </c>
      <c r="AH148">
        <v>3.7499999999999999E-3</v>
      </c>
      <c r="AI148" s="22">
        <v>6.0000000000000001E-3</v>
      </c>
    </row>
    <row r="149" spans="1:35">
      <c r="A149" t="s">
        <v>195</v>
      </c>
      <c r="B149" t="s">
        <v>1916</v>
      </c>
      <c r="C149" t="s">
        <v>1917</v>
      </c>
      <c r="D149" t="s">
        <v>231</v>
      </c>
      <c r="F149">
        <v>4.9617000000000001E-2</v>
      </c>
      <c r="G149">
        <v>5.2673999999999999E-2</v>
      </c>
      <c r="H149">
        <v>5.5499E-2</v>
      </c>
      <c r="I149">
        <v>5.8312999999999997E-2</v>
      </c>
      <c r="J149">
        <v>6.1046999999999997E-2</v>
      </c>
      <c r="K149">
        <v>6.3582E-2</v>
      </c>
      <c r="L149">
        <v>6.5810999999999995E-2</v>
      </c>
      <c r="M149">
        <v>6.7700999999999997E-2</v>
      </c>
      <c r="N149">
        <v>6.9268999999999997E-2</v>
      </c>
      <c r="O149">
        <v>7.0640999999999995E-2</v>
      </c>
      <c r="P149">
        <v>7.1928000000000006E-2</v>
      </c>
      <c r="Q149">
        <v>7.3205999999999993E-2</v>
      </c>
      <c r="R149">
        <v>7.4462E-2</v>
      </c>
      <c r="S149">
        <v>7.5724E-2</v>
      </c>
      <c r="T149">
        <v>7.7021000000000006E-2</v>
      </c>
      <c r="U149">
        <v>7.8404000000000001E-2</v>
      </c>
      <c r="V149">
        <v>7.9907000000000006E-2</v>
      </c>
      <c r="W149">
        <v>8.1553E-2</v>
      </c>
      <c r="X149">
        <v>8.3330000000000001E-2</v>
      </c>
      <c r="Y149">
        <v>8.5219000000000003E-2</v>
      </c>
      <c r="Z149">
        <v>8.7198999999999999E-2</v>
      </c>
      <c r="AA149">
        <v>8.9256000000000002E-2</v>
      </c>
      <c r="AB149">
        <v>9.1452000000000006E-2</v>
      </c>
      <c r="AC149">
        <v>9.3690999999999997E-2</v>
      </c>
      <c r="AD149">
        <v>9.5894999999999994E-2</v>
      </c>
      <c r="AE149">
        <v>9.8146999999999998E-2</v>
      </c>
      <c r="AF149">
        <v>0.10026400000000001</v>
      </c>
      <c r="AG149">
        <v>0.102393</v>
      </c>
      <c r="AH149">
        <v>0.104612</v>
      </c>
      <c r="AI149" s="22">
        <v>2.7E-2</v>
      </c>
    </row>
    <row r="150" spans="1:35">
      <c r="A150" t="s">
        <v>236</v>
      </c>
      <c r="B150" t="s">
        <v>1918</v>
      </c>
      <c r="C150" t="s">
        <v>1919</v>
      </c>
      <c r="D150" t="s">
        <v>231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111</v>
      </c>
    </row>
    <row r="151" spans="1:35">
      <c r="A151" t="s">
        <v>237</v>
      </c>
      <c r="B151" t="s">
        <v>1920</v>
      </c>
      <c r="C151" t="s">
        <v>1921</v>
      </c>
      <c r="D151" t="s">
        <v>231</v>
      </c>
      <c r="F151">
        <v>2.1100000000000001E-4</v>
      </c>
      <c r="G151">
        <v>2.4600000000000002E-4</v>
      </c>
      <c r="H151">
        <v>2.7700000000000001E-4</v>
      </c>
      <c r="I151">
        <v>3.0499999999999999E-4</v>
      </c>
      <c r="J151">
        <v>3.3199999999999999E-4</v>
      </c>
      <c r="K151">
        <v>3.5500000000000001E-4</v>
      </c>
      <c r="L151">
        <v>3.7500000000000001E-4</v>
      </c>
      <c r="M151">
        <v>3.9300000000000001E-4</v>
      </c>
      <c r="N151">
        <v>4.0700000000000003E-4</v>
      </c>
      <c r="O151">
        <v>4.1800000000000002E-4</v>
      </c>
      <c r="P151">
        <v>4.26E-4</v>
      </c>
      <c r="Q151">
        <v>4.3300000000000001E-4</v>
      </c>
      <c r="R151">
        <v>4.37E-4</v>
      </c>
      <c r="S151">
        <v>4.3899999999999999E-4</v>
      </c>
      <c r="T151">
        <v>4.3899999999999999E-4</v>
      </c>
      <c r="U151">
        <v>4.37E-4</v>
      </c>
      <c r="V151">
        <v>4.3399999999999998E-4</v>
      </c>
      <c r="W151">
        <v>4.2999999999999999E-4</v>
      </c>
      <c r="X151">
        <v>4.2400000000000001E-4</v>
      </c>
      <c r="Y151">
        <v>4.1800000000000002E-4</v>
      </c>
      <c r="Z151">
        <v>4.0999999999999999E-4</v>
      </c>
      <c r="AA151">
        <v>4.0099999999999999E-4</v>
      </c>
      <c r="AB151">
        <v>3.9199999999999999E-4</v>
      </c>
      <c r="AC151">
        <v>3.8200000000000002E-4</v>
      </c>
      <c r="AD151">
        <v>3.7199999999999999E-4</v>
      </c>
      <c r="AE151">
        <v>3.6099999999999999E-4</v>
      </c>
      <c r="AF151">
        <v>3.5E-4</v>
      </c>
      <c r="AG151">
        <v>3.3799999999999998E-4</v>
      </c>
      <c r="AH151">
        <v>3.2699999999999998E-4</v>
      </c>
      <c r="AI151" s="22">
        <v>1.6E-2</v>
      </c>
    </row>
    <row r="152" spans="1:35">
      <c r="A152" t="s">
        <v>238</v>
      </c>
      <c r="B152" t="s">
        <v>1922</v>
      </c>
      <c r="C152" t="s">
        <v>1923</v>
      </c>
      <c r="D152" t="s">
        <v>231</v>
      </c>
      <c r="F152">
        <v>0</v>
      </c>
      <c r="G152">
        <v>0</v>
      </c>
      <c r="H152">
        <v>1.03E-4</v>
      </c>
      <c r="I152">
        <v>2.13E-4</v>
      </c>
      <c r="J152">
        <v>3.28E-4</v>
      </c>
      <c r="K152">
        <v>4.4700000000000002E-4</v>
      </c>
      <c r="L152">
        <v>5.6999999999999998E-4</v>
      </c>
      <c r="M152">
        <v>6.9300000000000004E-4</v>
      </c>
      <c r="N152">
        <v>8.1499999999999997E-4</v>
      </c>
      <c r="O152">
        <v>9.3700000000000001E-4</v>
      </c>
      <c r="P152">
        <v>1.0629999999999999E-3</v>
      </c>
      <c r="Q152">
        <v>1.1919999999999999E-3</v>
      </c>
      <c r="R152">
        <v>1.322E-3</v>
      </c>
      <c r="S152">
        <v>1.4530000000000001E-3</v>
      </c>
      <c r="T152">
        <v>1.588E-3</v>
      </c>
      <c r="U152">
        <v>1.7279999999999999E-3</v>
      </c>
      <c r="V152">
        <v>1.8749999999999999E-3</v>
      </c>
      <c r="W152">
        <v>2.029E-3</v>
      </c>
      <c r="X152">
        <v>2.1919999999999999E-3</v>
      </c>
      <c r="Y152">
        <v>2.3609999999999998E-3</v>
      </c>
      <c r="Z152">
        <v>2.539E-3</v>
      </c>
      <c r="AA152">
        <v>2.728E-3</v>
      </c>
      <c r="AB152">
        <v>2.9269999999999999E-3</v>
      </c>
      <c r="AC152">
        <v>3.1350000000000002E-3</v>
      </c>
      <c r="AD152">
        <v>3.3540000000000002E-3</v>
      </c>
      <c r="AE152">
        <v>3.5850000000000001E-3</v>
      </c>
      <c r="AF152">
        <v>3.8300000000000001E-3</v>
      </c>
      <c r="AG152">
        <v>4.0930000000000003E-3</v>
      </c>
      <c r="AH152">
        <v>4.3740000000000003E-3</v>
      </c>
      <c r="AI152" t="s">
        <v>111</v>
      </c>
    </row>
    <row r="153" spans="1:35">
      <c r="A153" t="s">
        <v>239</v>
      </c>
      <c r="B153" t="s">
        <v>1924</v>
      </c>
      <c r="C153" t="s">
        <v>1925</v>
      </c>
      <c r="D153" t="s">
        <v>231</v>
      </c>
      <c r="F153">
        <v>0</v>
      </c>
      <c r="G153">
        <v>0</v>
      </c>
      <c r="H153">
        <v>2.32E-4</v>
      </c>
      <c r="I153">
        <v>4.73E-4</v>
      </c>
      <c r="J153">
        <v>7.2400000000000003E-4</v>
      </c>
      <c r="K153">
        <v>9.7799999999999992E-4</v>
      </c>
      <c r="L153">
        <v>1.235E-3</v>
      </c>
      <c r="M153">
        <v>1.4890000000000001E-3</v>
      </c>
      <c r="N153">
        <v>1.737E-3</v>
      </c>
      <c r="O153">
        <v>1.983E-3</v>
      </c>
      <c r="P153">
        <v>2.232E-3</v>
      </c>
      <c r="Q153">
        <v>2.4870000000000001E-3</v>
      </c>
      <c r="R153">
        <v>2.7399999999999998E-3</v>
      </c>
      <c r="S153">
        <v>2.993E-3</v>
      </c>
      <c r="T153">
        <v>3.2499999999999999E-3</v>
      </c>
      <c r="U153">
        <v>3.5149999999999999E-3</v>
      </c>
      <c r="V153">
        <v>3.79E-3</v>
      </c>
      <c r="W153">
        <v>4.0769999999999999E-3</v>
      </c>
      <c r="X153">
        <v>4.3750000000000004E-3</v>
      </c>
      <c r="Y153">
        <v>4.6839999999999998E-3</v>
      </c>
      <c r="Z153">
        <v>5.0029999999999996E-3</v>
      </c>
      <c r="AA153">
        <v>5.3359999999999996E-3</v>
      </c>
      <c r="AB153">
        <v>5.6810000000000003E-3</v>
      </c>
      <c r="AC153">
        <v>6.0350000000000004E-3</v>
      </c>
      <c r="AD153">
        <v>6.398E-3</v>
      </c>
      <c r="AE153">
        <v>6.7710000000000001E-3</v>
      </c>
      <c r="AF153">
        <v>7.1539999999999998E-3</v>
      </c>
      <c r="AG153">
        <v>7.5510000000000004E-3</v>
      </c>
      <c r="AH153">
        <v>7.9579999999999998E-3</v>
      </c>
      <c r="AI153" t="s">
        <v>111</v>
      </c>
    </row>
    <row r="154" spans="1:35">
      <c r="A154" t="s">
        <v>240</v>
      </c>
      <c r="B154" t="s">
        <v>1926</v>
      </c>
      <c r="C154" t="s">
        <v>1927</v>
      </c>
      <c r="D154" t="s">
        <v>231</v>
      </c>
      <c r="F154">
        <v>0</v>
      </c>
      <c r="G154">
        <v>0</v>
      </c>
      <c r="H154">
        <v>3.39E-4</v>
      </c>
      <c r="I154">
        <v>7.0500000000000001E-4</v>
      </c>
      <c r="J154">
        <v>1.0939999999999999E-3</v>
      </c>
      <c r="K154">
        <v>1.498E-3</v>
      </c>
      <c r="L154">
        <v>1.913E-3</v>
      </c>
      <c r="M154">
        <v>2.3310000000000002E-3</v>
      </c>
      <c r="N154">
        <v>2.7430000000000002E-3</v>
      </c>
      <c r="O154">
        <v>3.15E-3</v>
      </c>
      <c r="P154">
        <v>3.5609999999999999E-3</v>
      </c>
      <c r="Q154">
        <v>3.9750000000000002E-3</v>
      </c>
      <c r="R154">
        <v>4.3810000000000003E-3</v>
      </c>
      <c r="S154">
        <v>4.7840000000000001E-3</v>
      </c>
      <c r="T154">
        <v>5.1879999999999999E-3</v>
      </c>
      <c r="U154">
        <v>5.5979999999999997E-3</v>
      </c>
      <c r="V154">
        <v>6.019E-3</v>
      </c>
      <c r="W154">
        <v>6.4510000000000001E-3</v>
      </c>
      <c r="X154">
        <v>6.8929999999999998E-3</v>
      </c>
      <c r="Y154">
        <v>7.3410000000000003E-3</v>
      </c>
      <c r="Z154">
        <v>7.7970000000000001E-3</v>
      </c>
      <c r="AA154">
        <v>8.2649999999999998E-3</v>
      </c>
      <c r="AB154">
        <v>8.7449999999999993E-3</v>
      </c>
      <c r="AC154">
        <v>9.2339999999999992E-3</v>
      </c>
      <c r="AD154">
        <v>9.7330000000000003E-3</v>
      </c>
      <c r="AE154">
        <v>1.0248E-2</v>
      </c>
      <c r="AF154">
        <v>1.0784E-2</v>
      </c>
      <c r="AG154">
        <v>1.1351999999999999E-2</v>
      </c>
      <c r="AH154">
        <v>1.1953E-2</v>
      </c>
      <c r="AI154" t="s">
        <v>111</v>
      </c>
    </row>
    <row r="155" spans="1:35">
      <c r="A155" t="s">
        <v>244</v>
      </c>
      <c r="B155" t="s">
        <v>1928</v>
      </c>
      <c r="C155" t="s">
        <v>1929</v>
      </c>
      <c r="D155" t="s">
        <v>231</v>
      </c>
      <c r="F155">
        <v>5.2911479999999997</v>
      </c>
      <c r="G155">
        <v>5.3277859999999997</v>
      </c>
      <c r="H155">
        <v>5.361364</v>
      </c>
      <c r="I155">
        <v>5.4141409999999999</v>
      </c>
      <c r="J155">
        <v>5.4835739999999999</v>
      </c>
      <c r="K155">
        <v>5.5588680000000004</v>
      </c>
      <c r="L155">
        <v>5.6338869999999996</v>
      </c>
      <c r="M155">
        <v>5.6994319999999998</v>
      </c>
      <c r="N155">
        <v>5.7560359999999999</v>
      </c>
      <c r="O155">
        <v>5.8058969999999999</v>
      </c>
      <c r="P155">
        <v>5.8512890000000004</v>
      </c>
      <c r="Q155">
        <v>5.8883010000000002</v>
      </c>
      <c r="R155">
        <v>5.9090590000000001</v>
      </c>
      <c r="S155">
        <v>5.9270550000000002</v>
      </c>
      <c r="T155">
        <v>5.9491949999999996</v>
      </c>
      <c r="U155">
        <v>5.9732479999999999</v>
      </c>
      <c r="V155">
        <v>5.9989850000000002</v>
      </c>
      <c r="W155">
        <v>6.018948</v>
      </c>
      <c r="X155">
        <v>6.0332739999999996</v>
      </c>
      <c r="Y155">
        <v>6.0349839999999997</v>
      </c>
      <c r="Z155">
        <v>6.0468520000000003</v>
      </c>
      <c r="AA155">
        <v>6.0650259999999996</v>
      </c>
      <c r="AB155">
        <v>6.0898079999999997</v>
      </c>
      <c r="AC155">
        <v>6.1137839999999999</v>
      </c>
      <c r="AD155">
        <v>6.1291479999999998</v>
      </c>
      <c r="AE155">
        <v>6.1377309999999996</v>
      </c>
      <c r="AF155">
        <v>6.1415920000000002</v>
      </c>
      <c r="AG155">
        <v>6.1392160000000002</v>
      </c>
      <c r="AH155">
        <v>6.1293030000000002</v>
      </c>
      <c r="AI155" s="22">
        <v>5.0000000000000001E-3</v>
      </c>
    </row>
    <row r="156" spans="1:35">
      <c r="A156" t="s">
        <v>254</v>
      </c>
      <c r="B156" t="s">
        <v>1930</v>
      </c>
      <c r="C156" t="s">
        <v>1931</v>
      </c>
      <c r="D156" t="s">
        <v>231</v>
      </c>
      <c r="F156">
        <v>13.625920000000001</v>
      </c>
      <c r="G156">
        <v>13.830966</v>
      </c>
      <c r="H156">
        <v>14.042211999999999</v>
      </c>
      <c r="I156">
        <v>14.298769</v>
      </c>
      <c r="J156">
        <v>14.586748999999999</v>
      </c>
      <c r="K156">
        <v>14.883342000000001</v>
      </c>
      <c r="L156">
        <v>15.179776</v>
      </c>
      <c r="M156">
        <v>15.460215</v>
      </c>
      <c r="N156">
        <v>15.724275</v>
      </c>
      <c r="O156">
        <v>15.96926</v>
      </c>
      <c r="P156">
        <v>16.215009999999999</v>
      </c>
      <c r="Q156">
        <v>16.438492</v>
      </c>
      <c r="R156">
        <v>16.629252999999999</v>
      </c>
      <c r="S156">
        <v>16.807797999999998</v>
      </c>
      <c r="T156">
        <v>16.990765</v>
      </c>
      <c r="U156">
        <v>17.179614999999998</v>
      </c>
      <c r="V156">
        <v>17.374410999999998</v>
      </c>
      <c r="W156">
        <v>17.565836000000001</v>
      </c>
      <c r="X156">
        <v>17.747601</v>
      </c>
      <c r="Y156">
        <v>17.920214000000001</v>
      </c>
      <c r="Z156">
        <v>18.102879999999999</v>
      </c>
      <c r="AA156">
        <v>18.310333</v>
      </c>
      <c r="AB156">
        <v>18.536829000000001</v>
      </c>
      <c r="AC156">
        <v>18.754881000000001</v>
      </c>
      <c r="AD156">
        <v>18.954508000000001</v>
      </c>
      <c r="AE156">
        <v>19.148928000000002</v>
      </c>
      <c r="AF156">
        <v>19.338676</v>
      </c>
      <c r="AG156">
        <v>19.511382999999999</v>
      </c>
      <c r="AH156">
        <v>19.669333000000002</v>
      </c>
      <c r="AI156" s="22">
        <v>1.2999999999999999E-2</v>
      </c>
    </row>
    <row r="157" spans="1:35">
      <c r="A157" t="s">
        <v>148</v>
      </c>
    </row>
    <row r="158" spans="1:35">
      <c r="A158" t="s">
        <v>248</v>
      </c>
    </row>
    <row r="159" spans="1:35">
      <c r="A159" t="s">
        <v>170</v>
      </c>
    </row>
    <row r="160" spans="1:35">
      <c r="A160" t="s">
        <v>189</v>
      </c>
      <c r="B160" t="s">
        <v>1932</v>
      </c>
      <c r="C160" t="s">
        <v>1933</v>
      </c>
      <c r="D160" t="s">
        <v>267</v>
      </c>
      <c r="F160">
        <v>17.217651</v>
      </c>
      <c r="G160">
        <v>17.744102000000002</v>
      </c>
      <c r="H160">
        <v>18.613112999999998</v>
      </c>
      <c r="I160">
        <v>19.406454</v>
      </c>
      <c r="J160">
        <v>19.919450999999999</v>
      </c>
      <c r="K160">
        <v>20.357067000000001</v>
      </c>
      <c r="L160">
        <v>20.345766000000001</v>
      </c>
      <c r="M160">
        <v>20.365276000000001</v>
      </c>
      <c r="N160">
        <v>20.329483</v>
      </c>
      <c r="O160">
        <v>20.286487999999999</v>
      </c>
      <c r="P160">
        <v>20.227633000000001</v>
      </c>
      <c r="Q160">
        <v>20.160954</v>
      </c>
      <c r="R160">
        <v>20.104237000000001</v>
      </c>
      <c r="S160">
        <v>20.056694</v>
      </c>
      <c r="T160">
        <v>20.015709000000001</v>
      </c>
      <c r="U160">
        <v>19.980319999999999</v>
      </c>
      <c r="V160">
        <v>19.946562</v>
      </c>
      <c r="W160">
        <v>19.921679000000001</v>
      </c>
      <c r="X160">
        <v>19.899581999999999</v>
      </c>
      <c r="Y160">
        <v>19.880113999999999</v>
      </c>
      <c r="Z160">
        <v>19.863033000000001</v>
      </c>
      <c r="AA160">
        <v>19.847951999999999</v>
      </c>
      <c r="AB160">
        <v>19.834671</v>
      </c>
      <c r="AC160">
        <v>19.822828000000001</v>
      </c>
      <c r="AD160">
        <v>19.812082</v>
      </c>
      <c r="AE160">
        <v>19.802446</v>
      </c>
      <c r="AF160">
        <v>19.793932000000002</v>
      </c>
      <c r="AG160">
        <v>19.786345000000001</v>
      </c>
      <c r="AH160">
        <v>19.779591</v>
      </c>
      <c r="AI160" s="22">
        <v>5.0000000000000001E-3</v>
      </c>
    </row>
    <row r="161" spans="1:35">
      <c r="A161" t="s">
        <v>235</v>
      </c>
      <c r="B161" t="s">
        <v>1934</v>
      </c>
      <c r="C161" t="s">
        <v>1935</v>
      </c>
      <c r="D161" t="s">
        <v>268</v>
      </c>
      <c r="F161">
        <v>12.602778000000001</v>
      </c>
      <c r="G161">
        <v>13.424471</v>
      </c>
      <c r="H161">
        <v>13.844147</v>
      </c>
      <c r="I161">
        <v>14.268711</v>
      </c>
      <c r="J161">
        <v>14.534000000000001</v>
      </c>
      <c r="K161">
        <v>14.870362999999999</v>
      </c>
      <c r="L161">
        <v>14.893618999999999</v>
      </c>
      <c r="M161">
        <v>14.980943</v>
      </c>
      <c r="N161">
        <v>15.045360000000001</v>
      </c>
      <c r="O161">
        <v>15.091772000000001</v>
      </c>
      <c r="P161">
        <v>15.092649</v>
      </c>
      <c r="Q161">
        <v>15.080295</v>
      </c>
      <c r="R161">
        <v>15.0722</v>
      </c>
      <c r="S161">
        <v>15.068865000000001</v>
      </c>
      <c r="T161">
        <v>15.063532</v>
      </c>
      <c r="U161">
        <v>15.059089</v>
      </c>
      <c r="V161">
        <v>15.055775000000001</v>
      </c>
      <c r="W161">
        <v>15.053272</v>
      </c>
      <c r="X161">
        <v>15.051292999999999</v>
      </c>
      <c r="Y161">
        <v>14.504057</v>
      </c>
      <c r="Z161">
        <v>14.523482</v>
      </c>
      <c r="AA161">
        <v>14.552607999999999</v>
      </c>
      <c r="AB161">
        <v>14.596041</v>
      </c>
      <c r="AC161">
        <v>14.656158</v>
      </c>
      <c r="AD161">
        <v>14.731966</v>
      </c>
      <c r="AE161">
        <v>14.818673</v>
      </c>
      <c r="AF161">
        <v>14.907721</v>
      </c>
      <c r="AG161">
        <v>14.987799000000001</v>
      </c>
      <c r="AH161">
        <v>15.053252000000001</v>
      </c>
      <c r="AI161" s="22">
        <v>6.0000000000000001E-3</v>
      </c>
    </row>
    <row r="162" spans="1:35">
      <c r="A162" t="s">
        <v>192</v>
      </c>
      <c r="B162" t="s">
        <v>1936</v>
      </c>
      <c r="C162" t="s">
        <v>1937</v>
      </c>
      <c r="D162" t="s">
        <v>268</v>
      </c>
      <c r="F162">
        <v>12.370099</v>
      </c>
      <c r="G162">
        <v>12.423861</v>
      </c>
      <c r="H162">
        <v>12.629719</v>
      </c>
      <c r="I162">
        <v>12.777949</v>
      </c>
      <c r="J162">
        <v>12.891643</v>
      </c>
      <c r="K162">
        <v>13.075706</v>
      </c>
      <c r="L162">
        <v>13.197225</v>
      </c>
      <c r="M162">
        <v>13.404845999999999</v>
      </c>
      <c r="N162">
        <v>13.653918000000001</v>
      </c>
      <c r="O162">
        <v>13.885319000000001</v>
      </c>
      <c r="P162">
        <v>14.103802999999999</v>
      </c>
      <c r="Q162">
        <v>14.261164000000001</v>
      </c>
      <c r="R162">
        <v>14.349313</v>
      </c>
      <c r="S162">
        <v>14.374276999999999</v>
      </c>
      <c r="T162">
        <v>14.390862</v>
      </c>
      <c r="U162">
        <v>14.392963999999999</v>
      </c>
      <c r="V162">
        <v>14.388192999999999</v>
      </c>
      <c r="W162">
        <v>14.383031000000001</v>
      </c>
      <c r="X162">
        <v>14.379376000000001</v>
      </c>
      <c r="Y162">
        <v>14.376702999999999</v>
      </c>
      <c r="Z162">
        <v>14.375076</v>
      </c>
      <c r="AA162">
        <v>14.373309000000001</v>
      </c>
      <c r="AB162">
        <v>14.371249000000001</v>
      </c>
      <c r="AC162">
        <v>14.369225999999999</v>
      </c>
      <c r="AD162">
        <v>14.367286</v>
      </c>
      <c r="AE162">
        <v>14.365677</v>
      </c>
      <c r="AF162">
        <v>14.364300999999999</v>
      </c>
      <c r="AG162">
        <v>14.363234</v>
      </c>
      <c r="AH162">
        <v>14.362272000000001</v>
      </c>
      <c r="AI162" s="22">
        <v>5.0000000000000001E-3</v>
      </c>
    </row>
    <row r="163" spans="1:35">
      <c r="A163" t="s">
        <v>195</v>
      </c>
      <c r="B163" t="s">
        <v>1938</v>
      </c>
      <c r="C163" t="s">
        <v>1939</v>
      </c>
      <c r="D163" t="s">
        <v>268</v>
      </c>
      <c r="F163">
        <v>12.486860999999999</v>
      </c>
      <c r="G163">
        <v>12.486860999999999</v>
      </c>
      <c r="H163">
        <v>12.486860999999999</v>
      </c>
      <c r="I163">
        <v>12.486860999999999</v>
      </c>
      <c r="J163">
        <v>12.486863</v>
      </c>
      <c r="K163">
        <v>12.486863</v>
      </c>
      <c r="L163">
        <v>12.486863</v>
      </c>
      <c r="M163">
        <v>12.486863</v>
      </c>
      <c r="N163">
        <v>12.48686</v>
      </c>
      <c r="O163">
        <v>12.486863</v>
      </c>
      <c r="P163">
        <v>12.486859000000001</v>
      </c>
      <c r="Q163">
        <v>12.486859000000001</v>
      </c>
      <c r="R163">
        <v>12.486859000000001</v>
      </c>
      <c r="S163">
        <v>12.486858</v>
      </c>
      <c r="T163">
        <v>12.486863</v>
      </c>
      <c r="U163">
        <v>12.486863</v>
      </c>
      <c r="V163">
        <v>12.486863</v>
      </c>
      <c r="W163">
        <v>12.486860999999999</v>
      </c>
      <c r="X163">
        <v>12.486860999999999</v>
      </c>
      <c r="Y163">
        <v>12.486863</v>
      </c>
      <c r="Z163">
        <v>12.486860999999999</v>
      </c>
      <c r="AA163">
        <v>12.486864000000001</v>
      </c>
      <c r="AB163">
        <v>12.486860999999999</v>
      </c>
      <c r="AC163">
        <v>12.486860999999999</v>
      </c>
      <c r="AD163">
        <v>12.48686</v>
      </c>
      <c r="AE163">
        <v>12.486864000000001</v>
      </c>
      <c r="AF163">
        <v>12.486863</v>
      </c>
      <c r="AG163">
        <v>12.486864000000001</v>
      </c>
      <c r="AH163">
        <v>12.486860999999999</v>
      </c>
      <c r="AI163" s="22">
        <v>0</v>
      </c>
    </row>
    <row r="164" spans="1:35">
      <c r="A164" t="s">
        <v>236</v>
      </c>
      <c r="B164" t="s">
        <v>1940</v>
      </c>
      <c r="C164" t="s">
        <v>1941</v>
      </c>
      <c r="D164" t="s">
        <v>268</v>
      </c>
      <c r="F164">
        <v>12.856377999999999</v>
      </c>
      <c r="G164">
        <v>13.20093</v>
      </c>
      <c r="H164">
        <v>13.608930000000001</v>
      </c>
      <c r="I164">
        <v>14.025847000000001</v>
      </c>
      <c r="J164">
        <v>14.287955999999999</v>
      </c>
      <c r="K164">
        <v>14.621302</v>
      </c>
      <c r="L164">
        <v>14.646343</v>
      </c>
      <c r="M164">
        <v>14.734266999999999</v>
      </c>
      <c r="N164">
        <v>14.797757000000001</v>
      </c>
      <c r="O164">
        <v>14.841548</v>
      </c>
      <c r="P164">
        <v>14.838324</v>
      </c>
      <c r="Q164">
        <v>14.82273</v>
      </c>
      <c r="R164">
        <v>14.808649000000001</v>
      </c>
      <c r="S164">
        <v>14.801766000000001</v>
      </c>
      <c r="T164">
        <v>14.794805999999999</v>
      </c>
      <c r="U164">
        <v>14.790613</v>
      </c>
      <c r="V164">
        <v>14.787017000000001</v>
      </c>
      <c r="W164">
        <v>14.783522</v>
      </c>
      <c r="X164">
        <v>14.781934</v>
      </c>
      <c r="Y164">
        <v>14.225555999999999</v>
      </c>
      <c r="Z164">
        <v>14.235229</v>
      </c>
      <c r="AA164">
        <v>14.265335</v>
      </c>
      <c r="AB164">
        <v>14.310340999999999</v>
      </c>
      <c r="AC164">
        <v>14.372424000000001</v>
      </c>
      <c r="AD164">
        <v>14.450157000000001</v>
      </c>
      <c r="AE164">
        <v>14.539440000000001</v>
      </c>
      <c r="AF164">
        <v>14.631843</v>
      </c>
      <c r="AG164">
        <v>14.715491</v>
      </c>
      <c r="AH164">
        <v>14.784141</v>
      </c>
      <c r="AI164" s="22">
        <v>5.0000000000000001E-3</v>
      </c>
    </row>
    <row r="165" spans="1:35">
      <c r="A165" t="s">
        <v>237</v>
      </c>
      <c r="B165" t="s">
        <v>1942</v>
      </c>
      <c r="C165" t="s">
        <v>1943</v>
      </c>
      <c r="D165" t="s">
        <v>267</v>
      </c>
      <c r="F165">
        <v>27.219131000000001</v>
      </c>
      <c r="G165">
        <v>27.246206000000001</v>
      </c>
      <c r="H165">
        <v>27.281479000000001</v>
      </c>
      <c r="I165">
        <v>27.325984999999999</v>
      </c>
      <c r="J165">
        <v>27.380227999999999</v>
      </c>
      <c r="K165">
        <v>27.443396</v>
      </c>
      <c r="L165">
        <v>27.474347999999999</v>
      </c>
      <c r="M165">
        <v>27.529593999999999</v>
      </c>
      <c r="N165">
        <v>27.582577000000001</v>
      </c>
      <c r="O165">
        <v>27.631516000000001</v>
      </c>
      <c r="P165">
        <v>27.674510999999999</v>
      </c>
      <c r="Q165">
        <v>27.700320999999999</v>
      </c>
      <c r="R165">
        <v>27.708849000000001</v>
      </c>
      <c r="S165">
        <v>27.716260999999999</v>
      </c>
      <c r="T165">
        <v>27.722021000000002</v>
      </c>
      <c r="U165">
        <v>27.722662</v>
      </c>
      <c r="V165">
        <v>27.722632999999998</v>
      </c>
      <c r="W165">
        <v>27.722607</v>
      </c>
      <c r="X165">
        <v>27.722588999999999</v>
      </c>
      <c r="Y165">
        <v>27.722577999999999</v>
      </c>
      <c r="Z165">
        <v>27.722567000000002</v>
      </c>
      <c r="AA165">
        <v>27.722564999999999</v>
      </c>
      <c r="AB165">
        <v>27.722549000000001</v>
      </c>
      <c r="AC165">
        <v>27.722548</v>
      </c>
      <c r="AD165">
        <v>27.722542000000001</v>
      </c>
      <c r="AE165">
        <v>27.722548</v>
      </c>
      <c r="AF165">
        <v>27.722542000000001</v>
      </c>
      <c r="AG165">
        <v>27.722542000000001</v>
      </c>
      <c r="AH165">
        <v>27.722532000000001</v>
      </c>
      <c r="AI165" s="22">
        <v>1E-3</v>
      </c>
    </row>
    <row r="166" spans="1:35">
      <c r="A166" t="s">
        <v>238</v>
      </c>
      <c r="B166" t="s">
        <v>1944</v>
      </c>
      <c r="C166" t="s">
        <v>1945</v>
      </c>
      <c r="D166" t="s">
        <v>267</v>
      </c>
      <c r="F166">
        <v>0</v>
      </c>
      <c r="G166">
        <v>23.149602999999999</v>
      </c>
      <c r="H166">
        <v>23.792294999999999</v>
      </c>
      <c r="I166">
        <v>24.200839999999999</v>
      </c>
      <c r="J166">
        <v>24.605046999999999</v>
      </c>
      <c r="K166">
        <v>25.171638000000002</v>
      </c>
      <c r="L166">
        <v>25.638380000000002</v>
      </c>
      <c r="M166">
        <v>26.350712000000001</v>
      </c>
      <c r="N166">
        <v>27.125641000000002</v>
      </c>
      <c r="O166">
        <v>27.895655000000001</v>
      </c>
      <c r="P166">
        <v>28.569617999999998</v>
      </c>
      <c r="Q166">
        <v>28.919391999999998</v>
      </c>
      <c r="R166">
        <v>29.067191999999999</v>
      </c>
      <c r="S166">
        <v>29.093648999999999</v>
      </c>
      <c r="T166">
        <v>29.114096</v>
      </c>
      <c r="U166">
        <v>29.116447000000001</v>
      </c>
      <c r="V166">
        <v>29.109842</v>
      </c>
      <c r="W166">
        <v>29.103829999999999</v>
      </c>
      <c r="X166">
        <v>29.098240000000001</v>
      </c>
      <c r="Y166">
        <v>29.093197</v>
      </c>
      <c r="Z166">
        <v>29.089124999999999</v>
      </c>
      <c r="AA166">
        <v>29.085042999999999</v>
      </c>
      <c r="AB166">
        <v>29.081071999999999</v>
      </c>
      <c r="AC166">
        <v>29.077499</v>
      </c>
      <c r="AD166">
        <v>29.074244</v>
      </c>
      <c r="AE166">
        <v>29.071300999999998</v>
      </c>
      <c r="AF166">
        <v>29.068680000000001</v>
      </c>
      <c r="AG166">
        <v>29.066320000000001</v>
      </c>
      <c r="AH166">
        <v>29.064229999999998</v>
      </c>
      <c r="AI166" t="s">
        <v>111</v>
      </c>
    </row>
    <row r="167" spans="1:35">
      <c r="A167" t="s">
        <v>239</v>
      </c>
      <c r="B167" t="s">
        <v>1946</v>
      </c>
      <c r="C167" t="s">
        <v>1947</v>
      </c>
      <c r="D167" t="s">
        <v>268</v>
      </c>
      <c r="F167">
        <v>0</v>
      </c>
      <c r="G167">
        <v>18.966135000000001</v>
      </c>
      <c r="H167">
        <v>19.217065999999999</v>
      </c>
      <c r="I167">
        <v>19.464846000000001</v>
      </c>
      <c r="J167">
        <v>19.583196999999998</v>
      </c>
      <c r="K167">
        <v>19.765567999999998</v>
      </c>
      <c r="L167">
        <v>19.883178999999998</v>
      </c>
      <c r="M167">
        <v>20.084596999999999</v>
      </c>
      <c r="N167">
        <v>20.313245999999999</v>
      </c>
      <c r="O167">
        <v>20.535800999999999</v>
      </c>
      <c r="P167">
        <v>20.723002999999999</v>
      </c>
      <c r="Q167">
        <v>20.855868999999998</v>
      </c>
      <c r="R167">
        <v>20.952625000000001</v>
      </c>
      <c r="S167">
        <v>20.993577999999999</v>
      </c>
      <c r="T167">
        <v>21.033982999999999</v>
      </c>
      <c r="U167">
        <v>21.055209999999999</v>
      </c>
      <c r="V167">
        <v>21.058744000000001</v>
      </c>
      <c r="W167">
        <v>21.054012</v>
      </c>
      <c r="X167">
        <v>21.050003</v>
      </c>
      <c r="Y167">
        <v>21.046147999999999</v>
      </c>
      <c r="Z167">
        <v>21.043344000000001</v>
      </c>
      <c r="AA167">
        <v>21.040512</v>
      </c>
      <c r="AB167">
        <v>21.038179</v>
      </c>
      <c r="AC167">
        <v>21.036017999999999</v>
      </c>
      <c r="AD167">
        <v>21.033674000000001</v>
      </c>
      <c r="AE167">
        <v>21.031624000000001</v>
      </c>
      <c r="AF167">
        <v>21.030093999999998</v>
      </c>
      <c r="AG167">
        <v>21.028852000000001</v>
      </c>
      <c r="AH167">
        <v>21.027874000000001</v>
      </c>
      <c r="AI167" t="s">
        <v>111</v>
      </c>
    </row>
    <row r="168" spans="1:35">
      <c r="A168" t="s">
        <v>240</v>
      </c>
      <c r="B168" t="s">
        <v>1948</v>
      </c>
      <c r="C168" t="s">
        <v>1949</v>
      </c>
      <c r="D168" t="s">
        <v>267</v>
      </c>
      <c r="F168">
        <v>0</v>
      </c>
      <c r="G168">
        <v>0</v>
      </c>
      <c r="H168">
        <v>18.589188</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111</v>
      </c>
    </row>
    <row r="169" spans="1:35">
      <c r="A169" t="s">
        <v>249</v>
      </c>
      <c r="B169" t="s">
        <v>1950</v>
      </c>
      <c r="C169" t="s">
        <v>1951</v>
      </c>
      <c r="F169">
        <v>15.490895999999999</v>
      </c>
      <c r="G169">
        <v>16.166305999999999</v>
      </c>
      <c r="H169">
        <v>16.862936000000001</v>
      </c>
      <c r="I169">
        <v>17.517621999999999</v>
      </c>
      <c r="J169">
        <v>17.939973999999999</v>
      </c>
      <c r="K169">
        <v>18.351084</v>
      </c>
      <c r="L169">
        <v>18.363810999999998</v>
      </c>
      <c r="M169">
        <v>18.421906</v>
      </c>
      <c r="N169">
        <v>18.436741000000001</v>
      </c>
      <c r="O169">
        <v>18.438327999999998</v>
      </c>
      <c r="P169">
        <v>18.410077999999999</v>
      </c>
      <c r="Q169">
        <v>18.370756</v>
      </c>
      <c r="R169">
        <v>18.338426999999999</v>
      </c>
      <c r="S169">
        <v>18.312878000000001</v>
      </c>
      <c r="T169">
        <v>18.289845</v>
      </c>
      <c r="U169">
        <v>18.270005999999999</v>
      </c>
      <c r="V169">
        <v>18.251180999999999</v>
      </c>
      <c r="W169">
        <v>18.237627</v>
      </c>
      <c r="X169">
        <v>18.225670000000001</v>
      </c>
      <c r="Y169">
        <v>17.98377</v>
      </c>
      <c r="Z169">
        <v>17.984095</v>
      </c>
      <c r="AA169">
        <v>17.989407</v>
      </c>
      <c r="AB169">
        <v>18.001579</v>
      </c>
      <c r="AC169">
        <v>18.021345</v>
      </c>
      <c r="AD169">
        <v>18.048006000000001</v>
      </c>
      <c r="AE169">
        <v>18.079432000000001</v>
      </c>
      <c r="AF169">
        <v>18.112024000000002</v>
      </c>
      <c r="AG169">
        <v>18.141033</v>
      </c>
      <c r="AH169">
        <v>18.164223</v>
      </c>
      <c r="AI169" s="22">
        <v>6.0000000000000001E-3</v>
      </c>
    </row>
    <row r="170" spans="1:35">
      <c r="A170" t="s">
        <v>171</v>
      </c>
    </row>
    <row r="171" spans="1:35">
      <c r="A171" t="s">
        <v>189</v>
      </c>
      <c r="B171" t="s">
        <v>1952</v>
      </c>
      <c r="C171" t="s">
        <v>1953</v>
      </c>
      <c r="D171" t="s">
        <v>267</v>
      </c>
      <c r="F171">
        <v>10.573097000000001</v>
      </c>
      <c r="G171">
        <v>11.142481999999999</v>
      </c>
      <c r="H171">
        <v>11.550675</v>
      </c>
      <c r="I171">
        <v>11.977062999999999</v>
      </c>
      <c r="J171">
        <v>12.422694</v>
      </c>
      <c r="K171">
        <v>12.829067</v>
      </c>
      <c r="L171">
        <v>12.983183</v>
      </c>
      <c r="M171">
        <v>13.298928</v>
      </c>
      <c r="N171">
        <v>13.580273999999999</v>
      </c>
      <c r="O171">
        <v>13.839663</v>
      </c>
      <c r="P171">
        <v>13.962664</v>
      </c>
      <c r="Q171">
        <v>13.93507</v>
      </c>
      <c r="R171">
        <v>13.911441999999999</v>
      </c>
      <c r="S171">
        <v>13.891622999999999</v>
      </c>
      <c r="T171">
        <v>13.875118000000001</v>
      </c>
      <c r="U171">
        <v>13.861440999999999</v>
      </c>
      <c r="V171">
        <v>13.850263999999999</v>
      </c>
      <c r="W171">
        <v>13.841043000000001</v>
      </c>
      <c r="X171">
        <v>13.833132000000001</v>
      </c>
      <c r="Y171">
        <v>13.826354</v>
      </c>
      <c r="Z171">
        <v>13.820491000000001</v>
      </c>
      <c r="AA171">
        <v>13.815535000000001</v>
      </c>
      <c r="AB171">
        <v>13.811344</v>
      </c>
      <c r="AC171">
        <v>13.807777</v>
      </c>
      <c r="AD171">
        <v>13.804619000000001</v>
      </c>
      <c r="AE171">
        <v>13.801878</v>
      </c>
      <c r="AF171">
        <v>13.799593</v>
      </c>
      <c r="AG171">
        <v>13.797670999999999</v>
      </c>
      <c r="AH171">
        <v>13.796167000000001</v>
      </c>
      <c r="AI171" s="22">
        <v>0.01</v>
      </c>
    </row>
    <row r="172" spans="1:35">
      <c r="A172" t="s">
        <v>235</v>
      </c>
      <c r="B172" t="s">
        <v>1954</v>
      </c>
      <c r="C172" t="s">
        <v>1955</v>
      </c>
      <c r="D172" t="s">
        <v>268</v>
      </c>
      <c r="F172">
        <v>7.5891770000000003</v>
      </c>
      <c r="G172">
        <v>7.6523339999999997</v>
      </c>
      <c r="H172">
        <v>7.8744550000000002</v>
      </c>
      <c r="I172">
        <v>8.1242289999999997</v>
      </c>
      <c r="J172">
        <v>8.3943469999999998</v>
      </c>
      <c r="K172">
        <v>8.6589279999999995</v>
      </c>
      <c r="L172">
        <v>8.7443919999999995</v>
      </c>
      <c r="M172">
        <v>8.950094</v>
      </c>
      <c r="N172">
        <v>9.1302690000000002</v>
      </c>
      <c r="O172">
        <v>9.29664</v>
      </c>
      <c r="P172">
        <v>9.4047549999999998</v>
      </c>
      <c r="Q172">
        <v>9.4433319999999998</v>
      </c>
      <c r="R172">
        <v>9.4775770000000001</v>
      </c>
      <c r="S172">
        <v>9.4981810000000007</v>
      </c>
      <c r="T172">
        <v>9.5133659999999995</v>
      </c>
      <c r="U172">
        <v>9.5167750000000009</v>
      </c>
      <c r="V172">
        <v>9.5163709999999995</v>
      </c>
      <c r="W172">
        <v>9.5160710000000002</v>
      </c>
      <c r="X172">
        <v>9.515841</v>
      </c>
      <c r="Y172">
        <v>9.5156679999999998</v>
      </c>
      <c r="Z172">
        <v>9.5155329999999996</v>
      </c>
      <c r="AA172">
        <v>9.5154340000000008</v>
      </c>
      <c r="AB172">
        <v>9.5153590000000001</v>
      </c>
      <c r="AC172">
        <v>9.5152990000000006</v>
      </c>
      <c r="AD172">
        <v>9.5152549999999998</v>
      </c>
      <c r="AE172">
        <v>9.5152210000000004</v>
      </c>
      <c r="AF172">
        <v>9.5151939999999993</v>
      </c>
      <c r="AG172">
        <v>9.5151730000000008</v>
      </c>
      <c r="AH172">
        <v>9.5151610000000009</v>
      </c>
      <c r="AI172" s="22">
        <v>8.0000000000000002E-3</v>
      </c>
    </row>
    <row r="173" spans="1:35">
      <c r="A173" t="s">
        <v>192</v>
      </c>
      <c r="B173" t="s">
        <v>1956</v>
      </c>
      <c r="C173" t="s">
        <v>1957</v>
      </c>
      <c r="D173" t="s">
        <v>268</v>
      </c>
      <c r="F173">
        <v>7.1242470000000004</v>
      </c>
      <c r="G173">
        <v>7.216818</v>
      </c>
      <c r="H173">
        <v>7.356338</v>
      </c>
      <c r="I173">
        <v>7.5275080000000001</v>
      </c>
      <c r="J173">
        <v>7.7367439999999998</v>
      </c>
      <c r="K173">
        <v>7.9802749999999998</v>
      </c>
      <c r="L173">
        <v>8.1329689999999992</v>
      </c>
      <c r="M173">
        <v>8.3850580000000008</v>
      </c>
      <c r="N173">
        <v>8.6340389999999996</v>
      </c>
      <c r="O173">
        <v>8.8846019999999992</v>
      </c>
      <c r="P173">
        <v>9.1037320000000008</v>
      </c>
      <c r="Q173">
        <v>9.2685969999999998</v>
      </c>
      <c r="R173">
        <v>9.3673669999999998</v>
      </c>
      <c r="S173">
        <v>9.3986730000000005</v>
      </c>
      <c r="T173">
        <v>9.4239759999999997</v>
      </c>
      <c r="U173">
        <v>9.4243430000000004</v>
      </c>
      <c r="V173">
        <v>9.4240860000000009</v>
      </c>
      <c r="W173">
        <v>9.4238769999999992</v>
      </c>
      <c r="X173">
        <v>9.4237210000000005</v>
      </c>
      <c r="Y173">
        <v>9.4235749999999996</v>
      </c>
      <c r="Z173">
        <v>9.4234550000000006</v>
      </c>
      <c r="AA173">
        <v>9.4233600000000006</v>
      </c>
      <c r="AB173">
        <v>9.4233170000000008</v>
      </c>
      <c r="AC173">
        <v>9.4232969999999998</v>
      </c>
      <c r="AD173">
        <v>9.4232879999999994</v>
      </c>
      <c r="AE173">
        <v>9.4232800000000001</v>
      </c>
      <c r="AF173">
        <v>9.4232779999999998</v>
      </c>
      <c r="AG173">
        <v>9.4232709999999997</v>
      </c>
      <c r="AH173">
        <v>9.4232750000000003</v>
      </c>
      <c r="AI173" s="22">
        <v>0.01</v>
      </c>
    </row>
    <row r="174" spans="1:35">
      <c r="A174" t="s">
        <v>195</v>
      </c>
      <c r="B174" t="s">
        <v>1958</v>
      </c>
      <c r="C174" t="s">
        <v>1959</v>
      </c>
      <c r="D174" t="s">
        <v>268</v>
      </c>
      <c r="F174">
        <v>7.292313</v>
      </c>
      <c r="G174">
        <v>7.4887620000000004</v>
      </c>
      <c r="H174">
        <v>7.6989830000000001</v>
      </c>
      <c r="I174">
        <v>7.9405089999999996</v>
      </c>
      <c r="J174">
        <v>8.1946619999999992</v>
      </c>
      <c r="K174">
        <v>8.4437359999999995</v>
      </c>
      <c r="L174">
        <v>8.5496529999999993</v>
      </c>
      <c r="M174">
        <v>8.7321190000000009</v>
      </c>
      <c r="N174">
        <v>8.8933470000000003</v>
      </c>
      <c r="O174">
        <v>9.0443850000000001</v>
      </c>
      <c r="P174">
        <v>9.1423909999999999</v>
      </c>
      <c r="Q174">
        <v>9.1668219999999998</v>
      </c>
      <c r="R174">
        <v>9.1616040000000005</v>
      </c>
      <c r="S174">
        <v>9.1576190000000004</v>
      </c>
      <c r="T174">
        <v>9.1545670000000001</v>
      </c>
      <c r="U174">
        <v>9.1522020000000008</v>
      </c>
      <c r="V174">
        <v>9.1503770000000006</v>
      </c>
      <c r="W174">
        <v>9.148968</v>
      </c>
      <c r="X174">
        <v>9.1478660000000005</v>
      </c>
      <c r="Y174">
        <v>9.1470079999999996</v>
      </c>
      <c r="Z174">
        <v>9.1463330000000003</v>
      </c>
      <c r="AA174">
        <v>9.1457940000000004</v>
      </c>
      <c r="AB174">
        <v>9.1453620000000004</v>
      </c>
      <c r="AC174">
        <v>9.145016</v>
      </c>
      <c r="AD174">
        <v>9.1447339999999997</v>
      </c>
      <c r="AE174">
        <v>9.1445059999999998</v>
      </c>
      <c r="AF174">
        <v>9.1443200000000004</v>
      </c>
      <c r="AG174">
        <v>9.1441730000000003</v>
      </c>
      <c r="AH174">
        <v>9.14405</v>
      </c>
      <c r="AI174" s="22">
        <v>8.0000000000000002E-3</v>
      </c>
    </row>
    <row r="175" spans="1:35">
      <c r="A175" t="s">
        <v>236</v>
      </c>
      <c r="B175" t="s">
        <v>1960</v>
      </c>
      <c r="C175" t="s">
        <v>1961</v>
      </c>
      <c r="D175" t="s">
        <v>269</v>
      </c>
      <c r="F175">
        <v>7.2663060000000002</v>
      </c>
      <c r="G175">
        <v>7.4555300000000004</v>
      </c>
      <c r="H175">
        <v>7.6718359999999999</v>
      </c>
      <c r="I175">
        <v>7.9160760000000003</v>
      </c>
      <c r="J175">
        <v>8.1797450000000005</v>
      </c>
      <c r="K175">
        <v>8.4372439999999997</v>
      </c>
      <c r="L175">
        <v>8.5197730000000007</v>
      </c>
      <c r="M175">
        <v>8.7195079999999994</v>
      </c>
      <c r="N175">
        <v>8.8943320000000003</v>
      </c>
      <c r="O175">
        <v>9.0558060000000005</v>
      </c>
      <c r="P175">
        <v>9.1607590000000005</v>
      </c>
      <c r="Q175">
        <v>9.1982040000000005</v>
      </c>
      <c r="R175">
        <v>9.2316839999999996</v>
      </c>
      <c r="S175">
        <v>9.2516850000000002</v>
      </c>
      <c r="T175">
        <v>9.266845</v>
      </c>
      <c r="U175">
        <v>9.2707099999999993</v>
      </c>
      <c r="V175">
        <v>9.2705110000000008</v>
      </c>
      <c r="W175">
        <v>9.2702580000000001</v>
      </c>
      <c r="X175">
        <v>9.2700849999999999</v>
      </c>
      <c r="Y175">
        <v>9.2699850000000001</v>
      </c>
      <c r="Z175">
        <v>9.2699289999999994</v>
      </c>
      <c r="AA175">
        <v>9.2698719999999994</v>
      </c>
      <c r="AB175">
        <v>9.2698280000000004</v>
      </c>
      <c r="AC175">
        <v>9.2698</v>
      </c>
      <c r="AD175">
        <v>9.2698009999999993</v>
      </c>
      <c r="AE175">
        <v>9.2698009999999993</v>
      </c>
      <c r="AF175">
        <v>9.2697959999999995</v>
      </c>
      <c r="AG175">
        <v>9.2697909999999997</v>
      </c>
      <c r="AH175">
        <v>9.2697839999999996</v>
      </c>
      <c r="AI175" s="22">
        <v>8.9999999999999993E-3</v>
      </c>
    </row>
    <row r="176" spans="1:35">
      <c r="A176" t="s">
        <v>237</v>
      </c>
      <c r="B176" t="s">
        <v>1962</v>
      </c>
      <c r="C176" t="s">
        <v>1963</v>
      </c>
      <c r="D176" t="s">
        <v>268</v>
      </c>
      <c r="F176">
        <v>17.261649999999999</v>
      </c>
      <c r="G176">
        <v>17.508955</v>
      </c>
      <c r="H176">
        <v>17.854617999999999</v>
      </c>
      <c r="I176">
        <v>18.280691000000001</v>
      </c>
      <c r="J176">
        <v>18.794691</v>
      </c>
      <c r="K176">
        <v>19.322081000000001</v>
      </c>
      <c r="L176">
        <v>19.567142</v>
      </c>
      <c r="M176">
        <v>20.083326</v>
      </c>
      <c r="N176">
        <v>20.583573999999999</v>
      </c>
      <c r="O176">
        <v>21.050308000000001</v>
      </c>
      <c r="P176">
        <v>21.371737</v>
      </c>
      <c r="Q176">
        <v>21.448775999999999</v>
      </c>
      <c r="R176">
        <v>21.473773999999999</v>
      </c>
      <c r="S176">
        <v>21.561295999999999</v>
      </c>
      <c r="T176">
        <v>21.629854000000002</v>
      </c>
      <c r="U176">
        <v>21.681643999999999</v>
      </c>
      <c r="V176">
        <v>21.724883999999999</v>
      </c>
      <c r="W176">
        <v>21.749371</v>
      </c>
      <c r="X176">
        <v>21.766476000000001</v>
      </c>
      <c r="Y176">
        <v>21.779071999999999</v>
      </c>
      <c r="Z176">
        <v>21.780203</v>
      </c>
      <c r="AA176">
        <v>21.780716000000002</v>
      </c>
      <c r="AB176">
        <v>21.779817999999999</v>
      </c>
      <c r="AC176">
        <v>21.778154000000001</v>
      </c>
      <c r="AD176">
        <v>21.776806000000001</v>
      </c>
      <c r="AE176">
        <v>21.776888</v>
      </c>
      <c r="AF176">
        <v>21.776876000000001</v>
      </c>
      <c r="AG176">
        <v>21.775303000000001</v>
      </c>
      <c r="AH176">
        <v>21.771277999999999</v>
      </c>
      <c r="AI176" s="22">
        <v>8.0000000000000002E-3</v>
      </c>
    </row>
    <row r="177" spans="1:35">
      <c r="A177" t="s">
        <v>238</v>
      </c>
      <c r="B177" t="s">
        <v>1964</v>
      </c>
      <c r="C177" t="s">
        <v>1965</v>
      </c>
      <c r="D177" t="s">
        <v>268</v>
      </c>
      <c r="F177">
        <v>0</v>
      </c>
      <c r="G177">
        <v>0</v>
      </c>
      <c r="H177">
        <v>14.554</v>
      </c>
      <c r="I177">
        <v>15.066958</v>
      </c>
      <c r="J177">
        <v>15.341419999999999</v>
      </c>
      <c r="K177">
        <v>15.709078999999999</v>
      </c>
      <c r="L177">
        <v>15.967656</v>
      </c>
      <c r="M177">
        <v>16.337116000000002</v>
      </c>
      <c r="N177">
        <v>16.689360000000001</v>
      </c>
      <c r="O177">
        <v>17.07855</v>
      </c>
      <c r="P177">
        <v>17.488775</v>
      </c>
      <c r="Q177">
        <v>17.886354000000001</v>
      </c>
      <c r="R177">
        <v>18.199643999999999</v>
      </c>
      <c r="S177">
        <v>18.308191000000001</v>
      </c>
      <c r="T177">
        <v>18.502431999999999</v>
      </c>
      <c r="U177">
        <v>18.604255999999999</v>
      </c>
      <c r="V177">
        <v>18.599921999999999</v>
      </c>
      <c r="W177">
        <v>18.595988999999999</v>
      </c>
      <c r="X177">
        <v>18.588878999999999</v>
      </c>
      <c r="Y177">
        <v>18.580458</v>
      </c>
      <c r="Z177">
        <v>18.572319</v>
      </c>
      <c r="AA177">
        <v>18.565365</v>
      </c>
      <c r="AB177">
        <v>18.559593</v>
      </c>
      <c r="AC177">
        <v>18.554870999999999</v>
      </c>
      <c r="AD177">
        <v>18.550796999999999</v>
      </c>
      <c r="AE177">
        <v>18.547432000000001</v>
      </c>
      <c r="AF177">
        <v>18.545000000000002</v>
      </c>
      <c r="AG177">
        <v>18.404453</v>
      </c>
      <c r="AH177">
        <v>18.411501000000001</v>
      </c>
      <c r="AI177" t="s">
        <v>111</v>
      </c>
    </row>
    <row r="178" spans="1:35">
      <c r="A178" t="s">
        <v>239</v>
      </c>
      <c r="B178" t="s">
        <v>1966</v>
      </c>
      <c r="C178" t="s">
        <v>1967</v>
      </c>
      <c r="D178" t="s">
        <v>268</v>
      </c>
      <c r="F178">
        <v>0</v>
      </c>
      <c r="G178">
        <v>0</v>
      </c>
      <c r="H178">
        <v>10.500056000000001</v>
      </c>
      <c r="I178">
        <v>10.814230999999999</v>
      </c>
      <c r="J178">
        <v>10.961114999999999</v>
      </c>
      <c r="K178">
        <v>11.15465</v>
      </c>
      <c r="L178">
        <v>11.297912999999999</v>
      </c>
      <c r="M178">
        <v>11.516861</v>
      </c>
      <c r="N178">
        <v>11.773405</v>
      </c>
      <c r="O178">
        <v>12.060518</v>
      </c>
      <c r="P178">
        <v>12.363200000000001</v>
      </c>
      <c r="Q178">
        <v>12.652893000000001</v>
      </c>
      <c r="R178">
        <v>12.906107</v>
      </c>
      <c r="S178">
        <v>12.960440999999999</v>
      </c>
      <c r="T178">
        <v>13.11445</v>
      </c>
      <c r="U178">
        <v>13.196939</v>
      </c>
      <c r="V178">
        <v>13.203151</v>
      </c>
      <c r="W178">
        <v>13.201480999999999</v>
      </c>
      <c r="X178">
        <v>13.196258</v>
      </c>
      <c r="Y178">
        <v>13.188408000000001</v>
      </c>
      <c r="Z178">
        <v>13.181312999999999</v>
      </c>
      <c r="AA178">
        <v>13.175032</v>
      </c>
      <c r="AB178">
        <v>13.169506</v>
      </c>
      <c r="AC178">
        <v>13.164567</v>
      </c>
      <c r="AD178">
        <v>13.160104</v>
      </c>
      <c r="AE178">
        <v>13.156112</v>
      </c>
      <c r="AF178">
        <v>13.152601000000001</v>
      </c>
      <c r="AG178">
        <v>13.149487000000001</v>
      </c>
      <c r="AH178">
        <v>13.146787</v>
      </c>
      <c r="AI178" t="s">
        <v>111</v>
      </c>
    </row>
    <row r="179" spans="1:35">
      <c r="A179" t="s">
        <v>240</v>
      </c>
      <c r="B179" t="s">
        <v>1968</v>
      </c>
      <c r="C179" t="s">
        <v>1969</v>
      </c>
      <c r="D179" t="s">
        <v>268</v>
      </c>
      <c r="F179">
        <v>0</v>
      </c>
      <c r="G179">
        <v>0</v>
      </c>
      <c r="H179">
        <v>11.516575</v>
      </c>
      <c r="I179">
        <v>11.516892</v>
      </c>
      <c r="J179">
        <v>11.516843</v>
      </c>
      <c r="K179">
        <v>11.516837000000001</v>
      </c>
      <c r="L179">
        <v>11.516859999999999</v>
      </c>
      <c r="M179">
        <v>11.516875000000001</v>
      </c>
      <c r="N179">
        <v>11.516899</v>
      </c>
      <c r="O179">
        <v>11.516926</v>
      </c>
      <c r="P179">
        <v>11.516949</v>
      </c>
      <c r="Q179">
        <v>11.516963000000001</v>
      </c>
      <c r="R179">
        <v>11.516961999999999</v>
      </c>
      <c r="S179">
        <v>11.516961999999999</v>
      </c>
      <c r="T179">
        <v>11.516928</v>
      </c>
      <c r="U179">
        <v>11.516892</v>
      </c>
      <c r="V179">
        <v>11.516885</v>
      </c>
      <c r="W179">
        <v>11.516885</v>
      </c>
      <c r="X179">
        <v>11.516887000000001</v>
      </c>
      <c r="Y179">
        <v>11.516885</v>
      </c>
      <c r="Z179">
        <v>11.516883</v>
      </c>
      <c r="AA179">
        <v>11.516883</v>
      </c>
      <c r="AB179">
        <v>11.516883</v>
      </c>
      <c r="AC179">
        <v>11.516882000000001</v>
      </c>
      <c r="AD179">
        <v>11.516881</v>
      </c>
      <c r="AE179">
        <v>11.516878999999999</v>
      </c>
      <c r="AF179">
        <v>11.516878999999999</v>
      </c>
      <c r="AG179">
        <v>11.516878</v>
      </c>
      <c r="AH179">
        <v>11.516882000000001</v>
      </c>
      <c r="AI179" t="s">
        <v>111</v>
      </c>
    </row>
    <row r="180" spans="1:35">
      <c r="A180" t="s">
        <v>250</v>
      </c>
      <c r="B180" t="s">
        <v>1970</v>
      </c>
      <c r="C180" t="s">
        <v>1971</v>
      </c>
      <c r="F180">
        <v>9.5238990000000001</v>
      </c>
      <c r="G180">
        <v>9.8844469999999998</v>
      </c>
      <c r="H180">
        <v>10.223267</v>
      </c>
      <c r="I180">
        <v>10.585305999999999</v>
      </c>
      <c r="J180">
        <v>10.967629000000001</v>
      </c>
      <c r="K180">
        <v>11.325177</v>
      </c>
      <c r="L180">
        <v>11.455857999999999</v>
      </c>
      <c r="M180">
        <v>11.734303000000001</v>
      </c>
      <c r="N180">
        <v>11.981159999999999</v>
      </c>
      <c r="O180">
        <v>12.208940999999999</v>
      </c>
      <c r="P180">
        <v>12.331969000000001</v>
      </c>
      <c r="Q180">
        <v>12.336569000000001</v>
      </c>
      <c r="R180">
        <v>12.340868</v>
      </c>
      <c r="S180">
        <v>12.340595</v>
      </c>
      <c r="T180">
        <v>12.339437</v>
      </c>
      <c r="U180">
        <v>12.334250000000001</v>
      </c>
      <c r="V180">
        <v>12.328588</v>
      </c>
      <c r="W180">
        <v>12.323949000000001</v>
      </c>
      <c r="X180">
        <v>12.32001</v>
      </c>
      <c r="Y180">
        <v>12.316662000000001</v>
      </c>
      <c r="Z180">
        <v>12.313787</v>
      </c>
      <c r="AA180">
        <v>12.311344</v>
      </c>
      <c r="AB180">
        <v>12.309291999999999</v>
      </c>
      <c r="AC180">
        <v>12.30757</v>
      </c>
      <c r="AD180">
        <v>12.306087</v>
      </c>
      <c r="AE180">
        <v>12.304835000000001</v>
      </c>
      <c r="AF180">
        <v>12.303853999999999</v>
      </c>
      <c r="AG180">
        <v>12.303074000000001</v>
      </c>
      <c r="AH180">
        <v>12.302524999999999</v>
      </c>
      <c r="AI180" s="22">
        <v>8.9999999999999993E-3</v>
      </c>
    </row>
    <row r="181" spans="1:35">
      <c r="A181" t="s">
        <v>243</v>
      </c>
    </row>
    <row r="182" spans="1:35">
      <c r="A182" t="s">
        <v>189</v>
      </c>
      <c r="B182" t="s">
        <v>1972</v>
      </c>
      <c r="C182" t="s">
        <v>1973</v>
      </c>
      <c r="D182" t="s">
        <v>267</v>
      </c>
      <c r="F182">
        <v>6.6741390000000003</v>
      </c>
      <c r="G182">
        <v>6.8853859999999996</v>
      </c>
      <c r="H182">
        <v>7.1007699999999998</v>
      </c>
      <c r="I182">
        <v>7.3030390000000001</v>
      </c>
      <c r="J182">
        <v>7.4948730000000001</v>
      </c>
      <c r="K182">
        <v>7.6626659999999998</v>
      </c>
      <c r="L182">
        <v>7.732456</v>
      </c>
      <c r="M182">
        <v>7.8400639999999999</v>
      </c>
      <c r="N182">
        <v>7.9515180000000001</v>
      </c>
      <c r="O182">
        <v>8.0549769999999992</v>
      </c>
      <c r="P182">
        <v>8.1152309999999996</v>
      </c>
      <c r="Q182">
        <v>8.1184750000000001</v>
      </c>
      <c r="R182">
        <v>8.1210090000000008</v>
      </c>
      <c r="S182">
        <v>8.1194799999999994</v>
      </c>
      <c r="T182">
        <v>8.1211660000000006</v>
      </c>
      <c r="U182">
        <v>8.1205200000000008</v>
      </c>
      <c r="V182">
        <v>8.1178039999999996</v>
      </c>
      <c r="W182">
        <v>8.1165520000000004</v>
      </c>
      <c r="X182">
        <v>8.1156939999999995</v>
      </c>
      <c r="Y182">
        <v>8.1152800000000003</v>
      </c>
      <c r="Z182">
        <v>8.1129940000000005</v>
      </c>
      <c r="AA182">
        <v>8.1129859999999994</v>
      </c>
      <c r="AB182">
        <v>8.1133609999999994</v>
      </c>
      <c r="AC182">
        <v>8.1141509999999997</v>
      </c>
      <c r="AD182">
        <v>8.1152329999999999</v>
      </c>
      <c r="AE182">
        <v>8.1162170000000007</v>
      </c>
      <c r="AF182">
        <v>8.1175329999999999</v>
      </c>
      <c r="AG182">
        <v>8.1193810000000006</v>
      </c>
      <c r="AH182">
        <v>8.1195070000000005</v>
      </c>
      <c r="AI182" s="22">
        <v>7.0000000000000001E-3</v>
      </c>
    </row>
    <row r="183" spans="1:35">
      <c r="A183" t="s">
        <v>235</v>
      </c>
      <c r="B183" t="s">
        <v>1974</v>
      </c>
      <c r="C183" t="s">
        <v>1975</v>
      </c>
      <c r="D183" t="s">
        <v>268</v>
      </c>
      <c r="F183">
        <v>6.9584929999999998</v>
      </c>
      <c r="G183">
        <v>5.9504339999999996</v>
      </c>
      <c r="H183">
        <v>6.0052680000000001</v>
      </c>
      <c r="I183">
        <v>6.0689669999999998</v>
      </c>
      <c r="J183">
        <v>6.1342939999999997</v>
      </c>
      <c r="K183">
        <v>6.2195330000000002</v>
      </c>
      <c r="L183">
        <v>6.2749100000000002</v>
      </c>
      <c r="M183">
        <v>6.3636439999999999</v>
      </c>
      <c r="N183">
        <v>6.4494819999999997</v>
      </c>
      <c r="O183">
        <v>6.5364389999999997</v>
      </c>
      <c r="P183">
        <v>6.6164870000000002</v>
      </c>
      <c r="Q183">
        <v>6.6860059999999999</v>
      </c>
      <c r="R183">
        <v>6.7271580000000002</v>
      </c>
      <c r="S183">
        <v>6.7527999999999997</v>
      </c>
      <c r="T183">
        <v>6.7797749999999999</v>
      </c>
      <c r="U183">
        <v>6.7684090000000001</v>
      </c>
      <c r="V183">
        <v>6.7596400000000001</v>
      </c>
      <c r="W183">
        <v>6.7570889999999997</v>
      </c>
      <c r="X183">
        <v>6.7734519999999998</v>
      </c>
      <c r="Y183">
        <v>6.7756749999999997</v>
      </c>
      <c r="Z183">
        <v>6.7945039999999999</v>
      </c>
      <c r="AA183">
        <v>6.7961799999999997</v>
      </c>
      <c r="AB183">
        <v>6.7973249999999998</v>
      </c>
      <c r="AC183">
        <v>6.7981189999999998</v>
      </c>
      <c r="AD183">
        <v>6.7981499999999997</v>
      </c>
      <c r="AE183">
        <v>6.7977189999999998</v>
      </c>
      <c r="AF183">
        <v>6.7972159999999997</v>
      </c>
      <c r="AG183">
        <v>6.7968830000000002</v>
      </c>
      <c r="AH183">
        <v>6.79582</v>
      </c>
      <c r="AI183" s="22">
        <v>-1E-3</v>
      </c>
    </row>
    <row r="184" spans="1:35">
      <c r="A184" t="s">
        <v>192</v>
      </c>
      <c r="B184" t="s">
        <v>1976</v>
      </c>
      <c r="C184" t="s">
        <v>1977</v>
      </c>
      <c r="D184" t="s">
        <v>268</v>
      </c>
      <c r="F184">
        <v>6.8185469999999997</v>
      </c>
      <c r="G184">
        <v>5.9032299999999998</v>
      </c>
      <c r="H184">
        <v>5.965395</v>
      </c>
      <c r="I184">
        <v>6.0361710000000004</v>
      </c>
      <c r="J184">
        <v>6.112959</v>
      </c>
      <c r="K184">
        <v>6.213965</v>
      </c>
      <c r="L184">
        <v>6.2799240000000003</v>
      </c>
      <c r="M184">
        <v>6.3891819999999999</v>
      </c>
      <c r="N184">
        <v>6.498729</v>
      </c>
      <c r="O184">
        <v>6.6139749999999999</v>
      </c>
      <c r="P184">
        <v>6.7271210000000004</v>
      </c>
      <c r="Q184">
        <v>6.8235080000000004</v>
      </c>
      <c r="R184">
        <v>6.8659860000000004</v>
      </c>
      <c r="S184">
        <v>6.8856020000000004</v>
      </c>
      <c r="T184">
        <v>6.9033810000000004</v>
      </c>
      <c r="U184">
        <v>6.914129</v>
      </c>
      <c r="V184">
        <v>6.9251120000000004</v>
      </c>
      <c r="W184">
        <v>6.9330420000000004</v>
      </c>
      <c r="X184">
        <v>6.9392069999999997</v>
      </c>
      <c r="Y184">
        <v>6.9466010000000002</v>
      </c>
      <c r="Z184">
        <v>6.9523789999999996</v>
      </c>
      <c r="AA184">
        <v>6.9593179999999997</v>
      </c>
      <c r="AB184">
        <v>6.964785</v>
      </c>
      <c r="AC184">
        <v>6.9700829999999998</v>
      </c>
      <c r="AD184">
        <v>6.9742800000000003</v>
      </c>
      <c r="AE184">
        <v>6.9769509999999997</v>
      </c>
      <c r="AF184">
        <v>6.9795540000000003</v>
      </c>
      <c r="AG184">
        <v>6.9818160000000002</v>
      </c>
      <c r="AH184">
        <v>6.977468</v>
      </c>
      <c r="AI184" s="22">
        <v>1E-3</v>
      </c>
    </row>
    <row r="185" spans="1:35">
      <c r="A185" t="s">
        <v>195</v>
      </c>
      <c r="B185" t="s">
        <v>1978</v>
      </c>
      <c r="C185" t="s">
        <v>1979</v>
      </c>
      <c r="D185" t="s">
        <v>267</v>
      </c>
      <c r="F185">
        <v>6.2556570000000002</v>
      </c>
      <c r="G185">
        <v>6.4596869999999997</v>
      </c>
      <c r="H185">
        <v>6.6800740000000003</v>
      </c>
      <c r="I185">
        <v>6.8737430000000002</v>
      </c>
      <c r="J185">
        <v>7.0331239999999999</v>
      </c>
      <c r="K185">
        <v>7.2060760000000004</v>
      </c>
      <c r="L185">
        <v>7.2511210000000004</v>
      </c>
      <c r="M185">
        <v>7.345504</v>
      </c>
      <c r="N185">
        <v>7.4420549999999999</v>
      </c>
      <c r="O185">
        <v>7.5334620000000001</v>
      </c>
      <c r="P185">
        <v>7.5824939999999996</v>
      </c>
      <c r="Q185">
        <v>7.5837409999999998</v>
      </c>
      <c r="R185">
        <v>7.5813899999999999</v>
      </c>
      <c r="S185">
        <v>7.5656610000000004</v>
      </c>
      <c r="T185">
        <v>7.5737249999999996</v>
      </c>
      <c r="U185">
        <v>7.5745699999999996</v>
      </c>
      <c r="V185">
        <v>7.5788080000000004</v>
      </c>
      <c r="W185">
        <v>7.5749139999999997</v>
      </c>
      <c r="X185">
        <v>7.570665</v>
      </c>
      <c r="Y185">
        <v>7.5667759999999999</v>
      </c>
      <c r="Z185">
        <v>7.5620849999999997</v>
      </c>
      <c r="AA185">
        <v>7.5601019999999997</v>
      </c>
      <c r="AB185">
        <v>7.5581149999999999</v>
      </c>
      <c r="AC185">
        <v>7.5558339999999999</v>
      </c>
      <c r="AD185">
        <v>7.5544390000000003</v>
      </c>
      <c r="AE185">
        <v>7.5529849999999996</v>
      </c>
      <c r="AF185">
        <v>7.5517859999999999</v>
      </c>
      <c r="AG185">
        <v>7.550821</v>
      </c>
      <c r="AH185">
        <v>7.549836</v>
      </c>
      <c r="AI185" s="22">
        <v>7.0000000000000001E-3</v>
      </c>
    </row>
    <row r="186" spans="1:35">
      <c r="A186" t="s">
        <v>236</v>
      </c>
      <c r="B186" t="s">
        <v>1980</v>
      </c>
      <c r="C186" t="s">
        <v>1981</v>
      </c>
      <c r="D186" t="s">
        <v>268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111</v>
      </c>
    </row>
    <row r="187" spans="1:35">
      <c r="A187" t="s">
        <v>237</v>
      </c>
      <c r="B187" t="s">
        <v>1982</v>
      </c>
      <c r="C187" t="s">
        <v>1983</v>
      </c>
      <c r="D187" t="s">
        <v>267</v>
      </c>
      <c r="F187">
        <v>10.834061999999999</v>
      </c>
      <c r="G187">
        <v>10.882737000000001</v>
      </c>
      <c r="H187">
        <v>10.965192999999999</v>
      </c>
      <c r="I187">
        <v>11.063807000000001</v>
      </c>
      <c r="J187">
        <v>11.156404</v>
      </c>
      <c r="K187">
        <v>11.255855</v>
      </c>
      <c r="L187">
        <v>11.298655999999999</v>
      </c>
      <c r="M187">
        <v>11.379512</v>
      </c>
      <c r="N187">
        <v>11.452457000000001</v>
      </c>
      <c r="O187">
        <v>11.503895999999999</v>
      </c>
      <c r="P187">
        <v>11.541494</v>
      </c>
      <c r="Q187">
        <v>11.560162999999999</v>
      </c>
      <c r="R187">
        <v>11.565863999999999</v>
      </c>
      <c r="S187">
        <v>11.567833</v>
      </c>
      <c r="T187">
        <v>11.568663000000001</v>
      </c>
      <c r="U187">
        <v>11.569290000000001</v>
      </c>
      <c r="V187">
        <v>11.570100999999999</v>
      </c>
      <c r="W187">
        <v>11.571146000000001</v>
      </c>
      <c r="X187">
        <v>11.572354000000001</v>
      </c>
      <c r="Y187">
        <v>11.573858</v>
      </c>
      <c r="Z187">
        <v>11.575640999999999</v>
      </c>
      <c r="AA187">
        <v>11.577692000000001</v>
      </c>
      <c r="AB187">
        <v>11.579997000000001</v>
      </c>
      <c r="AC187">
        <v>11.582563</v>
      </c>
      <c r="AD187">
        <v>11.585383</v>
      </c>
      <c r="AE187">
        <v>11.588468000000001</v>
      </c>
      <c r="AF187">
        <v>11.591818999999999</v>
      </c>
      <c r="AG187">
        <v>11.595432000000001</v>
      </c>
      <c r="AH187">
        <v>11.599314</v>
      </c>
      <c r="AI187" s="22">
        <v>2E-3</v>
      </c>
    </row>
    <row r="188" spans="1:35">
      <c r="A188" t="s">
        <v>238</v>
      </c>
      <c r="B188" t="s">
        <v>1984</v>
      </c>
      <c r="C188" t="s">
        <v>1985</v>
      </c>
      <c r="D188" t="s">
        <v>267</v>
      </c>
      <c r="F188">
        <v>0</v>
      </c>
      <c r="G188">
        <v>0</v>
      </c>
      <c r="H188">
        <v>1.546092</v>
      </c>
      <c r="I188">
        <v>9.1608459999999994</v>
      </c>
      <c r="J188">
        <v>9.3004219999999993</v>
      </c>
      <c r="K188">
        <v>9.4658329999999999</v>
      </c>
      <c r="L188">
        <v>9.5699210000000008</v>
      </c>
      <c r="M188">
        <v>9.7473799999999997</v>
      </c>
      <c r="N188">
        <v>9.9584469999999996</v>
      </c>
      <c r="O188">
        <v>10.186888</v>
      </c>
      <c r="P188">
        <v>10.415521</v>
      </c>
      <c r="Q188">
        <v>10.609234000000001</v>
      </c>
      <c r="R188">
        <v>10.7691</v>
      </c>
      <c r="S188">
        <v>10.802932999999999</v>
      </c>
      <c r="T188">
        <v>10.912004</v>
      </c>
      <c r="U188">
        <v>10.986414999999999</v>
      </c>
      <c r="V188">
        <v>10.983292</v>
      </c>
      <c r="W188">
        <v>10.980130000000001</v>
      </c>
      <c r="X188">
        <v>10.976409</v>
      </c>
      <c r="Y188">
        <v>10.973062000000001</v>
      </c>
      <c r="Z188">
        <v>10.970227</v>
      </c>
      <c r="AA188">
        <v>10.967943999999999</v>
      </c>
      <c r="AB188">
        <v>10.966212000000001</v>
      </c>
      <c r="AC188">
        <v>10.964848999999999</v>
      </c>
      <c r="AD188">
        <v>10.963751</v>
      </c>
      <c r="AE188">
        <v>10.962980999999999</v>
      </c>
      <c r="AF188">
        <v>10.962510999999999</v>
      </c>
      <c r="AG188">
        <v>10.962237</v>
      </c>
      <c r="AH188">
        <v>10.962166</v>
      </c>
      <c r="AI188" t="s">
        <v>111</v>
      </c>
    </row>
    <row r="189" spans="1:35">
      <c r="A189" t="s">
        <v>239</v>
      </c>
      <c r="B189" t="s">
        <v>1986</v>
      </c>
      <c r="C189" t="s">
        <v>1987</v>
      </c>
      <c r="D189" t="s">
        <v>268</v>
      </c>
      <c r="F189">
        <v>0</v>
      </c>
      <c r="G189">
        <v>0</v>
      </c>
      <c r="H189">
        <v>1.4758230000000001</v>
      </c>
      <c r="I189">
        <v>9.1335519999999999</v>
      </c>
      <c r="J189">
        <v>9.2343279999999996</v>
      </c>
      <c r="K189">
        <v>9.358587</v>
      </c>
      <c r="L189">
        <v>9.4461300000000001</v>
      </c>
      <c r="M189">
        <v>9.5957139999999992</v>
      </c>
      <c r="N189">
        <v>9.7735020000000006</v>
      </c>
      <c r="O189">
        <v>9.9693310000000004</v>
      </c>
      <c r="P189">
        <v>10.168096999999999</v>
      </c>
      <c r="Q189">
        <v>10.36797</v>
      </c>
      <c r="R189">
        <v>10.540552999999999</v>
      </c>
      <c r="S189">
        <v>10.621840000000001</v>
      </c>
      <c r="T189">
        <v>10.736190000000001</v>
      </c>
      <c r="U189">
        <v>10.815049</v>
      </c>
      <c r="V189">
        <v>10.815234</v>
      </c>
      <c r="W189">
        <v>10.812087</v>
      </c>
      <c r="X189">
        <v>10.809372</v>
      </c>
      <c r="Y189">
        <v>10.807116000000001</v>
      </c>
      <c r="Z189">
        <v>10.805244</v>
      </c>
      <c r="AA189">
        <v>10.803461</v>
      </c>
      <c r="AB189">
        <v>10.801928999999999</v>
      </c>
      <c r="AC189">
        <v>10.800634000000001</v>
      </c>
      <c r="AD189">
        <v>10.799677000000001</v>
      </c>
      <c r="AE189">
        <v>10.798836</v>
      </c>
      <c r="AF189">
        <v>10.798045</v>
      </c>
      <c r="AG189">
        <v>10.797352999999999</v>
      </c>
      <c r="AH189">
        <v>10.796787999999999</v>
      </c>
      <c r="AI189" t="s">
        <v>111</v>
      </c>
    </row>
    <row r="190" spans="1:35">
      <c r="A190" t="s">
        <v>240</v>
      </c>
      <c r="B190" t="s">
        <v>1988</v>
      </c>
      <c r="C190" t="s">
        <v>1989</v>
      </c>
      <c r="D190" t="s">
        <v>267</v>
      </c>
      <c r="F190">
        <v>0</v>
      </c>
      <c r="G190">
        <v>0</v>
      </c>
      <c r="H190">
        <v>7.1006340000000003</v>
      </c>
      <c r="I190">
        <v>7.1107120000000004</v>
      </c>
      <c r="J190">
        <v>7.1105</v>
      </c>
      <c r="K190">
        <v>7.1102169999999996</v>
      </c>
      <c r="L190">
        <v>7.1100539999999999</v>
      </c>
      <c r="M190">
        <v>7.1097359999999998</v>
      </c>
      <c r="N190">
        <v>7.1092810000000002</v>
      </c>
      <c r="O190">
        <v>7.1089209999999996</v>
      </c>
      <c r="P190">
        <v>7.1088060000000004</v>
      </c>
      <c r="Q190">
        <v>7.1087930000000004</v>
      </c>
      <c r="R190">
        <v>7.1089270000000004</v>
      </c>
      <c r="S190">
        <v>7.1091139999999999</v>
      </c>
      <c r="T190">
        <v>7.1093440000000001</v>
      </c>
      <c r="U190">
        <v>7.1095709999999999</v>
      </c>
      <c r="V190">
        <v>7.1097910000000004</v>
      </c>
      <c r="W190">
        <v>7.1100370000000002</v>
      </c>
      <c r="X190">
        <v>7.11029</v>
      </c>
      <c r="Y190">
        <v>7.1105460000000003</v>
      </c>
      <c r="Z190">
        <v>7.1107950000000004</v>
      </c>
      <c r="AA190">
        <v>7.1110420000000003</v>
      </c>
      <c r="AB190">
        <v>7.1113249999999999</v>
      </c>
      <c r="AC190">
        <v>7.1116159999999997</v>
      </c>
      <c r="AD190">
        <v>7.1118969999999999</v>
      </c>
      <c r="AE190">
        <v>7.1121860000000003</v>
      </c>
      <c r="AF190">
        <v>7.1124729999999996</v>
      </c>
      <c r="AG190">
        <v>7.1127539999999998</v>
      </c>
      <c r="AH190">
        <v>7.1130310000000003</v>
      </c>
      <c r="AI190" t="s">
        <v>111</v>
      </c>
    </row>
    <row r="191" spans="1:35">
      <c r="A191" t="s">
        <v>251</v>
      </c>
      <c r="B191" t="s">
        <v>1990</v>
      </c>
      <c r="C191" t="s">
        <v>1991</v>
      </c>
      <c r="F191">
        <v>6.6682579999999998</v>
      </c>
      <c r="G191">
        <v>6.8779690000000002</v>
      </c>
      <c r="H191">
        <v>7.0932440000000003</v>
      </c>
      <c r="I191">
        <v>7.295369</v>
      </c>
      <c r="J191">
        <v>7.4868059999999996</v>
      </c>
      <c r="K191">
        <v>7.6548530000000001</v>
      </c>
      <c r="L191">
        <v>7.7247519999999996</v>
      </c>
      <c r="M191">
        <v>7.8325329999999997</v>
      </c>
      <c r="N191">
        <v>7.9440169999999997</v>
      </c>
      <c r="O191">
        <v>8.0473739999999996</v>
      </c>
      <c r="P191">
        <v>8.1074850000000005</v>
      </c>
      <c r="Q191">
        <v>8.1106049999999996</v>
      </c>
      <c r="R191">
        <v>8.1128280000000004</v>
      </c>
      <c r="S191">
        <v>8.110811</v>
      </c>
      <c r="T191">
        <v>8.1122490000000003</v>
      </c>
      <c r="U191">
        <v>8.1112169999999999</v>
      </c>
      <c r="V191">
        <v>8.1081789999999998</v>
      </c>
      <c r="W191">
        <v>8.1064579999999999</v>
      </c>
      <c r="X191">
        <v>8.1051339999999996</v>
      </c>
      <c r="Y191">
        <v>8.1041930000000004</v>
      </c>
      <c r="Z191">
        <v>8.1013950000000001</v>
      </c>
      <c r="AA191">
        <v>8.1007890000000007</v>
      </c>
      <c r="AB191">
        <v>8.1005280000000006</v>
      </c>
      <c r="AC191">
        <v>8.1006370000000008</v>
      </c>
      <c r="AD191">
        <v>8.1010089999999995</v>
      </c>
      <c r="AE191">
        <v>8.1012559999999993</v>
      </c>
      <c r="AF191">
        <v>8.1018030000000003</v>
      </c>
      <c r="AG191">
        <v>8.1028509999999994</v>
      </c>
      <c r="AH191">
        <v>8.1022010000000009</v>
      </c>
      <c r="AI191" s="22">
        <v>7.0000000000000001E-3</v>
      </c>
    </row>
    <row r="192" spans="1:35">
      <c r="A192" t="s">
        <v>252</v>
      </c>
      <c r="B192" t="s">
        <v>1992</v>
      </c>
      <c r="C192" t="s">
        <v>1993</v>
      </c>
      <c r="F192">
        <v>7.9471449999999999</v>
      </c>
      <c r="G192">
        <v>8.2543640000000007</v>
      </c>
      <c r="H192">
        <v>8.5904810000000005</v>
      </c>
      <c r="I192">
        <v>8.8457699999999999</v>
      </c>
      <c r="J192">
        <v>9.0590299999999999</v>
      </c>
      <c r="K192">
        <v>9.2583249999999992</v>
      </c>
      <c r="L192">
        <v>9.3410189999999993</v>
      </c>
      <c r="M192">
        <v>9.4975710000000007</v>
      </c>
      <c r="N192">
        <v>9.6603539999999999</v>
      </c>
      <c r="O192">
        <v>9.8132570000000001</v>
      </c>
      <c r="P192">
        <v>9.9121790000000001</v>
      </c>
      <c r="Q192">
        <v>9.9437929999999994</v>
      </c>
      <c r="R192">
        <v>9.970364</v>
      </c>
      <c r="S192">
        <v>9.9892579999999995</v>
      </c>
      <c r="T192">
        <v>10.008831000000001</v>
      </c>
      <c r="U192">
        <v>10.024055000000001</v>
      </c>
      <c r="V192">
        <v>10.040035</v>
      </c>
      <c r="W192">
        <v>10.060394000000001</v>
      </c>
      <c r="X192">
        <v>10.085262999999999</v>
      </c>
      <c r="Y192">
        <v>10.094213999999999</v>
      </c>
      <c r="Z192">
        <v>10.119984000000001</v>
      </c>
      <c r="AA192">
        <v>10.137542</v>
      </c>
      <c r="AB192">
        <v>10.154536</v>
      </c>
      <c r="AC192">
        <v>10.186927000000001</v>
      </c>
      <c r="AD192">
        <v>10.224152</v>
      </c>
      <c r="AE192">
        <v>10.257011</v>
      </c>
      <c r="AF192">
        <v>10.285439</v>
      </c>
      <c r="AG192">
        <v>10.300746</v>
      </c>
      <c r="AH192">
        <v>10.316784</v>
      </c>
      <c r="AI192" s="22">
        <v>8.9999999999999993E-3</v>
      </c>
    </row>
    <row r="193" spans="1:35">
      <c r="A193" t="s">
        <v>255</v>
      </c>
    </row>
    <row r="194" spans="1:35">
      <c r="A194" t="s">
        <v>170</v>
      </c>
    </row>
    <row r="195" spans="1:35">
      <c r="A195" t="s">
        <v>189</v>
      </c>
      <c r="B195" t="s">
        <v>1994</v>
      </c>
      <c r="C195" t="s">
        <v>1995</v>
      </c>
      <c r="D195" t="s">
        <v>270</v>
      </c>
      <c r="F195">
        <v>136.25962799999999</v>
      </c>
      <c r="G195">
        <v>127.083748</v>
      </c>
      <c r="H195">
        <v>133.41915900000001</v>
      </c>
      <c r="I195">
        <v>141.29763800000001</v>
      </c>
      <c r="J195">
        <v>144.63111900000001</v>
      </c>
      <c r="K195">
        <v>145.40922499999999</v>
      </c>
      <c r="L195">
        <v>147.62912</v>
      </c>
      <c r="M195">
        <v>150.128998</v>
      </c>
      <c r="N195">
        <v>150.970383</v>
      </c>
      <c r="O195">
        <v>152.288467</v>
      </c>
      <c r="P195">
        <v>156.49388099999999</v>
      </c>
      <c r="Q195">
        <v>160.13542200000001</v>
      </c>
      <c r="R195">
        <v>159.71426400000001</v>
      </c>
      <c r="S195">
        <v>159.57615699999999</v>
      </c>
      <c r="T195">
        <v>160.86213699999999</v>
      </c>
      <c r="U195">
        <v>163.664276</v>
      </c>
      <c r="V195">
        <v>167.86442600000001</v>
      </c>
      <c r="W195">
        <v>172.60517899999999</v>
      </c>
      <c r="X195">
        <v>176.71751399999999</v>
      </c>
      <c r="Y195">
        <v>179.862381</v>
      </c>
      <c r="Z195">
        <v>182.68057300000001</v>
      </c>
      <c r="AA195">
        <v>184.57264699999999</v>
      </c>
      <c r="AB195">
        <v>185.50657699999999</v>
      </c>
      <c r="AC195">
        <v>187.05418399999999</v>
      </c>
      <c r="AD195">
        <v>189.480423</v>
      </c>
      <c r="AE195">
        <v>191.96052599999999</v>
      </c>
      <c r="AF195">
        <v>194.57195999999999</v>
      </c>
      <c r="AG195">
        <v>196.99954199999999</v>
      </c>
      <c r="AH195">
        <v>199.49633800000001</v>
      </c>
      <c r="AI195" s="22">
        <v>1.4E-2</v>
      </c>
    </row>
    <row r="196" spans="1:35">
      <c r="A196" t="s">
        <v>235</v>
      </c>
      <c r="B196" t="s">
        <v>1996</v>
      </c>
      <c r="C196" t="s">
        <v>1997</v>
      </c>
      <c r="D196" t="s">
        <v>270</v>
      </c>
      <c r="F196">
        <v>103.20974699999999</v>
      </c>
      <c r="G196">
        <v>95.244079999999997</v>
      </c>
      <c r="H196">
        <v>99.025429000000003</v>
      </c>
      <c r="I196">
        <v>103.943382</v>
      </c>
      <c r="J196">
        <v>105.53124200000001</v>
      </c>
      <c r="K196">
        <v>105.30883799999999</v>
      </c>
      <c r="L196">
        <v>106.18671399999999</v>
      </c>
      <c r="M196">
        <v>107.30914300000001</v>
      </c>
      <c r="N196">
        <v>107.291557</v>
      </c>
      <c r="O196">
        <v>107.659126</v>
      </c>
      <c r="P196">
        <v>110.098778</v>
      </c>
      <c r="Q196">
        <v>112.162796</v>
      </c>
      <c r="R196">
        <v>111.41445899999999</v>
      </c>
      <c r="S196">
        <v>110.904526</v>
      </c>
      <c r="T196">
        <v>111.41738100000001</v>
      </c>
      <c r="U196">
        <v>113.004105</v>
      </c>
      <c r="V196">
        <v>115.57209</v>
      </c>
      <c r="W196">
        <v>118.523758</v>
      </c>
      <c r="X196">
        <v>121.055161</v>
      </c>
      <c r="Y196">
        <v>122.93707999999999</v>
      </c>
      <c r="Z196">
        <v>124.610107</v>
      </c>
      <c r="AA196">
        <v>125.66645800000001</v>
      </c>
      <c r="AB196">
        <v>126.086716</v>
      </c>
      <c r="AC196">
        <v>126.93946099999999</v>
      </c>
      <c r="AD196">
        <v>128.40110799999999</v>
      </c>
      <c r="AE196">
        <v>129.91007999999999</v>
      </c>
      <c r="AF196">
        <v>131.51786799999999</v>
      </c>
      <c r="AG196">
        <v>133.01074199999999</v>
      </c>
      <c r="AH196">
        <v>134.55900600000001</v>
      </c>
      <c r="AI196" s="22">
        <v>0.01</v>
      </c>
    </row>
    <row r="197" spans="1:35">
      <c r="A197" t="s">
        <v>192</v>
      </c>
      <c r="B197" t="s">
        <v>1998</v>
      </c>
      <c r="C197" t="s">
        <v>1999</v>
      </c>
      <c r="D197" t="s">
        <v>270</v>
      </c>
      <c r="F197">
        <v>0</v>
      </c>
      <c r="G197">
        <v>0.24643200000000001</v>
      </c>
      <c r="H197">
        <v>0.252305</v>
      </c>
      <c r="I197">
        <v>0.25668299999999999</v>
      </c>
      <c r="J197">
        <v>0.26075300000000001</v>
      </c>
      <c r="K197">
        <v>0.26159500000000002</v>
      </c>
      <c r="L197">
        <v>0.26821200000000001</v>
      </c>
      <c r="M197">
        <v>0.27779700000000002</v>
      </c>
      <c r="N197">
        <v>0.28732200000000002</v>
      </c>
      <c r="O197">
        <v>0.29986000000000002</v>
      </c>
      <c r="P197">
        <v>0.31739499999999998</v>
      </c>
      <c r="Q197">
        <v>0.33456799999999998</v>
      </c>
      <c r="R197">
        <v>0.34320800000000001</v>
      </c>
      <c r="S197">
        <v>0.35411399999999998</v>
      </c>
      <c r="T197">
        <v>0.372087</v>
      </c>
      <c r="U197">
        <v>0.39916099999999999</v>
      </c>
      <c r="V197">
        <v>0.434471</v>
      </c>
      <c r="W197">
        <v>0.47616599999999998</v>
      </c>
      <c r="X197">
        <v>0.51893299999999998</v>
      </c>
      <c r="Y197">
        <v>0.56271400000000005</v>
      </c>
      <c r="Z197">
        <v>0.60917600000000005</v>
      </c>
      <c r="AA197">
        <v>0.659076</v>
      </c>
      <c r="AB197">
        <v>0.70908000000000004</v>
      </c>
      <c r="AC197">
        <v>0.76338300000000003</v>
      </c>
      <c r="AD197">
        <v>0.82072199999999995</v>
      </c>
      <c r="AE197">
        <v>0.87785199999999997</v>
      </c>
      <c r="AF197">
        <v>0.93330599999999997</v>
      </c>
      <c r="AG197">
        <v>0.98619400000000002</v>
      </c>
      <c r="AH197">
        <v>1.037256</v>
      </c>
      <c r="AI197" t="s">
        <v>111</v>
      </c>
    </row>
    <row r="198" spans="1:35">
      <c r="A198" t="s">
        <v>195</v>
      </c>
      <c r="B198" t="s">
        <v>2000</v>
      </c>
      <c r="C198" t="s">
        <v>2001</v>
      </c>
      <c r="D198" t="s">
        <v>270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111</v>
      </c>
    </row>
    <row r="199" spans="1:35">
      <c r="A199" t="s">
        <v>236</v>
      </c>
      <c r="B199" t="s">
        <v>2002</v>
      </c>
      <c r="C199" t="s">
        <v>2003</v>
      </c>
      <c r="D199" t="s">
        <v>270</v>
      </c>
      <c r="F199">
        <v>12.653598000000001</v>
      </c>
      <c r="G199">
        <v>11.552336</v>
      </c>
      <c r="H199">
        <v>11.600343000000001</v>
      </c>
      <c r="I199">
        <v>11.461596</v>
      </c>
      <c r="J199">
        <v>11.168632000000001</v>
      </c>
      <c r="K199">
        <v>10.981567</v>
      </c>
      <c r="L199">
        <v>10.765105999999999</v>
      </c>
      <c r="M199">
        <v>10.686363999999999</v>
      </c>
      <c r="N199">
        <v>10.625061000000001</v>
      </c>
      <c r="O199">
        <v>10.755540999999999</v>
      </c>
      <c r="P199">
        <v>11.056151</v>
      </c>
      <c r="Q199">
        <v>11.360353</v>
      </c>
      <c r="R199">
        <v>11.320587</v>
      </c>
      <c r="S199">
        <v>11.322226000000001</v>
      </c>
      <c r="T199">
        <v>11.399566999999999</v>
      </c>
      <c r="U199">
        <v>11.618492</v>
      </c>
      <c r="V199">
        <v>11.918831000000001</v>
      </c>
      <c r="W199">
        <v>12.273879000000001</v>
      </c>
      <c r="X199">
        <v>12.613292</v>
      </c>
      <c r="Y199">
        <v>12.243190999999999</v>
      </c>
      <c r="Z199">
        <v>12.456396</v>
      </c>
      <c r="AA199">
        <v>12.600669999999999</v>
      </c>
      <c r="AB199">
        <v>12.702261999999999</v>
      </c>
      <c r="AC199">
        <v>12.914300000000001</v>
      </c>
      <c r="AD199">
        <v>13.190873</v>
      </c>
      <c r="AE199">
        <v>13.456709999999999</v>
      </c>
      <c r="AF199">
        <v>13.725542000000001</v>
      </c>
      <c r="AG199">
        <v>13.975149</v>
      </c>
      <c r="AH199">
        <v>14.198510000000001</v>
      </c>
      <c r="AI199" s="22">
        <v>4.0000000000000001E-3</v>
      </c>
    </row>
    <row r="200" spans="1:35">
      <c r="A200" t="s">
        <v>237</v>
      </c>
      <c r="B200" t="s">
        <v>2004</v>
      </c>
      <c r="C200" t="s">
        <v>2005</v>
      </c>
      <c r="D200" t="s">
        <v>270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111</v>
      </c>
    </row>
    <row r="201" spans="1:35">
      <c r="A201" t="s">
        <v>238</v>
      </c>
      <c r="B201" t="s">
        <v>2006</v>
      </c>
      <c r="C201" t="s">
        <v>2007</v>
      </c>
      <c r="D201" t="s">
        <v>270</v>
      </c>
      <c r="F201">
        <v>0</v>
      </c>
      <c r="G201">
        <v>0.28171600000000002</v>
      </c>
      <c r="H201">
        <v>0.29282999999999998</v>
      </c>
      <c r="I201">
        <v>0.30618499999999998</v>
      </c>
      <c r="J201">
        <v>0.31391400000000003</v>
      </c>
      <c r="K201">
        <v>0.31940200000000002</v>
      </c>
      <c r="L201">
        <v>0.33374900000000002</v>
      </c>
      <c r="M201">
        <v>0.35278199999999998</v>
      </c>
      <c r="N201">
        <v>0.37166100000000002</v>
      </c>
      <c r="O201">
        <v>0.394899</v>
      </c>
      <c r="P201">
        <v>0.42931200000000003</v>
      </c>
      <c r="Q201">
        <v>0.465165</v>
      </c>
      <c r="R201">
        <v>0.49295899999999998</v>
      </c>
      <c r="S201">
        <v>0.52596799999999999</v>
      </c>
      <c r="T201">
        <v>0.56994900000000004</v>
      </c>
      <c r="U201">
        <v>0.62658499999999995</v>
      </c>
      <c r="V201">
        <v>0.69688099999999997</v>
      </c>
      <c r="W201">
        <v>0.77812400000000004</v>
      </c>
      <c r="X201">
        <v>0.86447499999999999</v>
      </c>
      <c r="Y201">
        <v>0.95209299999999997</v>
      </c>
      <c r="Z201">
        <v>1.0415030000000001</v>
      </c>
      <c r="AA201">
        <v>1.126533</v>
      </c>
      <c r="AB201">
        <v>1.2035450000000001</v>
      </c>
      <c r="AC201">
        <v>1.2802739999999999</v>
      </c>
      <c r="AD201">
        <v>1.3577939999999999</v>
      </c>
      <c r="AE201">
        <v>1.429962</v>
      </c>
      <c r="AF201">
        <v>1.4971000000000001</v>
      </c>
      <c r="AG201">
        <v>1.556692</v>
      </c>
      <c r="AH201">
        <v>1.61103</v>
      </c>
      <c r="AI201" t="s">
        <v>111</v>
      </c>
    </row>
    <row r="202" spans="1:35">
      <c r="A202" t="s">
        <v>239</v>
      </c>
      <c r="B202" t="s">
        <v>2008</v>
      </c>
      <c r="C202" t="s">
        <v>2009</v>
      </c>
      <c r="D202" t="s">
        <v>270</v>
      </c>
      <c r="F202">
        <v>0</v>
      </c>
      <c r="G202">
        <v>0.30658000000000002</v>
      </c>
      <c r="H202">
        <v>0.31281100000000001</v>
      </c>
      <c r="I202">
        <v>0.31875500000000001</v>
      </c>
      <c r="J202">
        <v>0.31956699999999999</v>
      </c>
      <c r="K202">
        <v>0.319911</v>
      </c>
      <c r="L202">
        <v>0.327262</v>
      </c>
      <c r="M202">
        <v>0.33962900000000001</v>
      </c>
      <c r="N202">
        <v>0.35427700000000001</v>
      </c>
      <c r="O202">
        <v>0.37685000000000002</v>
      </c>
      <c r="P202">
        <v>0.41139100000000001</v>
      </c>
      <c r="Q202">
        <v>0.45125700000000002</v>
      </c>
      <c r="R202">
        <v>0.48465000000000003</v>
      </c>
      <c r="S202">
        <v>0.52488500000000005</v>
      </c>
      <c r="T202">
        <v>0.576963</v>
      </c>
      <c r="U202">
        <v>0.64406799999999997</v>
      </c>
      <c r="V202">
        <v>0.72592199999999996</v>
      </c>
      <c r="W202">
        <v>0.82100200000000001</v>
      </c>
      <c r="X202">
        <v>0.923732</v>
      </c>
      <c r="Y202">
        <v>1.0294810000000001</v>
      </c>
      <c r="Z202">
        <v>1.1353420000000001</v>
      </c>
      <c r="AA202">
        <v>1.2357359999999999</v>
      </c>
      <c r="AB202">
        <v>1.3272170000000001</v>
      </c>
      <c r="AC202">
        <v>1.4201980000000001</v>
      </c>
      <c r="AD202">
        <v>1.512813</v>
      </c>
      <c r="AE202">
        <v>1.5973889999999999</v>
      </c>
      <c r="AF202">
        <v>1.6751879999999999</v>
      </c>
      <c r="AG202">
        <v>1.7441500000000001</v>
      </c>
      <c r="AH202">
        <v>1.80585</v>
      </c>
      <c r="AI202" t="s">
        <v>111</v>
      </c>
    </row>
    <row r="203" spans="1:35">
      <c r="A203" t="s">
        <v>240</v>
      </c>
      <c r="B203" t="s">
        <v>2010</v>
      </c>
      <c r="C203" t="s">
        <v>2011</v>
      </c>
      <c r="D203" t="s">
        <v>270</v>
      </c>
      <c r="F203">
        <v>0</v>
      </c>
      <c r="G203">
        <v>0</v>
      </c>
      <c r="H203">
        <v>9.2E-5</v>
      </c>
      <c r="I203">
        <v>9.6000000000000002E-5</v>
      </c>
      <c r="J203">
        <v>9.7999999999999997E-5</v>
      </c>
      <c r="K203">
        <v>9.7999999999999997E-5</v>
      </c>
      <c r="L203">
        <v>9.8999999999999994E-5</v>
      </c>
      <c r="M203">
        <v>1E-4</v>
      </c>
      <c r="N203">
        <v>1E-4</v>
      </c>
      <c r="O203">
        <v>9.8999999999999994E-5</v>
      </c>
      <c r="P203">
        <v>1.01E-4</v>
      </c>
      <c r="Q203">
        <v>1.02E-4</v>
      </c>
      <c r="R203">
        <v>1E-4</v>
      </c>
      <c r="S203">
        <v>9.7999999999999997E-5</v>
      </c>
      <c r="T203">
        <v>9.6000000000000002E-5</v>
      </c>
      <c r="U203">
        <v>9.5000000000000005E-5</v>
      </c>
      <c r="V203">
        <v>9.3999999999999994E-5</v>
      </c>
      <c r="W203">
        <v>9.2999999999999997E-5</v>
      </c>
      <c r="X203">
        <v>9.1000000000000003E-5</v>
      </c>
      <c r="Y203">
        <v>8.7000000000000001E-5</v>
      </c>
      <c r="Z203">
        <v>8.2999999999999998E-5</v>
      </c>
      <c r="AA203">
        <v>7.7999999999999999E-5</v>
      </c>
      <c r="AB203">
        <v>7.2000000000000002E-5</v>
      </c>
      <c r="AC203">
        <v>6.6000000000000005E-5</v>
      </c>
      <c r="AD203">
        <v>6.0000000000000002E-5</v>
      </c>
      <c r="AE203">
        <v>5.3999999999999998E-5</v>
      </c>
      <c r="AF203">
        <v>4.8000000000000001E-5</v>
      </c>
      <c r="AG203">
        <v>4.1999999999999998E-5</v>
      </c>
      <c r="AH203">
        <v>3.6999999999999998E-5</v>
      </c>
      <c r="AI203" t="s">
        <v>111</v>
      </c>
    </row>
    <row r="204" spans="1:35">
      <c r="A204" t="s">
        <v>241</v>
      </c>
      <c r="B204" t="s">
        <v>2012</v>
      </c>
      <c r="C204" t="s">
        <v>2013</v>
      </c>
      <c r="D204" t="s">
        <v>270</v>
      </c>
      <c r="F204">
        <v>252.12297100000001</v>
      </c>
      <c r="G204">
        <v>234.71489</v>
      </c>
      <c r="H204">
        <v>244.90295399999999</v>
      </c>
      <c r="I204">
        <v>257.58431999999999</v>
      </c>
      <c r="J204">
        <v>262.22531099999998</v>
      </c>
      <c r="K204">
        <v>262.600616</v>
      </c>
      <c r="L204">
        <v>265.51028400000001</v>
      </c>
      <c r="M204">
        <v>269.09481799999998</v>
      </c>
      <c r="N204">
        <v>269.90033</v>
      </c>
      <c r="O204">
        <v>271.774811</v>
      </c>
      <c r="P204">
        <v>278.807007</v>
      </c>
      <c r="Q204">
        <v>284.90963699999998</v>
      </c>
      <c r="R204">
        <v>283.77023300000002</v>
      </c>
      <c r="S204">
        <v>283.20797700000003</v>
      </c>
      <c r="T204">
        <v>285.19818099999998</v>
      </c>
      <c r="U204">
        <v>289.956726</v>
      </c>
      <c r="V204">
        <v>297.212738</v>
      </c>
      <c r="W204">
        <v>305.47820999999999</v>
      </c>
      <c r="X204">
        <v>312.69317599999999</v>
      </c>
      <c r="Y204">
        <v>317.58703600000001</v>
      </c>
      <c r="Z204">
        <v>322.53320300000001</v>
      </c>
      <c r="AA204">
        <v>325.861176</v>
      </c>
      <c r="AB204">
        <v>327.535461</v>
      </c>
      <c r="AC204">
        <v>330.37185699999998</v>
      </c>
      <c r="AD204">
        <v>334.76379400000002</v>
      </c>
      <c r="AE204">
        <v>339.232574</v>
      </c>
      <c r="AF204">
        <v>343.92105099999998</v>
      </c>
      <c r="AG204">
        <v>348.27246100000002</v>
      </c>
      <c r="AH204">
        <v>352.70803799999999</v>
      </c>
      <c r="AI204" s="22">
        <v>1.2E-2</v>
      </c>
    </row>
    <row r="205" spans="1:35">
      <c r="A205" t="s">
        <v>171</v>
      </c>
    </row>
    <row r="206" spans="1:35">
      <c r="A206" t="s">
        <v>189</v>
      </c>
      <c r="B206" t="s">
        <v>2014</v>
      </c>
      <c r="C206" t="s">
        <v>2015</v>
      </c>
      <c r="D206" t="s">
        <v>270</v>
      </c>
      <c r="F206">
        <v>103.404678</v>
      </c>
      <c r="G206">
        <v>93.851044000000002</v>
      </c>
      <c r="H206">
        <v>93.127953000000005</v>
      </c>
      <c r="I206">
        <v>101.221191</v>
      </c>
      <c r="J206">
        <v>108.826035</v>
      </c>
      <c r="K206">
        <v>113.528122</v>
      </c>
      <c r="L206">
        <v>117.037094</v>
      </c>
      <c r="M206">
        <v>118.277817</v>
      </c>
      <c r="N206">
        <v>117.091599</v>
      </c>
      <c r="O206">
        <v>116.187546</v>
      </c>
      <c r="P206">
        <v>117.516312</v>
      </c>
      <c r="Q206">
        <v>118.468452</v>
      </c>
      <c r="R206">
        <v>116.97597500000001</v>
      </c>
      <c r="S206">
        <v>116.15428199999999</v>
      </c>
      <c r="T206">
        <v>116.670227</v>
      </c>
      <c r="U206">
        <v>118.497925</v>
      </c>
      <c r="V206">
        <v>121.05987500000001</v>
      </c>
      <c r="W206">
        <v>123.670135</v>
      </c>
      <c r="X206">
        <v>125.33073400000001</v>
      </c>
      <c r="Y206">
        <v>125.99852799999999</v>
      </c>
      <c r="Z206">
        <v>126.588371</v>
      </c>
      <c r="AA206">
        <v>127.794685</v>
      </c>
      <c r="AB206">
        <v>128.51411400000001</v>
      </c>
      <c r="AC206">
        <v>127.958015</v>
      </c>
      <c r="AD206">
        <v>127.589088</v>
      </c>
      <c r="AE206">
        <v>127.828537</v>
      </c>
      <c r="AF206">
        <v>128.70858799999999</v>
      </c>
      <c r="AG206">
        <v>130.93695099999999</v>
      </c>
      <c r="AH206">
        <v>132.92228700000001</v>
      </c>
      <c r="AI206" s="22">
        <v>8.9999999999999993E-3</v>
      </c>
    </row>
    <row r="207" spans="1:35">
      <c r="A207" t="s">
        <v>235</v>
      </c>
      <c r="B207" t="s">
        <v>2016</v>
      </c>
      <c r="C207" t="s">
        <v>2017</v>
      </c>
      <c r="D207" t="s">
        <v>270</v>
      </c>
      <c r="F207">
        <v>65.718322999999998</v>
      </c>
      <c r="G207">
        <v>59.346218</v>
      </c>
      <c r="H207">
        <v>58.616394</v>
      </c>
      <c r="I207">
        <v>63.438938</v>
      </c>
      <c r="J207">
        <v>67.937827999999996</v>
      </c>
      <c r="K207">
        <v>70.617630000000005</v>
      </c>
      <c r="L207">
        <v>72.558753999999993</v>
      </c>
      <c r="M207">
        <v>73.104111000000003</v>
      </c>
      <c r="N207">
        <v>72.167632999999995</v>
      </c>
      <c r="O207">
        <v>71.425362000000007</v>
      </c>
      <c r="P207">
        <v>72.070419000000001</v>
      </c>
      <c r="Q207">
        <v>72.495384000000001</v>
      </c>
      <c r="R207">
        <v>71.437973</v>
      </c>
      <c r="S207">
        <v>70.804771000000002</v>
      </c>
      <c r="T207">
        <v>70.998146000000006</v>
      </c>
      <c r="U207">
        <v>71.997405999999998</v>
      </c>
      <c r="V207">
        <v>73.448020999999997</v>
      </c>
      <c r="W207">
        <v>74.932304000000002</v>
      </c>
      <c r="X207">
        <v>75.845984999999999</v>
      </c>
      <c r="Y207">
        <v>76.164756999999994</v>
      </c>
      <c r="Z207">
        <v>76.442573999999993</v>
      </c>
      <c r="AA207">
        <v>77.097999999999999</v>
      </c>
      <c r="AB207">
        <v>77.464584000000002</v>
      </c>
      <c r="AC207">
        <v>77.067642000000006</v>
      </c>
      <c r="AD207">
        <v>76.788810999999995</v>
      </c>
      <c r="AE207">
        <v>76.880707000000001</v>
      </c>
      <c r="AF207">
        <v>77.361571999999995</v>
      </c>
      <c r="AG207">
        <v>78.655547999999996</v>
      </c>
      <c r="AH207">
        <v>79.805649000000003</v>
      </c>
      <c r="AI207" s="22">
        <v>7.0000000000000001E-3</v>
      </c>
    </row>
    <row r="208" spans="1:35">
      <c r="A208" t="s">
        <v>192</v>
      </c>
      <c r="B208" t="s">
        <v>2018</v>
      </c>
      <c r="C208" t="s">
        <v>2019</v>
      </c>
      <c r="D208" t="s">
        <v>270</v>
      </c>
      <c r="F208">
        <v>0.18179799999999999</v>
      </c>
      <c r="G208">
        <v>0.16347100000000001</v>
      </c>
      <c r="H208">
        <v>0.16278300000000001</v>
      </c>
      <c r="I208">
        <v>0.174286</v>
      </c>
      <c r="J208">
        <v>0.189836</v>
      </c>
      <c r="K208">
        <v>0.20184299999999999</v>
      </c>
      <c r="L208">
        <v>0.213171</v>
      </c>
      <c r="M208">
        <v>0.22183700000000001</v>
      </c>
      <c r="N208">
        <v>0.228135</v>
      </c>
      <c r="O208">
        <v>0.237845</v>
      </c>
      <c r="P208">
        <v>0.25361699999999998</v>
      </c>
      <c r="Q208">
        <v>0.27221000000000001</v>
      </c>
      <c r="R208">
        <v>0.28478100000000001</v>
      </c>
      <c r="S208">
        <v>0.29964800000000003</v>
      </c>
      <c r="T208">
        <v>0.32134000000000001</v>
      </c>
      <c r="U208">
        <v>0.35065000000000002</v>
      </c>
      <c r="V208">
        <v>0.38563799999999998</v>
      </c>
      <c r="W208">
        <v>0.42357</v>
      </c>
      <c r="X208">
        <v>0.45776099999999997</v>
      </c>
      <c r="Y208">
        <v>0.48791299999999999</v>
      </c>
      <c r="Z208">
        <v>0.516787</v>
      </c>
      <c r="AA208">
        <v>0.54991900000000005</v>
      </c>
      <c r="AB208">
        <v>0.58043400000000001</v>
      </c>
      <c r="AC208">
        <v>0.60335499999999997</v>
      </c>
      <c r="AD208">
        <v>0.62334299999999998</v>
      </c>
      <c r="AE208">
        <v>0.64342900000000003</v>
      </c>
      <c r="AF208">
        <v>0.66342000000000001</v>
      </c>
      <c r="AG208">
        <v>0.68860600000000005</v>
      </c>
      <c r="AH208">
        <v>0.71112500000000001</v>
      </c>
      <c r="AI208" s="22">
        <v>0.05</v>
      </c>
    </row>
    <row r="209" spans="1:35">
      <c r="A209" t="s">
        <v>195</v>
      </c>
      <c r="B209" t="s">
        <v>2020</v>
      </c>
      <c r="C209" t="s">
        <v>2021</v>
      </c>
      <c r="D209" t="s">
        <v>270</v>
      </c>
      <c r="F209">
        <v>8.4726999999999997E-2</v>
      </c>
      <c r="G209">
        <v>6.7200999999999997E-2</v>
      </c>
      <c r="H209">
        <v>5.8499000000000002E-2</v>
      </c>
      <c r="I209">
        <v>5.5223000000000001E-2</v>
      </c>
      <c r="J209">
        <v>5.1539000000000001E-2</v>
      </c>
      <c r="K209">
        <v>4.6612000000000001E-2</v>
      </c>
      <c r="L209">
        <v>4.1568000000000001E-2</v>
      </c>
      <c r="M209">
        <v>3.6276999999999997E-2</v>
      </c>
      <c r="N209">
        <v>3.0949999999999998E-2</v>
      </c>
      <c r="O209">
        <v>2.6404E-2</v>
      </c>
      <c r="P209">
        <v>2.2890000000000001E-2</v>
      </c>
      <c r="Q209">
        <v>1.9713999999999999E-2</v>
      </c>
      <c r="R209">
        <v>1.6565E-2</v>
      </c>
      <c r="S209">
        <v>1.3952000000000001E-2</v>
      </c>
      <c r="T209">
        <v>1.1849E-2</v>
      </c>
      <c r="U209">
        <v>1.0146000000000001E-2</v>
      </c>
      <c r="V209">
        <v>8.7139999999999995E-3</v>
      </c>
      <c r="W209">
        <v>7.4660000000000004E-3</v>
      </c>
      <c r="X209">
        <v>6.3299999999999997E-3</v>
      </c>
      <c r="Y209">
        <v>5.3119999999999999E-3</v>
      </c>
      <c r="Z209">
        <v>4.444E-3</v>
      </c>
      <c r="AA209">
        <v>3.7299999999999998E-3</v>
      </c>
      <c r="AB209">
        <v>3.114E-3</v>
      </c>
      <c r="AC209">
        <v>2.5709999999999999E-3</v>
      </c>
      <c r="AD209">
        <v>2.1220000000000002E-3</v>
      </c>
      <c r="AE209">
        <v>1.758E-3</v>
      </c>
      <c r="AF209">
        <v>1.462E-3</v>
      </c>
      <c r="AG209">
        <v>1.227E-3</v>
      </c>
      <c r="AH209">
        <v>1.0280000000000001E-3</v>
      </c>
      <c r="AI209" s="22">
        <v>-0.14599999999999999</v>
      </c>
    </row>
    <row r="210" spans="1:35">
      <c r="A210" t="s">
        <v>236</v>
      </c>
      <c r="B210" t="s">
        <v>2022</v>
      </c>
      <c r="C210" t="s">
        <v>2023</v>
      </c>
      <c r="D210" t="s">
        <v>270</v>
      </c>
      <c r="F210">
        <v>3.2730670000000002</v>
      </c>
      <c r="G210">
        <v>3.322184</v>
      </c>
      <c r="H210">
        <v>3.5807000000000002</v>
      </c>
      <c r="I210">
        <v>4.0857429999999999</v>
      </c>
      <c r="J210">
        <v>4.6985200000000003</v>
      </c>
      <c r="K210">
        <v>5.3569370000000003</v>
      </c>
      <c r="L210">
        <v>5.8913250000000001</v>
      </c>
      <c r="M210">
        <v>6.3785939999999997</v>
      </c>
      <c r="N210">
        <v>6.8041530000000003</v>
      </c>
      <c r="O210">
        <v>7.3675160000000002</v>
      </c>
      <c r="P210">
        <v>8.1123370000000001</v>
      </c>
      <c r="Q210">
        <v>8.926221</v>
      </c>
      <c r="R210">
        <v>9.4645550000000007</v>
      </c>
      <c r="S210">
        <v>10.002560000000001</v>
      </c>
      <c r="T210">
        <v>10.573024</v>
      </c>
      <c r="U210">
        <v>11.235374999999999</v>
      </c>
      <c r="V210">
        <v>11.893890000000001</v>
      </c>
      <c r="W210">
        <v>12.544364</v>
      </c>
      <c r="X210">
        <v>13.095907</v>
      </c>
      <c r="Y210">
        <v>13.520489</v>
      </c>
      <c r="Z210">
        <v>13.811425</v>
      </c>
      <c r="AA210">
        <v>14.108290999999999</v>
      </c>
      <c r="AB210">
        <v>14.325763</v>
      </c>
      <c r="AC210">
        <v>14.435430999999999</v>
      </c>
      <c r="AD210">
        <v>14.519729</v>
      </c>
      <c r="AE210">
        <v>14.613554000000001</v>
      </c>
      <c r="AF210">
        <v>14.750197999999999</v>
      </c>
      <c r="AG210">
        <v>15.035280999999999</v>
      </c>
      <c r="AH210">
        <v>15.262869</v>
      </c>
      <c r="AI210" s="22">
        <v>5.7000000000000002E-2</v>
      </c>
    </row>
    <row r="211" spans="1:35">
      <c r="A211" t="s">
        <v>237</v>
      </c>
      <c r="B211" t="s">
        <v>2024</v>
      </c>
      <c r="C211" t="s">
        <v>2025</v>
      </c>
      <c r="D211" t="s">
        <v>270</v>
      </c>
      <c r="F211">
        <v>6.2216E-2</v>
      </c>
      <c r="G211">
        <v>4.9613999999999998E-2</v>
      </c>
      <c r="H211">
        <v>4.317E-2</v>
      </c>
      <c r="I211">
        <v>4.0901E-2</v>
      </c>
      <c r="J211">
        <v>3.8318999999999999E-2</v>
      </c>
      <c r="K211">
        <v>3.4785999999999997E-2</v>
      </c>
      <c r="L211">
        <v>3.1146E-2</v>
      </c>
      <c r="M211">
        <v>2.7297999999999999E-2</v>
      </c>
      <c r="N211">
        <v>2.3394999999999999E-2</v>
      </c>
      <c r="O211">
        <v>2.0049999999999998E-2</v>
      </c>
      <c r="P211">
        <v>1.7461000000000001E-2</v>
      </c>
      <c r="Q211">
        <v>1.5108E-2</v>
      </c>
      <c r="R211">
        <v>1.2755000000000001E-2</v>
      </c>
      <c r="S211">
        <v>1.0794E-2</v>
      </c>
      <c r="T211">
        <v>9.2110000000000004E-3</v>
      </c>
      <c r="U211">
        <v>7.9249999999999998E-3</v>
      </c>
      <c r="V211">
        <v>6.8380000000000003E-3</v>
      </c>
      <c r="W211">
        <v>5.8849999999999996E-3</v>
      </c>
      <c r="X211">
        <v>5.0130000000000001E-3</v>
      </c>
      <c r="Y211">
        <v>4.2259999999999997E-3</v>
      </c>
      <c r="Z211">
        <v>3.552E-3</v>
      </c>
      <c r="AA211">
        <v>2.9949999999999998E-3</v>
      </c>
      <c r="AB211">
        <v>2.5119999999999999E-3</v>
      </c>
      <c r="AC211">
        <v>2.0839999999999999E-3</v>
      </c>
      <c r="AD211">
        <v>1.7279999999999999E-3</v>
      </c>
      <c r="AE211">
        <v>1.438E-3</v>
      </c>
      <c r="AF211">
        <v>1.2019999999999999E-3</v>
      </c>
      <c r="AG211">
        <v>1.0139999999999999E-3</v>
      </c>
      <c r="AH211">
        <v>8.5300000000000003E-4</v>
      </c>
      <c r="AI211" s="22">
        <v>-0.14199999999999999</v>
      </c>
    </row>
    <row r="212" spans="1:35">
      <c r="A212" t="s">
        <v>238</v>
      </c>
      <c r="B212" t="s">
        <v>2026</v>
      </c>
      <c r="C212" t="s">
        <v>2027</v>
      </c>
      <c r="D212" t="s">
        <v>270</v>
      </c>
      <c r="F212">
        <v>0</v>
      </c>
      <c r="G212">
        <v>0</v>
      </c>
      <c r="H212">
        <v>0.186029</v>
      </c>
      <c r="I212">
        <v>0.20210900000000001</v>
      </c>
      <c r="J212">
        <v>0.21531700000000001</v>
      </c>
      <c r="K212">
        <v>0.22434699999999999</v>
      </c>
      <c r="L212">
        <v>0.23363300000000001</v>
      </c>
      <c r="M212">
        <v>0.23822599999999999</v>
      </c>
      <c r="N212">
        <v>0.23896600000000001</v>
      </c>
      <c r="O212">
        <v>0.241788</v>
      </c>
      <c r="P212">
        <v>0.25212600000000002</v>
      </c>
      <c r="Q212">
        <v>0.26472200000000001</v>
      </c>
      <c r="R212">
        <v>0.27237600000000001</v>
      </c>
      <c r="S212">
        <v>0.281142</v>
      </c>
      <c r="T212">
        <v>0.29588999999999999</v>
      </c>
      <c r="U212">
        <v>0.315577</v>
      </c>
      <c r="V212">
        <v>0.33903899999999998</v>
      </c>
      <c r="W212">
        <v>0.36582399999999998</v>
      </c>
      <c r="X212">
        <v>0.39288899999999999</v>
      </c>
      <c r="Y212">
        <v>0.41955199999999998</v>
      </c>
      <c r="Z212">
        <v>0.44816699999999998</v>
      </c>
      <c r="AA212">
        <v>0.48085</v>
      </c>
      <c r="AB212">
        <v>0.51291900000000001</v>
      </c>
      <c r="AC212">
        <v>0.53992600000000002</v>
      </c>
      <c r="AD212">
        <v>0.56671400000000005</v>
      </c>
      <c r="AE212">
        <v>0.59474800000000005</v>
      </c>
      <c r="AF212">
        <v>0.62408300000000005</v>
      </c>
      <c r="AG212">
        <v>0.65509099999999998</v>
      </c>
      <c r="AH212">
        <v>0.68619200000000002</v>
      </c>
      <c r="AI212" t="s">
        <v>111</v>
      </c>
    </row>
    <row r="213" spans="1:35">
      <c r="A213" t="s">
        <v>239</v>
      </c>
      <c r="B213" t="s">
        <v>2028</v>
      </c>
      <c r="C213" t="s">
        <v>2029</v>
      </c>
      <c r="D213" t="s">
        <v>270</v>
      </c>
      <c r="F213">
        <v>0</v>
      </c>
      <c r="G213">
        <v>0</v>
      </c>
      <c r="H213">
        <v>0.18621099999999999</v>
      </c>
      <c r="I213">
        <v>0.195795</v>
      </c>
      <c r="J213">
        <v>0.20369699999999999</v>
      </c>
      <c r="K213">
        <v>0.209484</v>
      </c>
      <c r="L213">
        <v>0.21459</v>
      </c>
      <c r="M213">
        <v>0.21629100000000001</v>
      </c>
      <c r="N213">
        <v>0.217471</v>
      </c>
      <c r="O213">
        <v>0.223722</v>
      </c>
      <c r="P213">
        <v>0.23843</v>
      </c>
      <c r="Q213">
        <v>0.25765100000000002</v>
      </c>
      <c r="R213">
        <v>0.27265299999999998</v>
      </c>
      <c r="S213">
        <v>0.288495</v>
      </c>
      <c r="T213">
        <v>0.31278600000000001</v>
      </c>
      <c r="U213">
        <v>0.34418399999999999</v>
      </c>
      <c r="V213">
        <v>0.38087900000000002</v>
      </c>
      <c r="W213">
        <v>0.42353299999999999</v>
      </c>
      <c r="X213">
        <v>0.46896199999999999</v>
      </c>
      <c r="Y213">
        <v>0.51583699999999999</v>
      </c>
      <c r="Z213">
        <v>0.56491999999999998</v>
      </c>
      <c r="AA213">
        <v>0.61953899999999995</v>
      </c>
      <c r="AB213">
        <v>0.67395400000000005</v>
      </c>
      <c r="AC213">
        <v>0.72306800000000004</v>
      </c>
      <c r="AD213">
        <v>0.77104200000000001</v>
      </c>
      <c r="AE213">
        <v>0.81916699999999998</v>
      </c>
      <c r="AF213">
        <v>0.86801700000000004</v>
      </c>
      <c r="AG213">
        <v>0.92293199999999997</v>
      </c>
      <c r="AH213">
        <v>0.97226900000000005</v>
      </c>
      <c r="AI213" t="s">
        <v>111</v>
      </c>
    </row>
    <row r="214" spans="1:35">
      <c r="A214" t="s">
        <v>240</v>
      </c>
      <c r="B214" t="s">
        <v>2030</v>
      </c>
      <c r="C214" t="s">
        <v>2031</v>
      </c>
      <c r="D214" t="s">
        <v>270</v>
      </c>
      <c r="F214">
        <v>0</v>
      </c>
      <c r="G214">
        <v>0</v>
      </c>
      <c r="H214">
        <v>0.311087</v>
      </c>
      <c r="I214">
        <v>0.33967399999999998</v>
      </c>
      <c r="J214">
        <v>0.36747600000000002</v>
      </c>
      <c r="K214">
        <v>0.38651099999999999</v>
      </c>
      <c r="L214">
        <v>0.40268799999999999</v>
      </c>
      <c r="M214">
        <v>0.41243400000000002</v>
      </c>
      <c r="N214">
        <v>0.41516599999999998</v>
      </c>
      <c r="O214">
        <v>0.420512</v>
      </c>
      <c r="P214">
        <v>0.436081</v>
      </c>
      <c r="Q214">
        <v>0.45299800000000001</v>
      </c>
      <c r="R214">
        <v>0.46345399999999998</v>
      </c>
      <c r="S214">
        <v>0.47964099999999998</v>
      </c>
      <c r="T214">
        <v>0.50517800000000002</v>
      </c>
      <c r="U214">
        <v>0.54123500000000002</v>
      </c>
      <c r="V214">
        <v>0.58649099999999998</v>
      </c>
      <c r="W214">
        <v>0.63849699999999998</v>
      </c>
      <c r="X214">
        <v>0.69203199999999998</v>
      </c>
      <c r="Y214">
        <v>0.74562499999999998</v>
      </c>
      <c r="Z214">
        <v>0.80322899999999997</v>
      </c>
      <c r="AA214">
        <v>0.86841699999999999</v>
      </c>
      <c r="AB214">
        <v>0.93269400000000002</v>
      </c>
      <c r="AC214">
        <v>0.98777300000000001</v>
      </c>
      <c r="AD214">
        <v>1.042319</v>
      </c>
      <c r="AE214">
        <v>1.0988450000000001</v>
      </c>
      <c r="AF214">
        <v>1.1572979999999999</v>
      </c>
      <c r="AG214">
        <v>1.224207</v>
      </c>
      <c r="AH214">
        <v>1.2849740000000001</v>
      </c>
      <c r="AI214" t="s">
        <v>111</v>
      </c>
    </row>
    <row r="215" spans="1:35">
      <c r="A215" t="s">
        <v>242</v>
      </c>
      <c r="B215" t="s">
        <v>2032</v>
      </c>
      <c r="C215" t="s">
        <v>2033</v>
      </c>
      <c r="D215" t="s">
        <v>270</v>
      </c>
      <c r="F215">
        <v>172.72479200000001</v>
      </c>
      <c r="G215">
        <v>156.799713</v>
      </c>
      <c r="H215">
        <v>156.272797</v>
      </c>
      <c r="I215">
        <v>169.75384500000001</v>
      </c>
      <c r="J215">
        <v>182.52856399999999</v>
      </c>
      <c r="K215">
        <v>190.606247</v>
      </c>
      <c r="L215">
        <v>196.62394699999999</v>
      </c>
      <c r="M215">
        <v>198.91287199999999</v>
      </c>
      <c r="N215">
        <v>197.217468</v>
      </c>
      <c r="O215">
        <v>196.15072599999999</v>
      </c>
      <c r="P215">
        <v>198.919678</v>
      </c>
      <c r="Q215">
        <v>201.17245500000001</v>
      </c>
      <c r="R215">
        <v>199.201111</v>
      </c>
      <c r="S215">
        <v>198.33532700000001</v>
      </c>
      <c r="T215">
        <v>199.69764699999999</v>
      </c>
      <c r="U215">
        <v>203.3004</v>
      </c>
      <c r="V215">
        <v>208.109375</v>
      </c>
      <c r="W215">
        <v>213.01158100000001</v>
      </c>
      <c r="X215">
        <v>216.295593</v>
      </c>
      <c r="Y215">
        <v>217.86222799999999</v>
      </c>
      <c r="Z215">
        <v>219.18348700000001</v>
      </c>
      <c r="AA215">
        <v>221.52641299999999</v>
      </c>
      <c r="AB215">
        <v>223.01007100000001</v>
      </c>
      <c r="AC215">
        <v>222.31985499999999</v>
      </c>
      <c r="AD215">
        <v>221.90490700000001</v>
      </c>
      <c r="AE215">
        <v>222.48220800000001</v>
      </c>
      <c r="AF215">
        <v>224.13584900000001</v>
      </c>
      <c r="AG215">
        <v>228.12084999999999</v>
      </c>
      <c r="AH215">
        <v>231.647232</v>
      </c>
      <c r="AI215" s="22">
        <v>1.0999999999999999E-2</v>
      </c>
    </row>
    <row r="216" spans="1:35">
      <c r="A216" t="s">
        <v>243</v>
      </c>
    </row>
    <row r="217" spans="1:35">
      <c r="A217" t="s">
        <v>189</v>
      </c>
      <c r="B217" t="s">
        <v>2034</v>
      </c>
      <c r="C217" t="s">
        <v>2035</v>
      </c>
      <c r="D217" t="s">
        <v>270</v>
      </c>
      <c r="F217">
        <v>261.21398900000003</v>
      </c>
      <c r="G217">
        <v>232.95715300000001</v>
      </c>
      <c r="H217">
        <v>227.335297</v>
      </c>
      <c r="I217">
        <v>242.68454</v>
      </c>
      <c r="J217">
        <v>256.58145100000002</v>
      </c>
      <c r="K217">
        <v>263.566101</v>
      </c>
      <c r="L217">
        <v>267.61416600000001</v>
      </c>
      <c r="M217">
        <v>266.540527</v>
      </c>
      <c r="N217">
        <v>260.20056199999999</v>
      </c>
      <c r="O217">
        <v>254.780823</v>
      </c>
      <c r="P217">
        <v>254.38827499999999</v>
      </c>
      <c r="Q217">
        <v>253.287857</v>
      </c>
      <c r="R217">
        <v>246.95425399999999</v>
      </c>
      <c r="S217">
        <v>242.15368699999999</v>
      </c>
      <c r="T217">
        <v>240.175568</v>
      </c>
      <c r="U217">
        <v>240.903412</v>
      </c>
      <c r="V217">
        <v>243.00683599999999</v>
      </c>
      <c r="W217">
        <v>245.15043600000001</v>
      </c>
      <c r="X217">
        <v>245.39141799999999</v>
      </c>
      <c r="Y217">
        <v>243.68821700000001</v>
      </c>
      <c r="Z217">
        <v>241.747131</v>
      </c>
      <c r="AA217">
        <v>240.94059799999999</v>
      </c>
      <c r="AB217">
        <v>239.21463</v>
      </c>
      <c r="AC217">
        <v>235.22081</v>
      </c>
      <c r="AD217">
        <v>231.60012800000001</v>
      </c>
      <c r="AE217">
        <v>229.08311499999999</v>
      </c>
      <c r="AF217">
        <v>227.70941199999999</v>
      </c>
      <c r="AG217">
        <v>228.69503800000001</v>
      </c>
      <c r="AH217">
        <v>229.18687399999999</v>
      </c>
      <c r="AI217" s="22">
        <v>-5.0000000000000001E-3</v>
      </c>
    </row>
    <row r="218" spans="1:35">
      <c r="A218" t="s">
        <v>235</v>
      </c>
      <c r="B218" t="s">
        <v>2036</v>
      </c>
      <c r="C218" t="s">
        <v>2037</v>
      </c>
      <c r="D218" t="s">
        <v>270</v>
      </c>
      <c r="F218">
        <v>1.4041360000000001</v>
      </c>
      <c r="G218">
        <v>1.239317</v>
      </c>
      <c r="H218">
        <v>1.198804</v>
      </c>
      <c r="I218">
        <v>1.2702040000000001</v>
      </c>
      <c r="J218">
        <v>1.3344450000000001</v>
      </c>
      <c r="K218">
        <v>1.3634280000000001</v>
      </c>
      <c r="L218">
        <v>1.378085</v>
      </c>
      <c r="M218">
        <v>1.3672960000000001</v>
      </c>
      <c r="N218">
        <v>1.330446</v>
      </c>
      <c r="O218">
        <v>1.2991729999999999</v>
      </c>
      <c r="P218">
        <v>1.2941689999999999</v>
      </c>
      <c r="Q218">
        <v>1.286052</v>
      </c>
      <c r="R218">
        <v>1.251833</v>
      </c>
      <c r="S218">
        <v>1.225797</v>
      </c>
      <c r="T218">
        <v>1.2143649999999999</v>
      </c>
      <c r="U218">
        <v>1.216836</v>
      </c>
      <c r="V218">
        <v>1.2264470000000001</v>
      </c>
      <c r="W218">
        <v>1.2363919999999999</v>
      </c>
      <c r="X218">
        <v>1.2368710000000001</v>
      </c>
      <c r="Y218">
        <v>1.227681</v>
      </c>
      <c r="Z218">
        <v>1.217392</v>
      </c>
      <c r="AA218">
        <v>1.2129000000000001</v>
      </c>
      <c r="AB218">
        <v>1.2038530000000001</v>
      </c>
      <c r="AC218">
        <v>1.1834560000000001</v>
      </c>
      <c r="AD218">
        <v>1.165</v>
      </c>
      <c r="AE218">
        <v>1.152134</v>
      </c>
      <c r="AF218">
        <v>1.145054</v>
      </c>
      <c r="AG218">
        <v>1.1498600000000001</v>
      </c>
      <c r="AH218">
        <v>1.152204</v>
      </c>
      <c r="AI218" s="22">
        <v>-7.0000000000000001E-3</v>
      </c>
    </row>
    <row r="219" spans="1:35">
      <c r="A219" t="s">
        <v>192</v>
      </c>
      <c r="B219" t="s">
        <v>2038</v>
      </c>
      <c r="C219" t="s">
        <v>2039</v>
      </c>
      <c r="D219" t="s">
        <v>270</v>
      </c>
      <c r="F219">
        <v>0.16544500000000001</v>
      </c>
      <c r="G219">
        <v>0.14466699999999999</v>
      </c>
      <c r="H219">
        <v>0.14008399999999999</v>
      </c>
      <c r="I219">
        <v>0.14647199999999999</v>
      </c>
      <c r="J219">
        <v>0.153947</v>
      </c>
      <c r="K219">
        <v>0.15726399999999999</v>
      </c>
      <c r="L219">
        <v>0.15859699999999999</v>
      </c>
      <c r="M219">
        <v>0.15712599999999999</v>
      </c>
      <c r="N219">
        <v>0.15252099999999999</v>
      </c>
      <c r="O219">
        <v>0.14894399999999999</v>
      </c>
      <c r="P219">
        <v>0.14788200000000001</v>
      </c>
      <c r="Q219">
        <v>0.14672299999999999</v>
      </c>
      <c r="R219">
        <v>0.14156099999999999</v>
      </c>
      <c r="S219">
        <v>0.137429</v>
      </c>
      <c r="T219">
        <v>0.13535900000000001</v>
      </c>
      <c r="U219">
        <v>0.13547100000000001</v>
      </c>
      <c r="V219">
        <v>0.13658999999999999</v>
      </c>
      <c r="W219">
        <v>0.13772000000000001</v>
      </c>
      <c r="X219">
        <v>0.13731199999999999</v>
      </c>
      <c r="Y219">
        <v>0.135745</v>
      </c>
      <c r="Z219">
        <v>0.13406499999999999</v>
      </c>
      <c r="AA219">
        <v>0.13355900000000001</v>
      </c>
      <c r="AB219">
        <v>0.132719</v>
      </c>
      <c r="AC219">
        <v>0.13070300000000001</v>
      </c>
      <c r="AD219">
        <v>0.12873799999999999</v>
      </c>
      <c r="AE219">
        <v>0.127358</v>
      </c>
      <c r="AF219">
        <v>0.12651599999999999</v>
      </c>
      <c r="AG219">
        <v>0.12703200000000001</v>
      </c>
      <c r="AH219">
        <v>0.127271</v>
      </c>
      <c r="AI219" s="22">
        <v>-8.9999999999999993E-3</v>
      </c>
    </row>
    <row r="220" spans="1:35">
      <c r="A220" t="s">
        <v>195</v>
      </c>
      <c r="B220" t="s">
        <v>2040</v>
      </c>
      <c r="C220" t="s">
        <v>2041</v>
      </c>
      <c r="D220" t="s">
        <v>270</v>
      </c>
      <c r="F220">
        <v>4.131297</v>
      </c>
      <c r="G220">
        <v>3.399645</v>
      </c>
      <c r="H220">
        <v>3.2476150000000001</v>
      </c>
      <c r="I220">
        <v>3.3248160000000002</v>
      </c>
      <c r="J220">
        <v>3.3366020000000001</v>
      </c>
      <c r="K220">
        <v>3.2365620000000002</v>
      </c>
      <c r="L220">
        <v>3.0313650000000001</v>
      </c>
      <c r="M220">
        <v>2.7968120000000001</v>
      </c>
      <c r="N220">
        <v>2.5805479999999998</v>
      </c>
      <c r="O220">
        <v>2.4900419999999999</v>
      </c>
      <c r="P220">
        <v>2.510497</v>
      </c>
      <c r="Q220">
        <v>2.6049250000000002</v>
      </c>
      <c r="R220">
        <v>2.6832539999999998</v>
      </c>
      <c r="S220">
        <v>2.7872620000000001</v>
      </c>
      <c r="T220">
        <v>2.9224299999999999</v>
      </c>
      <c r="U220">
        <v>3.098395</v>
      </c>
      <c r="V220">
        <v>3.3081209999999999</v>
      </c>
      <c r="W220">
        <v>3.5266310000000001</v>
      </c>
      <c r="X220">
        <v>3.7228829999999999</v>
      </c>
      <c r="Y220">
        <v>3.9005800000000002</v>
      </c>
      <c r="Z220">
        <v>4.081086</v>
      </c>
      <c r="AA220">
        <v>4.3035690000000004</v>
      </c>
      <c r="AB220">
        <v>4.5183299999999997</v>
      </c>
      <c r="AC220">
        <v>4.6917869999999997</v>
      </c>
      <c r="AD220">
        <v>4.8784850000000004</v>
      </c>
      <c r="AE220">
        <v>5.0894089999999998</v>
      </c>
      <c r="AF220">
        <v>5.3294730000000001</v>
      </c>
      <c r="AG220">
        <v>5.6305930000000002</v>
      </c>
      <c r="AH220">
        <v>5.9275779999999996</v>
      </c>
      <c r="AI220" s="22">
        <v>1.2999999999999999E-2</v>
      </c>
    </row>
    <row r="221" spans="1:35">
      <c r="A221" t="s">
        <v>236</v>
      </c>
      <c r="B221" t="s">
        <v>2042</v>
      </c>
      <c r="C221" t="s">
        <v>2043</v>
      </c>
      <c r="D221" t="s">
        <v>270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111</v>
      </c>
    </row>
    <row r="222" spans="1:35">
      <c r="A222" t="s">
        <v>237</v>
      </c>
      <c r="B222" t="s">
        <v>2044</v>
      </c>
      <c r="C222" t="s">
        <v>2045</v>
      </c>
      <c r="D222" t="s">
        <v>270</v>
      </c>
      <c r="F222">
        <v>4.4812999999999999E-2</v>
      </c>
      <c r="G222">
        <v>3.5400000000000001E-2</v>
      </c>
      <c r="H222">
        <v>3.0667E-2</v>
      </c>
      <c r="I222">
        <v>2.8981E-2</v>
      </c>
      <c r="J222">
        <v>2.7132E-2</v>
      </c>
      <c r="K222">
        <v>2.4688999999999999E-2</v>
      </c>
      <c r="L222">
        <v>2.2217000000000001E-2</v>
      </c>
      <c r="M222">
        <v>1.9625E-2</v>
      </c>
      <c r="N222">
        <v>1.6997000000000002E-2</v>
      </c>
      <c r="O222">
        <v>1.4770999999999999E-2</v>
      </c>
      <c r="P222">
        <v>1.3089999999999999E-2</v>
      </c>
      <c r="Q222">
        <v>1.1565000000000001E-2</v>
      </c>
      <c r="R222">
        <v>0.01</v>
      </c>
      <c r="S222">
        <v>8.6910000000000008E-3</v>
      </c>
      <c r="T222">
        <v>7.6340000000000002E-3</v>
      </c>
      <c r="U222">
        <v>6.777E-3</v>
      </c>
      <c r="V222">
        <v>6.045E-3</v>
      </c>
      <c r="W222">
        <v>5.3880000000000004E-3</v>
      </c>
      <c r="X222">
        <v>4.7609999999999996E-3</v>
      </c>
      <c r="Y222">
        <v>4.169E-3</v>
      </c>
      <c r="Z222">
        <v>3.643E-3</v>
      </c>
      <c r="AA222">
        <v>3.1949999999999999E-3</v>
      </c>
      <c r="AB222">
        <v>2.7880000000000001E-3</v>
      </c>
      <c r="AC222">
        <v>2.4069999999999999E-3</v>
      </c>
      <c r="AD222">
        <v>2.078E-3</v>
      </c>
      <c r="AE222">
        <v>1.799E-3</v>
      </c>
      <c r="AF222">
        <v>1.5640000000000001E-3</v>
      </c>
      <c r="AG222">
        <v>1.372E-3</v>
      </c>
      <c r="AH222">
        <v>1.1980000000000001E-3</v>
      </c>
      <c r="AI222" s="22">
        <v>-0.121</v>
      </c>
    </row>
    <row r="223" spans="1:35">
      <c r="A223" t="s">
        <v>238</v>
      </c>
      <c r="B223" t="s">
        <v>2046</v>
      </c>
      <c r="C223" t="s">
        <v>2047</v>
      </c>
      <c r="D223" t="s">
        <v>270</v>
      </c>
      <c r="F223">
        <v>0</v>
      </c>
      <c r="G223">
        <v>0</v>
      </c>
      <c r="H223">
        <v>0.102627</v>
      </c>
      <c r="I223">
        <v>0.109876</v>
      </c>
      <c r="J223">
        <v>0.115606</v>
      </c>
      <c r="K223">
        <v>0.119007</v>
      </c>
      <c r="L223">
        <v>0.12245399999999999</v>
      </c>
      <c r="M223">
        <v>0.12360699999999999</v>
      </c>
      <c r="N223">
        <v>0.123154</v>
      </c>
      <c r="O223">
        <v>0.123726</v>
      </c>
      <c r="P223">
        <v>0.12792999999999999</v>
      </c>
      <c r="Q223">
        <v>0.132877</v>
      </c>
      <c r="R223">
        <v>0.13522899999999999</v>
      </c>
      <c r="S223">
        <v>0.13786599999999999</v>
      </c>
      <c r="T223">
        <v>0.143488</v>
      </c>
      <c r="U223">
        <v>0.151391</v>
      </c>
      <c r="V223">
        <v>0.16062100000000001</v>
      </c>
      <c r="W223">
        <v>0.17118</v>
      </c>
      <c r="X223">
        <v>0.181757</v>
      </c>
      <c r="Y223">
        <v>0.192223</v>
      </c>
      <c r="Z223">
        <v>0.203791</v>
      </c>
      <c r="AA223">
        <v>0.217698</v>
      </c>
      <c r="AB223">
        <v>0.23214199999999999</v>
      </c>
      <c r="AC223">
        <v>0.24545800000000001</v>
      </c>
      <c r="AD223">
        <v>0.25994299999999998</v>
      </c>
      <c r="AE223">
        <v>0.276393</v>
      </c>
      <c r="AF223">
        <v>0.29494100000000001</v>
      </c>
      <c r="AG223">
        <v>0.31729299999999999</v>
      </c>
      <c r="AH223">
        <v>0.33960699999999999</v>
      </c>
      <c r="AI223" t="s">
        <v>111</v>
      </c>
    </row>
    <row r="224" spans="1:35">
      <c r="A224" t="s">
        <v>239</v>
      </c>
      <c r="B224" t="s">
        <v>2048</v>
      </c>
      <c r="C224" t="s">
        <v>2049</v>
      </c>
      <c r="D224" t="s">
        <v>270</v>
      </c>
      <c r="F224">
        <v>0</v>
      </c>
      <c r="G224">
        <v>0</v>
      </c>
      <c r="H224">
        <v>0.23166</v>
      </c>
      <c r="I224">
        <v>0.241648</v>
      </c>
      <c r="J224">
        <v>0.25026300000000001</v>
      </c>
      <c r="K224">
        <v>0.25448399999999999</v>
      </c>
      <c r="L224">
        <v>0.25684499999999999</v>
      </c>
      <c r="M224">
        <v>0.25485999999999998</v>
      </c>
      <c r="N224">
        <v>0.25021900000000002</v>
      </c>
      <c r="O224">
        <v>0.24899399999999999</v>
      </c>
      <c r="P224">
        <v>0.25468200000000002</v>
      </c>
      <c r="Q224">
        <v>0.26232800000000001</v>
      </c>
      <c r="R224">
        <v>0.26449400000000001</v>
      </c>
      <c r="S224">
        <v>0.267988</v>
      </c>
      <c r="T224">
        <v>0.276285</v>
      </c>
      <c r="U224">
        <v>0.28914400000000001</v>
      </c>
      <c r="V224">
        <v>0.30428699999999997</v>
      </c>
      <c r="W224">
        <v>0.32177800000000001</v>
      </c>
      <c r="X224">
        <v>0.33918599999999999</v>
      </c>
      <c r="Y224">
        <v>0.35597099999999998</v>
      </c>
      <c r="Z224">
        <v>0.37338500000000002</v>
      </c>
      <c r="AA224">
        <v>0.39376100000000003</v>
      </c>
      <c r="AB224">
        <v>0.41369</v>
      </c>
      <c r="AC224">
        <v>0.43043700000000001</v>
      </c>
      <c r="AD224">
        <v>0.44717099999999999</v>
      </c>
      <c r="AE224">
        <v>0.46481699999999998</v>
      </c>
      <c r="AF224">
        <v>0.483547</v>
      </c>
      <c r="AG224">
        <v>0.50610299999999997</v>
      </c>
      <c r="AH224">
        <v>0.52600599999999997</v>
      </c>
      <c r="AI224" t="s">
        <v>111</v>
      </c>
    </row>
    <row r="225" spans="1:35">
      <c r="A225" t="s">
        <v>240</v>
      </c>
      <c r="B225" t="s">
        <v>2050</v>
      </c>
      <c r="C225" t="s">
        <v>2051</v>
      </c>
      <c r="D225" t="s">
        <v>270</v>
      </c>
      <c r="F225">
        <v>0</v>
      </c>
      <c r="G225">
        <v>0</v>
      </c>
      <c r="H225">
        <v>0.339368</v>
      </c>
      <c r="I225">
        <v>0.36515599999999998</v>
      </c>
      <c r="J225">
        <v>0.38952500000000001</v>
      </c>
      <c r="K225">
        <v>0.40417199999999998</v>
      </c>
      <c r="L225">
        <v>0.415047</v>
      </c>
      <c r="M225">
        <v>0.41866399999999998</v>
      </c>
      <c r="N225">
        <v>0.41455999999999998</v>
      </c>
      <c r="O225">
        <v>0.41242899999999999</v>
      </c>
      <c r="P225">
        <v>0.419153</v>
      </c>
      <c r="Q225">
        <v>0.42563899999999999</v>
      </c>
      <c r="R225">
        <v>0.424149</v>
      </c>
      <c r="S225">
        <v>0.42604599999999998</v>
      </c>
      <c r="T225">
        <v>0.433917</v>
      </c>
      <c r="U225">
        <v>0.44806200000000002</v>
      </c>
      <c r="V225">
        <v>0.46653499999999998</v>
      </c>
      <c r="W225">
        <v>0.48714400000000002</v>
      </c>
      <c r="X225">
        <v>0.50612500000000005</v>
      </c>
      <c r="Y225">
        <v>0.52315400000000001</v>
      </c>
      <c r="Z225">
        <v>0.541713</v>
      </c>
      <c r="AA225">
        <v>0.56509200000000004</v>
      </c>
      <c r="AB225">
        <v>0.58876099999999998</v>
      </c>
      <c r="AC225">
        <v>0.60903499999999999</v>
      </c>
      <c r="AD225">
        <v>0.63227100000000003</v>
      </c>
      <c r="AE225">
        <v>0.66073700000000002</v>
      </c>
      <c r="AF225">
        <v>0.69507399999999997</v>
      </c>
      <c r="AG225">
        <v>0.73980999999999997</v>
      </c>
      <c r="AH225">
        <v>0.78651300000000002</v>
      </c>
      <c r="AI225" t="s">
        <v>111</v>
      </c>
    </row>
    <row r="226" spans="1:35">
      <c r="A226" t="s">
        <v>244</v>
      </c>
      <c r="B226" t="s">
        <v>2052</v>
      </c>
      <c r="C226" t="s">
        <v>2053</v>
      </c>
      <c r="D226" t="s">
        <v>270</v>
      </c>
      <c r="F226">
        <v>266.95968599999998</v>
      </c>
      <c r="G226">
        <v>237.77616900000001</v>
      </c>
      <c r="H226">
        <v>232.62614400000001</v>
      </c>
      <c r="I226">
        <v>248.17169200000001</v>
      </c>
      <c r="J226">
        <v>262.18890399999998</v>
      </c>
      <c r="K226">
        <v>269.12570199999999</v>
      </c>
      <c r="L226">
        <v>272.99877900000001</v>
      </c>
      <c r="M226">
        <v>271.67849699999999</v>
      </c>
      <c r="N226">
        <v>265.068939</v>
      </c>
      <c r="O226">
        <v>259.51889</v>
      </c>
      <c r="P226">
        <v>259.15566999999999</v>
      </c>
      <c r="Q226">
        <v>258.15792800000003</v>
      </c>
      <c r="R226">
        <v>251.86479199999999</v>
      </c>
      <c r="S226">
        <v>247.14475999999999</v>
      </c>
      <c r="T226">
        <v>245.309021</v>
      </c>
      <c r="U226">
        <v>246.249481</v>
      </c>
      <c r="V226">
        <v>248.61546300000001</v>
      </c>
      <c r="W226">
        <v>251.03659099999999</v>
      </c>
      <c r="X226">
        <v>251.52034</v>
      </c>
      <c r="Y226">
        <v>250.027771</v>
      </c>
      <c r="Z226">
        <v>248.30218500000001</v>
      </c>
      <c r="AA226">
        <v>247.770386</v>
      </c>
      <c r="AB226">
        <v>246.30693099999999</v>
      </c>
      <c r="AC226">
        <v>242.51406900000001</v>
      </c>
      <c r="AD226">
        <v>239.1138</v>
      </c>
      <c r="AE226">
        <v>236.855774</v>
      </c>
      <c r="AF226">
        <v>235.78559899999999</v>
      </c>
      <c r="AG226">
        <v>237.16709900000001</v>
      </c>
      <c r="AH226">
        <v>238.047256</v>
      </c>
      <c r="AI226" s="22">
        <v>-4.0000000000000001E-3</v>
      </c>
    </row>
    <row r="227" spans="1:35">
      <c r="A227" t="s">
        <v>256</v>
      </c>
      <c r="B227" t="s">
        <v>2054</v>
      </c>
      <c r="C227" t="s">
        <v>2055</v>
      </c>
      <c r="D227" t="s">
        <v>270</v>
      </c>
      <c r="F227">
        <v>691.80749500000002</v>
      </c>
      <c r="G227">
        <v>629.29083300000002</v>
      </c>
      <c r="H227">
        <v>633.80187999999998</v>
      </c>
      <c r="I227">
        <v>675.50988800000005</v>
      </c>
      <c r="J227">
        <v>706.94268799999998</v>
      </c>
      <c r="K227">
        <v>722.332581</v>
      </c>
      <c r="L227">
        <v>735.13305700000001</v>
      </c>
      <c r="M227">
        <v>739.68627900000001</v>
      </c>
      <c r="N227">
        <v>732.18676800000003</v>
      </c>
      <c r="O227">
        <v>727.44451900000001</v>
      </c>
      <c r="P227">
        <v>736.88232400000004</v>
      </c>
      <c r="Q227">
        <v>744.23999000000003</v>
      </c>
      <c r="R227">
        <v>734.83605999999997</v>
      </c>
      <c r="S227">
        <v>728.68798800000002</v>
      </c>
      <c r="T227">
        <v>730.20495600000004</v>
      </c>
      <c r="U227">
        <v>739.506531</v>
      </c>
      <c r="V227">
        <v>753.9375</v>
      </c>
      <c r="W227">
        <v>769.52655000000004</v>
      </c>
      <c r="X227">
        <v>780.50903300000004</v>
      </c>
      <c r="Y227">
        <v>785.47686799999997</v>
      </c>
      <c r="Z227">
        <v>790.01892099999998</v>
      </c>
      <c r="AA227">
        <v>795.15801999999996</v>
      </c>
      <c r="AB227">
        <v>796.85241699999995</v>
      </c>
      <c r="AC227">
        <v>795.20581100000004</v>
      </c>
      <c r="AD227">
        <v>795.78259300000002</v>
      </c>
      <c r="AE227">
        <v>798.57061799999997</v>
      </c>
      <c r="AF227">
        <v>803.84234600000002</v>
      </c>
      <c r="AG227">
        <v>813.56030299999998</v>
      </c>
      <c r="AH227">
        <v>822.402466</v>
      </c>
      <c r="AI227" s="22">
        <v>6.0000000000000001E-3</v>
      </c>
    </row>
    <row r="228" spans="1:35">
      <c r="A228" t="s">
        <v>149</v>
      </c>
    </row>
    <row r="229" spans="1:35">
      <c r="A229" t="s">
        <v>257</v>
      </c>
      <c r="B229" t="s">
        <v>2056</v>
      </c>
      <c r="C229" t="s">
        <v>2057</v>
      </c>
      <c r="D229" t="s">
        <v>271</v>
      </c>
      <c r="F229">
        <v>1615.891357</v>
      </c>
      <c r="G229">
        <v>1600.9323730000001</v>
      </c>
      <c r="H229">
        <v>1644.85376</v>
      </c>
      <c r="I229">
        <v>1574.5444339999999</v>
      </c>
      <c r="J229">
        <v>1499.0898440000001</v>
      </c>
      <c r="K229">
        <v>1433.7574460000001</v>
      </c>
      <c r="L229">
        <v>1458.376587</v>
      </c>
      <c r="M229">
        <v>1434.913818</v>
      </c>
      <c r="N229">
        <v>1416.9963379999999</v>
      </c>
      <c r="O229">
        <v>1418.5966800000001</v>
      </c>
      <c r="P229">
        <v>1430.637817</v>
      </c>
      <c r="Q229">
        <v>1440.8774410000001</v>
      </c>
      <c r="R229">
        <v>1434.4746090000001</v>
      </c>
      <c r="S229">
        <v>1434.338379</v>
      </c>
      <c r="T229">
        <v>1426.081177</v>
      </c>
      <c r="U229">
        <v>1427.626587</v>
      </c>
      <c r="V229">
        <v>1433.1831050000001</v>
      </c>
      <c r="W229">
        <v>1428.119751</v>
      </c>
      <c r="X229">
        <v>1434.4642329999999</v>
      </c>
      <c r="Y229">
        <v>1438.4960940000001</v>
      </c>
      <c r="Z229">
        <v>1442.3275149999999</v>
      </c>
      <c r="AA229">
        <v>1442.4663089999999</v>
      </c>
      <c r="AB229">
        <v>1435.6829829999999</v>
      </c>
      <c r="AC229">
        <v>1434.551025</v>
      </c>
      <c r="AD229">
        <v>1435.9487300000001</v>
      </c>
      <c r="AE229">
        <v>1440.077759</v>
      </c>
      <c r="AF229">
        <v>1444.1961670000001</v>
      </c>
      <c r="AG229">
        <v>1447.7235109999999</v>
      </c>
      <c r="AH229">
        <v>1456.248779</v>
      </c>
      <c r="AI229" s="22">
        <v>-4.0000000000000001E-3</v>
      </c>
    </row>
    <row r="230" spans="1:35">
      <c r="A230" t="s">
        <v>258</v>
      </c>
      <c r="B230" t="s">
        <v>2058</v>
      </c>
      <c r="C230" t="s">
        <v>2059</v>
      </c>
      <c r="D230" t="s">
        <v>272</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22">
        <v>1E-3</v>
      </c>
    </row>
    <row r="231" spans="1:35">
      <c r="A231" t="s">
        <v>110</v>
      </c>
    </row>
    <row r="232" spans="1:35">
      <c r="A232" t="s">
        <v>259</v>
      </c>
      <c r="B232" t="s">
        <v>2060</v>
      </c>
      <c r="C232" t="s">
        <v>2061</v>
      </c>
      <c r="D232" t="s">
        <v>201</v>
      </c>
      <c r="F232">
        <v>479.50054899999998</v>
      </c>
      <c r="G232">
        <v>474.03872699999999</v>
      </c>
      <c r="H232">
        <v>485.99523900000003</v>
      </c>
      <c r="I232">
        <v>464.21972699999998</v>
      </c>
      <c r="J232">
        <v>440.84536700000001</v>
      </c>
      <c r="K232">
        <v>420.34588600000001</v>
      </c>
      <c r="L232">
        <v>426.04513500000002</v>
      </c>
      <c r="M232">
        <v>417.49258400000002</v>
      </c>
      <c r="N232">
        <v>410.40325899999999</v>
      </c>
      <c r="O232">
        <v>408.79193099999998</v>
      </c>
      <c r="P232">
        <v>409.76800500000002</v>
      </c>
      <c r="Q232">
        <v>409.79217499999999</v>
      </c>
      <c r="R232">
        <v>404.68826300000001</v>
      </c>
      <c r="S232">
        <v>400.98950200000002</v>
      </c>
      <c r="T232">
        <v>394.67639200000002</v>
      </c>
      <c r="U232">
        <v>390.74063100000001</v>
      </c>
      <c r="V232">
        <v>387.53753699999999</v>
      </c>
      <c r="W232">
        <v>381.13217200000003</v>
      </c>
      <c r="X232">
        <v>377.45034800000002</v>
      </c>
      <c r="Y232">
        <v>372.81863399999997</v>
      </c>
      <c r="Z232">
        <v>367.81625400000001</v>
      </c>
      <c r="AA232">
        <v>361.58444200000002</v>
      </c>
      <c r="AB232">
        <v>353.39300500000002</v>
      </c>
      <c r="AC232">
        <v>346.39276100000001</v>
      </c>
      <c r="AD232">
        <v>339.78375199999999</v>
      </c>
      <c r="AE232">
        <v>332.59033199999999</v>
      </c>
      <c r="AF232">
        <v>325.54409800000002</v>
      </c>
      <c r="AG232">
        <v>318.51464800000002</v>
      </c>
      <c r="AH232">
        <v>312.70816000000002</v>
      </c>
      <c r="AI232" s="22">
        <v>-1.4999999999999999E-2</v>
      </c>
    </row>
    <row r="233" spans="1:35">
      <c r="A233" t="s">
        <v>185</v>
      </c>
      <c r="B233" t="s">
        <v>2062</v>
      </c>
      <c r="C233" t="s">
        <v>2063</v>
      </c>
      <c r="D233" t="s">
        <v>201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111</v>
      </c>
    </row>
    <row r="234" spans="1:35">
      <c r="A234" t="s">
        <v>260</v>
      </c>
      <c r="B234" t="s">
        <v>2064</v>
      </c>
      <c r="C234" t="s">
        <v>2065</v>
      </c>
      <c r="D234" t="s">
        <v>201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111</v>
      </c>
    </row>
    <row r="235" spans="1:35">
      <c r="A235" t="s">
        <v>261</v>
      </c>
      <c r="B235" t="s">
        <v>2066</v>
      </c>
      <c r="C235" t="s">
        <v>2067</v>
      </c>
      <c r="D235" t="s">
        <v>201</v>
      </c>
      <c r="F235">
        <v>0.51370000000000005</v>
      </c>
      <c r="G235">
        <v>1.0304249999999999</v>
      </c>
      <c r="H235">
        <v>1.592762</v>
      </c>
      <c r="I235">
        <v>2.0342750000000001</v>
      </c>
      <c r="J235">
        <v>2.5970089999999999</v>
      </c>
      <c r="K235">
        <v>3.3235860000000002</v>
      </c>
      <c r="L235">
        <v>4.4448740000000004</v>
      </c>
      <c r="M235">
        <v>5.6249989999999999</v>
      </c>
      <c r="N235">
        <v>6.990361</v>
      </c>
      <c r="O235">
        <v>8.632612</v>
      </c>
      <c r="P235">
        <v>10.755844</v>
      </c>
      <c r="Q235">
        <v>13.295000999999999</v>
      </c>
      <c r="R235">
        <v>16.074755</v>
      </c>
      <c r="S235">
        <v>19.290071000000001</v>
      </c>
      <c r="T235">
        <v>22.743151000000001</v>
      </c>
      <c r="U235">
        <v>26.690667999999999</v>
      </c>
      <c r="V235">
        <v>31.076626000000001</v>
      </c>
      <c r="W235">
        <v>35.563327999999998</v>
      </c>
      <c r="X235">
        <v>40.655144</v>
      </c>
      <c r="Y235">
        <v>46.020004</v>
      </c>
      <c r="Z235">
        <v>51.695194000000001</v>
      </c>
      <c r="AA235">
        <v>57.525084999999997</v>
      </c>
      <c r="AB235">
        <v>63.305785999999998</v>
      </c>
      <c r="AC235">
        <v>69.538535999999993</v>
      </c>
      <c r="AD235">
        <v>76.113838000000001</v>
      </c>
      <c r="AE235">
        <v>84.063445999999999</v>
      </c>
      <c r="AF235">
        <v>91.860686999999999</v>
      </c>
      <c r="AG235">
        <v>99.468627999999995</v>
      </c>
      <c r="AH235">
        <v>107.29312899999999</v>
      </c>
      <c r="AI235" s="22">
        <v>0.21</v>
      </c>
    </row>
    <row r="236" spans="1:35">
      <c r="A236" t="s">
        <v>150</v>
      </c>
    </row>
    <row r="237" spans="1:35">
      <c r="A237" t="s">
        <v>262</v>
      </c>
      <c r="B237" t="s">
        <v>2068</v>
      </c>
      <c r="C237" t="s">
        <v>2069</v>
      </c>
      <c r="D237" t="s">
        <v>271</v>
      </c>
      <c r="F237">
        <v>444.89962800000001</v>
      </c>
      <c r="G237">
        <v>448.76980600000002</v>
      </c>
      <c r="H237">
        <v>442.17297400000001</v>
      </c>
      <c r="I237">
        <v>437.82516500000003</v>
      </c>
      <c r="J237">
        <v>434.28051799999997</v>
      </c>
      <c r="K237">
        <v>430.10589599999997</v>
      </c>
      <c r="L237">
        <v>425.93753099999998</v>
      </c>
      <c r="M237">
        <v>421.246399</v>
      </c>
      <c r="N237">
        <v>417.12356599999998</v>
      </c>
      <c r="O237">
        <v>413.34899899999999</v>
      </c>
      <c r="P237">
        <v>410.79986600000001</v>
      </c>
      <c r="Q237">
        <v>408.26834100000002</v>
      </c>
      <c r="R237">
        <v>404.54150399999997</v>
      </c>
      <c r="S237">
        <v>400.73419200000001</v>
      </c>
      <c r="T237">
        <v>396.48425300000002</v>
      </c>
      <c r="U237">
        <v>393.49023399999999</v>
      </c>
      <c r="V237">
        <v>390.38732900000002</v>
      </c>
      <c r="W237">
        <v>387.22555499999999</v>
      </c>
      <c r="X237">
        <v>384.34295700000001</v>
      </c>
      <c r="Y237">
        <v>381.26913500000001</v>
      </c>
      <c r="Z237">
        <v>378.72885100000002</v>
      </c>
      <c r="AA237">
        <v>376.320831</v>
      </c>
      <c r="AB237">
        <v>373.83056599999998</v>
      </c>
      <c r="AC237">
        <v>371.47833300000002</v>
      </c>
      <c r="AD237">
        <v>369.30810500000001</v>
      </c>
      <c r="AE237">
        <v>366.82132000000001</v>
      </c>
      <c r="AF237">
        <v>364.14447000000001</v>
      </c>
      <c r="AG237">
        <v>362.368134</v>
      </c>
      <c r="AH237">
        <v>360.92669699999999</v>
      </c>
      <c r="AI237" s="22">
        <v>-7.0000000000000001E-3</v>
      </c>
    </row>
    <row r="238" spans="1:35">
      <c r="A238" t="s">
        <v>258</v>
      </c>
      <c r="B238" t="s">
        <v>2070</v>
      </c>
      <c r="C238" t="s">
        <v>2071</v>
      </c>
      <c r="D238" t="s">
        <v>272</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22">
        <v>4.0000000000000001E-3</v>
      </c>
    </row>
    <row r="239" spans="1:35">
      <c r="A239" t="s">
        <v>110</v>
      </c>
    </row>
    <row r="240" spans="1:35">
      <c r="A240" t="s">
        <v>259</v>
      </c>
      <c r="B240" t="s">
        <v>2072</v>
      </c>
      <c r="C240" t="s">
        <v>2073</v>
      </c>
      <c r="D240" t="s">
        <v>201</v>
      </c>
      <c r="F240">
        <v>95.724982999999995</v>
      </c>
      <c r="G240">
        <v>96.054596000000004</v>
      </c>
      <c r="H240">
        <v>94.300528999999997</v>
      </c>
      <c r="I240">
        <v>93.061104</v>
      </c>
      <c r="J240">
        <v>92.019790999999998</v>
      </c>
      <c r="K240">
        <v>90.828117000000006</v>
      </c>
      <c r="L240">
        <v>89.649428999999998</v>
      </c>
      <c r="M240">
        <v>88.356209000000007</v>
      </c>
      <c r="N240">
        <v>87.201087999999999</v>
      </c>
      <c r="O240">
        <v>86.125823999999994</v>
      </c>
      <c r="P240">
        <v>85.299721000000005</v>
      </c>
      <c r="Q240">
        <v>84.472412000000006</v>
      </c>
      <c r="R240">
        <v>83.403960999999995</v>
      </c>
      <c r="S240">
        <v>82.337638999999996</v>
      </c>
      <c r="T240">
        <v>81.183998000000003</v>
      </c>
      <c r="U240">
        <v>80.288261000000006</v>
      </c>
      <c r="V240">
        <v>79.383635999999996</v>
      </c>
      <c r="W240">
        <v>78.475121000000001</v>
      </c>
      <c r="X240">
        <v>77.575965999999994</v>
      </c>
      <c r="Y240">
        <v>76.576674999999994</v>
      </c>
      <c r="Z240">
        <v>75.68486</v>
      </c>
      <c r="AA240">
        <v>74.817138999999997</v>
      </c>
      <c r="AB240">
        <v>73.935744999999997</v>
      </c>
      <c r="AC240">
        <v>73.078468000000001</v>
      </c>
      <c r="AD240">
        <v>72.250061000000002</v>
      </c>
      <c r="AE240">
        <v>71.356705000000005</v>
      </c>
      <c r="AF240">
        <v>70.429787000000005</v>
      </c>
      <c r="AG240">
        <v>69.678925000000007</v>
      </c>
      <c r="AH240">
        <v>68.982085999999995</v>
      </c>
      <c r="AI240" s="22">
        <v>-1.2E-2</v>
      </c>
    </row>
    <row r="241" spans="1:35">
      <c r="A241" t="s">
        <v>185</v>
      </c>
      <c r="B241" t="s">
        <v>2074</v>
      </c>
      <c r="C241" t="s">
        <v>2075</v>
      </c>
      <c r="D241" t="s">
        <v>201</v>
      </c>
      <c r="F241">
        <v>1.8762760000000001</v>
      </c>
      <c r="G241">
        <v>1.801599</v>
      </c>
      <c r="H241">
        <v>1.689384</v>
      </c>
      <c r="I241">
        <v>1.58982</v>
      </c>
      <c r="J241">
        <v>1.5036719999999999</v>
      </c>
      <c r="K241">
        <v>1.4135530000000001</v>
      </c>
      <c r="L241">
        <v>1.3263990000000001</v>
      </c>
      <c r="M241">
        <v>1.240113</v>
      </c>
      <c r="N241">
        <v>1.1534450000000001</v>
      </c>
      <c r="O241">
        <v>1.06623</v>
      </c>
      <c r="P241">
        <v>0.985711</v>
      </c>
      <c r="Q241">
        <v>0.90452600000000005</v>
      </c>
      <c r="R241">
        <v>0.82449300000000003</v>
      </c>
      <c r="S241">
        <v>0.74822900000000003</v>
      </c>
      <c r="T241">
        <v>0.68206800000000001</v>
      </c>
      <c r="U241">
        <v>0.613896</v>
      </c>
      <c r="V241">
        <v>0.53800199999999998</v>
      </c>
      <c r="W241">
        <v>0.458229</v>
      </c>
      <c r="X241">
        <v>0.388021</v>
      </c>
      <c r="Y241">
        <v>0.38343100000000002</v>
      </c>
      <c r="Z241">
        <v>0.37940600000000002</v>
      </c>
      <c r="AA241">
        <v>0.37553900000000001</v>
      </c>
      <c r="AB241">
        <v>0.371614</v>
      </c>
      <c r="AC241">
        <v>0.36785299999999999</v>
      </c>
      <c r="AD241">
        <v>0.36429600000000001</v>
      </c>
      <c r="AE241">
        <v>0.36045100000000002</v>
      </c>
      <c r="AF241">
        <v>0.35644300000000001</v>
      </c>
      <c r="AG241">
        <v>0.35333900000000001</v>
      </c>
      <c r="AH241">
        <v>0.35058</v>
      </c>
      <c r="AI241" s="22">
        <v>-5.8000000000000003E-2</v>
      </c>
    </row>
    <row r="242" spans="1:35">
      <c r="A242" t="s">
        <v>260</v>
      </c>
      <c r="B242" t="s">
        <v>2076</v>
      </c>
      <c r="C242" t="s">
        <v>2077</v>
      </c>
      <c r="D242" t="s">
        <v>201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111</v>
      </c>
    </row>
    <row r="243" spans="1:35">
      <c r="A243" t="s">
        <v>261</v>
      </c>
      <c r="B243" t="s">
        <v>2078</v>
      </c>
      <c r="C243" t="s">
        <v>2079</v>
      </c>
      <c r="D243" t="s">
        <v>201</v>
      </c>
      <c r="F243">
        <v>0.638131</v>
      </c>
      <c r="G243">
        <v>0.69940500000000005</v>
      </c>
      <c r="H243">
        <v>0.74200100000000002</v>
      </c>
      <c r="I243">
        <v>0.78600400000000004</v>
      </c>
      <c r="J243">
        <v>0.82445400000000002</v>
      </c>
      <c r="K243">
        <v>0.86295999999999995</v>
      </c>
      <c r="L243">
        <v>0.89963800000000005</v>
      </c>
      <c r="M243">
        <v>0.93352900000000005</v>
      </c>
      <c r="N243">
        <v>0.97043000000000001</v>
      </c>
      <c r="O243">
        <v>1.0094000000000001</v>
      </c>
      <c r="P243">
        <v>1.0488820000000001</v>
      </c>
      <c r="Q243">
        <v>1.0889180000000001</v>
      </c>
      <c r="R243">
        <v>1.123232</v>
      </c>
      <c r="S243">
        <v>1.1548700000000001</v>
      </c>
      <c r="T243">
        <v>1.1776660000000001</v>
      </c>
      <c r="U243">
        <v>1.2071989999999999</v>
      </c>
      <c r="V243">
        <v>1.2419659999999999</v>
      </c>
      <c r="W243">
        <v>1.2794030000000001</v>
      </c>
      <c r="X243">
        <v>1.352077</v>
      </c>
      <c r="Y243">
        <v>1.427773</v>
      </c>
      <c r="Z243">
        <v>1.50972</v>
      </c>
      <c r="AA243">
        <v>1.5968059999999999</v>
      </c>
      <c r="AB243">
        <v>1.688537</v>
      </c>
      <c r="AC243">
        <v>1.786057</v>
      </c>
      <c r="AD243">
        <v>1.889912</v>
      </c>
      <c r="AE243">
        <v>1.99796</v>
      </c>
      <c r="AF243">
        <v>2.1111149999999999</v>
      </c>
      <c r="AG243">
        <v>2.2362440000000001</v>
      </c>
      <c r="AH243">
        <v>2.370717</v>
      </c>
      <c r="AI243" s="22">
        <v>4.8000000000000001E-2</v>
      </c>
    </row>
    <row r="244" spans="1:35">
      <c r="A244" t="s">
        <v>151</v>
      </c>
    </row>
    <row r="245" spans="1:35">
      <c r="A245" t="s">
        <v>263</v>
      </c>
      <c r="B245" t="s">
        <v>2080</v>
      </c>
      <c r="C245" t="s">
        <v>2081</v>
      </c>
      <c r="D245" t="s">
        <v>273</v>
      </c>
      <c r="F245">
        <v>5187.8168949999999</v>
      </c>
      <c r="G245">
        <v>5113.0585940000001</v>
      </c>
      <c r="H245">
        <v>5146.841797</v>
      </c>
      <c r="I245">
        <v>5250.8764650000003</v>
      </c>
      <c r="J245">
        <v>5391.6943359999996</v>
      </c>
      <c r="K245">
        <v>5512.5371089999999</v>
      </c>
      <c r="L245">
        <v>5608.3964839999999</v>
      </c>
      <c r="M245">
        <v>5710.298828</v>
      </c>
      <c r="N245">
        <v>5822.5</v>
      </c>
      <c r="O245">
        <v>5953.3393550000001</v>
      </c>
      <c r="P245">
        <v>6106.6284180000002</v>
      </c>
      <c r="Q245">
        <v>6258.4541019999997</v>
      </c>
      <c r="R245">
        <v>6403.7695309999999</v>
      </c>
      <c r="S245">
        <v>6562.8208009999998</v>
      </c>
      <c r="T245">
        <v>6716.3095700000003</v>
      </c>
      <c r="U245">
        <v>6875.7109380000002</v>
      </c>
      <c r="V245">
        <v>7045.28125</v>
      </c>
      <c r="W245">
        <v>7253.2470700000003</v>
      </c>
      <c r="X245">
        <v>7455.826172</v>
      </c>
      <c r="Y245">
        <v>7655.189453</v>
      </c>
      <c r="Z245">
        <v>7891.9492190000001</v>
      </c>
      <c r="AA245">
        <v>8151.3588870000003</v>
      </c>
      <c r="AB245">
        <v>8441.7988280000009</v>
      </c>
      <c r="AC245">
        <v>8738.0673829999996</v>
      </c>
      <c r="AD245">
        <v>9055.0996090000008</v>
      </c>
      <c r="AE245">
        <v>9359.515625</v>
      </c>
      <c r="AF245">
        <v>9667.5195309999999</v>
      </c>
      <c r="AG245">
        <v>10019.517578000001</v>
      </c>
      <c r="AH245">
        <v>10370.173828000001</v>
      </c>
      <c r="AI245" s="22">
        <v>2.5000000000000001E-2</v>
      </c>
    </row>
    <row r="246" spans="1:35">
      <c r="A246" t="s">
        <v>264</v>
      </c>
      <c r="B246" t="s">
        <v>2082</v>
      </c>
      <c r="C246" t="s">
        <v>2083</v>
      </c>
      <c r="D246" t="s">
        <v>273</v>
      </c>
      <c r="F246">
        <v>1818.8258060000001</v>
      </c>
      <c r="G246">
        <v>1834.769775</v>
      </c>
      <c r="H246">
        <v>1862.7230219999999</v>
      </c>
      <c r="I246">
        <v>1908.372192</v>
      </c>
      <c r="J246">
        <v>1965.4957280000001</v>
      </c>
      <c r="K246">
        <v>2014.6987300000001</v>
      </c>
      <c r="L246">
        <v>2056.375</v>
      </c>
      <c r="M246">
        <v>2096.7622070000002</v>
      </c>
      <c r="N246">
        <v>2132.8442380000001</v>
      </c>
      <c r="O246">
        <v>2170.9902339999999</v>
      </c>
      <c r="P246">
        <v>2211.525635</v>
      </c>
      <c r="Q246">
        <v>2257.0451659999999</v>
      </c>
      <c r="R246">
        <v>2305.1938479999999</v>
      </c>
      <c r="S246">
        <v>2366.4482419999999</v>
      </c>
      <c r="T246">
        <v>2435.1203609999998</v>
      </c>
      <c r="U246">
        <v>2507.953857</v>
      </c>
      <c r="V246">
        <v>2585.2082519999999</v>
      </c>
      <c r="W246">
        <v>2679.1381839999999</v>
      </c>
      <c r="X246">
        <v>2783.4829100000002</v>
      </c>
      <c r="Y246">
        <v>2887.108643</v>
      </c>
      <c r="Z246">
        <v>3006.2321780000002</v>
      </c>
      <c r="AA246">
        <v>3135.8588869999999</v>
      </c>
      <c r="AB246">
        <v>3282.3540039999998</v>
      </c>
      <c r="AC246">
        <v>3431.9255370000001</v>
      </c>
      <c r="AD246">
        <v>3589.960693</v>
      </c>
      <c r="AE246">
        <v>3742.0151369999999</v>
      </c>
      <c r="AF246">
        <v>3891.8676759999998</v>
      </c>
      <c r="AG246">
        <v>4071.1130370000001</v>
      </c>
      <c r="AH246">
        <v>4248.0322269999997</v>
      </c>
      <c r="AI246" s="22">
        <v>3.1E-2</v>
      </c>
    </row>
    <row r="247" spans="1:35">
      <c r="A247" t="s">
        <v>265</v>
      </c>
      <c r="B247" t="s">
        <v>2084</v>
      </c>
      <c r="C247" t="s">
        <v>2085</v>
      </c>
      <c r="D247" t="s">
        <v>273</v>
      </c>
      <c r="F247">
        <v>3368.9909670000002</v>
      </c>
      <c r="G247">
        <v>3278.2885740000002</v>
      </c>
      <c r="H247">
        <v>3284.1186520000001</v>
      </c>
      <c r="I247">
        <v>3342.5043949999999</v>
      </c>
      <c r="J247">
        <v>3426.1987300000001</v>
      </c>
      <c r="K247">
        <v>3497.838135</v>
      </c>
      <c r="L247">
        <v>3552.02124</v>
      </c>
      <c r="M247">
        <v>3613.536865</v>
      </c>
      <c r="N247">
        <v>3689.6560060000002</v>
      </c>
      <c r="O247">
        <v>3782.3491210000002</v>
      </c>
      <c r="P247">
        <v>3895.1027829999998</v>
      </c>
      <c r="Q247">
        <v>4001.4091800000001</v>
      </c>
      <c r="R247">
        <v>4098.5756840000004</v>
      </c>
      <c r="S247">
        <v>4196.3725590000004</v>
      </c>
      <c r="T247">
        <v>4281.189453</v>
      </c>
      <c r="U247">
        <v>4367.7568359999996</v>
      </c>
      <c r="V247">
        <v>4460.0732420000004</v>
      </c>
      <c r="W247">
        <v>4574.1088870000003</v>
      </c>
      <c r="X247">
        <v>4672.3432620000003</v>
      </c>
      <c r="Y247">
        <v>4768.0810549999997</v>
      </c>
      <c r="Z247">
        <v>4885.7172849999997</v>
      </c>
      <c r="AA247">
        <v>5015.5</v>
      </c>
      <c r="AB247">
        <v>5159.4443359999996</v>
      </c>
      <c r="AC247">
        <v>5306.1416019999997</v>
      </c>
      <c r="AD247">
        <v>5465.1391599999997</v>
      </c>
      <c r="AE247">
        <v>5617.5009769999997</v>
      </c>
      <c r="AF247">
        <v>5775.6513670000004</v>
      </c>
      <c r="AG247">
        <v>5948.4047849999997</v>
      </c>
      <c r="AH247">
        <v>6122.1411129999997</v>
      </c>
      <c r="AI247" s="22">
        <v>2.1999999999999999E-2</v>
      </c>
    </row>
    <row r="248" spans="1:35">
      <c r="A248" t="s">
        <v>110</v>
      </c>
    </row>
    <row r="249" spans="1:35">
      <c r="A249" t="s">
        <v>259</v>
      </c>
      <c r="B249" t="s">
        <v>2086</v>
      </c>
      <c r="C249" t="s">
        <v>2087</v>
      </c>
      <c r="D249" t="s">
        <v>201</v>
      </c>
      <c r="F249">
        <v>222.90289300000001</v>
      </c>
      <c r="G249">
        <v>317.621216</v>
      </c>
      <c r="H249">
        <v>316.82064800000001</v>
      </c>
      <c r="I249">
        <v>318.86810300000002</v>
      </c>
      <c r="J249">
        <v>324.006775</v>
      </c>
      <c r="K249">
        <v>328.59732100000002</v>
      </c>
      <c r="L249">
        <v>337.00882000000001</v>
      </c>
      <c r="M249">
        <v>340.936646</v>
      </c>
      <c r="N249">
        <v>345.29251099999999</v>
      </c>
      <c r="O249">
        <v>346.830353</v>
      </c>
      <c r="P249">
        <v>349.25531000000001</v>
      </c>
      <c r="Q249">
        <v>351.60812399999998</v>
      </c>
      <c r="R249">
        <v>354.15759300000002</v>
      </c>
      <c r="S249">
        <v>355.73831200000001</v>
      </c>
      <c r="T249">
        <v>356.87829599999998</v>
      </c>
      <c r="U249">
        <v>356.62280299999998</v>
      </c>
      <c r="V249">
        <v>357.07678199999998</v>
      </c>
      <c r="W249">
        <v>357.42880200000002</v>
      </c>
      <c r="X249">
        <v>359.40035999999998</v>
      </c>
      <c r="Y249">
        <v>361.00418100000002</v>
      </c>
      <c r="Z249">
        <v>361.87966899999998</v>
      </c>
      <c r="AA249">
        <v>361.73907500000001</v>
      </c>
      <c r="AB249">
        <v>361.51782200000002</v>
      </c>
      <c r="AC249">
        <v>361.01586900000001</v>
      </c>
      <c r="AD249">
        <v>360.39416499999999</v>
      </c>
      <c r="AE249">
        <v>359.54806500000001</v>
      </c>
      <c r="AF249">
        <v>359.36944599999998</v>
      </c>
      <c r="AG249">
        <v>357.037598</v>
      </c>
      <c r="AH249">
        <v>355.06369000000001</v>
      </c>
      <c r="AI249" s="22">
        <v>1.7000000000000001E-2</v>
      </c>
    </row>
    <row r="250" spans="1:35">
      <c r="A250" t="s">
        <v>185</v>
      </c>
      <c r="B250" t="s">
        <v>2088</v>
      </c>
      <c r="C250" t="s">
        <v>2089</v>
      </c>
      <c r="D250" t="s">
        <v>201</v>
      </c>
      <c r="F250">
        <v>685.66467299999999</v>
      </c>
      <c r="G250">
        <v>532.26501499999995</v>
      </c>
      <c r="H250">
        <v>521.59381099999996</v>
      </c>
      <c r="I250">
        <v>525.89343299999996</v>
      </c>
      <c r="J250">
        <v>503.096588</v>
      </c>
      <c r="K250">
        <v>496.74609400000003</v>
      </c>
      <c r="L250">
        <v>477.40963699999998</v>
      </c>
      <c r="M250">
        <v>466.270691</v>
      </c>
      <c r="N250">
        <v>457.94595299999997</v>
      </c>
      <c r="O250">
        <v>456.54238900000001</v>
      </c>
      <c r="P250">
        <v>454.821686</v>
      </c>
      <c r="Q250">
        <v>454.123627</v>
      </c>
      <c r="R250">
        <v>452.39529399999998</v>
      </c>
      <c r="S250">
        <v>450.571167</v>
      </c>
      <c r="T250">
        <v>447.20434599999999</v>
      </c>
      <c r="U250">
        <v>445.97729500000003</v>
      </c>
      <c r="V250">
        <v>443.98672499999998</v>
      </c>
      <c r="W250">
        <v>442.23706099999998</v>
      </c>
      <c r="X250">
        <v>442.813782</v>
      </c>
      <c r="Y250">
        <v>440.02780200000001</v>
      </c>
      <c r="Z250">
        <v>437.12060500000001</v>
      </c>
      <c r="AA250">
        <v>434.76684599999999</v>
      </c>
      <c r="AB250">
        <v>432.69305400000002</v>
      </c>
      <c r="AC250">
        <v>429.77169800000001</v>
      </c>
      <c r="AD250">
        <v>428.44003300000003</v>
      </c>
      <c r="AE250">
        <v>426.155731</v>
      </c>
      <c r="AF250">
        <v>419.12597699999998</v>
      </c>
      <c r="AG250">
        <v>417.71749899999998</v>
      </c>
      <c r="AH250">
        <v>415.33468599999998</v>
      </c>
      <c r="AI250" s="22">
        <v>-1.7999999999999999E-2</v>
      </c>
    </row>
    <row r="251" spans="1:35">
      <c r="A251" t="s">
        <v>260</v>
      </c>
      <c r="B251" t="s">
        <v>2090</v>
      </c>
      <c r="C251" t="s">
        <v>2091</v>
      </c>
      <c r="D251" t="s">
        <v>201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111</v>
      </c>
    </row>
    <row r="252" spans="1:35">
      <c r="A252" t="s">
        <v>261</v>
      </c>
      <c r="B252" t="s">
        <v>2092</v>
      </c>
      <c r="C252" t="s">
        <v>2093</v>
      </c>
      <c r="D252" t="s">
        <v>201</v>
      </c>
      <c r="F252">
        <v>26.358443999999999</v>
      </c>
      <c r="G252">
        <v>31.450164999999998</v>
      </c>
      <c r="H252">
        <v>39.367027</v>
      </c>
      <c r="I252">
        <v>34.890903000000002</v>
      </c>
      <c r="J252">
        <v>45.094749</v>
      </c>
      <c r="K252">
        <v>45.047179999999997</v>
      </c>
      <c r="L252">
        <v>49.551949</v>
      </c>
      <c r="M252">
        <v>53.193492999999997</v>
      </c>
      <c r="N252">
        <v>54.584952999999999</v>
      </c>
      <c r="O252">
        <v>54.324471000000003</v>
      </c>
      <c r="P252">
        <v>53.443835999999997</v>
      </c>
      <c r="Q252">
        <v>51.944271000000001</v>
      </c>
      <c r="R252">
        <v>50.878489999999999</v>
      </c>
      <c r="S252">
        <v>50.864525</v>
      </c>
      <c r="T252">
        <v>52.271923000000001</v>
      </c>
      <c r="U252">
        <v>53.688018999999997</v>
      </c>
      <c r="V252">
        <v>54.913826</v>
      </c>
      <c r="W252">
        <v>56.159897000000001</v>
      </c>
      <c r="X252">
        <v>54.236252</v>
      </c>
      <c r="Y252">
        <v>54.856876</v>
      </c>
      <c r="Z252">
        <v>56.348083000000003</v>
      </c>
      <c r="AA252">
        <v>58.531737999999997</v>
      </c>
      <c r="AB252">
        <v>60.656860000000002</v>
      </c>
      <c r="AC252">
        <v>63.607261999999999</v>
      </c>
      <c r="AD252">
        <v>65.661552</v>
      </c>
      <c r="AE252">
        <v>68.520568999999995</v>
      </c>
      <c r="AF252">
        <v>73.802834000000004</v>
      </c>
      <c r="AG252">
        <v>77.626357999999996</v>
      </c>
      <c r="AH252">
        <v>81.707138</v>
      </c>
      <c r="AI252" s="22">
        <v>4.1000000000000002E-2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G4409"/>
  <sheetViews>
    <sheetView topLeftCell="B1" workbookViewId="0"/>
  </sheetViews>
  <sheetFormatPr defaultColWidth="8.7265625" defaultRowHeight="14.5"/>
  <cols>
    <col min="1" max="1" width="21.453125" hidden="1" customWidth="1"/>
    <col min="2" max="2" width="46.726562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729</v>
      </c>
      <c r="B10" s="14" t="s">
        <v>730</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731</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732</v>
      </c>
    </row>
    <row r="16" spans="1:32" ht="15" customHeight="1"/>
    <row r="17" spans="1:32" ht="15" customHeight="1">
      <c r="B17" s="15" t="s">
        <v>733</v>
      </c>
    </row>
    <row r="18" spans="1:32" ht="15" customHeight="1">
      <c r="B18" s="15" t="s">
        <v>734</v>
      </c>
    </row>
    <row r="19" spans="1:32" ht="15" customHeight="1">
      <c r="A19" s="7" t="s">
        <v>735</v>
      </c>
      <c r="B19" s="16" t="s">
        <v>736</v>
      </c>
      <c r="C19" s="18">
        <f>'AEO 2023 Table 49 Raw'!F9</f>
        <v>54.584907999999999</v>
      </c>
      <c r="D19" s="18">
        <f>'AEO 2023 Table 49 Raw'!G9</f>
        <v>53.184821999999997</v>
      </c>
      <c r="E19" s="18">
        <f>'AEO 2023 Table 49 Raw'!H9</f>
        <v>52.318644999999997</v>
      </c>
      <c r="F19" s="18">
        <f>'AEO 2023 Table 49 Raw'!I9</f>
        <v>51.949874999999999</v>
      </c>
      <c r="G19" s="18">
        <f>'AEO 2023 Table 49 Raw'!J9</f>
        <v>51.704253999999999</v>
      </c>
      <c r="H19" s="18">
        <f>'AEO 2023 Table 49 Raw'!K9</f>
        <v>51.242474000000001</v>
      </c>
      <c r="I19" s="18">
        <f>'AEO 2023 Table 49 Raw'!L9</f>
        <v>50.771141</v>
      </c>
      <c r="J19" s="18">
        <f>'AEO 2023 Table 49 Raw'!M9</f>
        <v>50.362385000000003</v>
      </c>
      <c r="K19" s="18">
        <f>'AEO 2023 Table 49 Raw'!N9</f>
        <v>50.209102999999999</v>
      </c>
      <c r="L19" s="18">
        <f>'AEO 2023 Table 49 Raw'!O9</f>
        <v>50.291786000000002</v>
      </c>
      <c r="M19" s="18">
        <f>'AEO 2023 Table 49 Raw'!P9</f>
        <v>50.63496</v>
      </c>
      <c r="N19" s="18">
        <f>'AEO 2023 Table 49 Raw'!Q9</f>
        <v>50.989128000000001</v>
      </c>
      <c r="O19" s="18">
        <f>'AEO 2023 Table 49 Raw'!R9</f>
        <v>51.335712000000001</v>
      </c>
      <c r="P19" s="18">
        <f>'AEO 2023 Table 49 Raw'!S9</f>
        <v>51.762928000000002</v>
      </c>
      <c r="Q19" s="18">
        <f>'AEO 2023 Table 49 Raw'!T9</f>
        <v>52.096587999999997</v>
      </c>
      <c r="R19" s="18">
        <f>'AEO 2023 Table 49 Raw'!U9</f>
        <v>52.565826000000001</v>
      </c>
      <c r="S19" s="18">
        <f>'AEO 2023 Table 49 Raw'!V9</f>
        <v>53.041763000000003</v>
      </c>
      <c r="T19" s="18">
        <f>'AEO 2023 Table 49 Raw'!W9</f>
        <v>53.500053000000001</v>
      </c>
      <c r="U19" s="18">
        <f>'AEO 2023 Table 49 Raw'!X9</f>
        <v>54.070895999999998</v>
      </c>
      <c r="V19" s="18">
        <f>'AEO 2023 Table 49 Raw'!Y9</f>
        <v>54.664409999999997</v>
      </c>
      <c r="W19" s="18">
        <f>'AEO 2023 Table 49 Raw'!Z9</f>
        <v>55.331341000000002</v>
      </c>
      <c r="X19" s="18">
        <f>'AEO 2023 Table 49 Raw'!AA9</f>
        <v>56.018265</v>
      </c>
      <c r="Y19" s="18">
        <f>'AEO 2023 Table 49 Raw'!AB9</f>
        <v>56.689281000000001</v>
      </c>
      <c r="Z19" s="18">
        <f>'AEO 2023 Table 49 Raw'!AC9</f>
        <v>57.395836000000003</v>
      </c>
      <c r="AA19" s="18">
        <f>'AEO 2023 Table 49 Raw'!AD9</f>
        <v>58.203060000000001</v>
      </c>
      <c r="AB19" s="18">
        <f>'AEO 2023 Table 49 Raw'!AE9</f>
        <v>59.050575000000002</v>
      </c>
      <c r="AC19" s="18">
        <f>'AEO 2023 Table 49 Raw'!AF9</f>
        <v>59.917839000000001</v>
      </c>
      <c r="AD19" s="18">
        <f>'AEO 2023 Table 49 Raw'!AG9</f>
        <v>60.865924999999997</v>
      </c>
      <c r="AE19" s="18">
        <f>'AEO 2023 Table 49 Raw'!AH9</f>
        <v>61.861980000000003</v>
      </c>
      <c r="AF19" s="30">
        <f>'AEO 2023 Table 49 Raw'!AI9</f>
        <v>4.0000000000000001E-3</v>
      </c>
    </row>
    <row r="20" spans="1:32" ht="15" customHeight="1">
      <c r="A20" s="7" t="s">
        <v>737</v>
      </c>
      <c r="B20" s="16" t="s">
        <v>738</v>
      </c>
      <c r="C20" s="18">
        <f>'AEO 2023 Table 49 Raw'!F10</f>
        <v>16.903614000000001</v>
      </c>
      <c r="D20" s="18">
        <f>'AEO 2023 Table 49 Raw'!G10</f>
        <v>17.710211000000001</v>
      </c>
      <c r="E20" s="18">
        <f>'AEO 2023 Table 49 Raw'!H10</f>
        <v>18.609635999999998</v>
      </c>
      <c r="F20" s="18">
        <f>'AEO 2023 Table 49 Raw'!I10</f>
        <v>19.599958000000001</v>
      </c>
      <c r="G20" s="18">
        <f>'AEO 2023 Table 49 Raw'!J10</f>
        <v>20.561823</v>
      </c>
      <c r="H20" s="18">
        <f>'AEO 2023 Table 49 Raw'!K10</f>
        <v>21.350653000000001</v>
      </c>
      <c r="I20" s="18">
        <f>'AEO 2023 Table 49 Raw'!L10</f>
        <v>22.038038</v>
      </c>
      <c r="J20" s="18">
        <f>'AEO 2023 Table 49 Raw'!M10</f>
        <v>22.67135</v>
      </c>
      <c r="K20" s="18">
        <f>'AEO 2023 Table 49 Raw'!N10</f>
        <v>23.336506</v>
      </c>
      <c r="L20" s="18">
        <f>'AEO 2023 Table 49 Raw'!O10</f>
        <v>24.02421</v>
      </c>
      <c r="M20" s="18">
        <f>'AEO 2023 Table 49 Raw'!P10</f>
        <v>24.801221999999999</v>
      </c>
      <c r="N20" s="18">
        <f>'AEO 2023 Table 49 Raw'!Q10</f>
        <v>25.563036</v>
      </c>
      <c r="O20" s="18">
        <f>'AEO 2023 Table 49 Raw'!R10</f>
        <v>26.279444000000002</v>
      </c>
      <c r="P20" s="18">
        <f>'AEO 2023 Table 49 Raw'!S10</f>
        <v>27.005465999999998</v>
      </c>
      <c r="Q20" s="18">
        <f>'AEO 2023 Table 49 Raw'!T10</f>
        <v>27.677506999999999</v>
      </c>
      <c r="R20" s="18">
        <f>'AEO 2023 Table 49 Raw'!U10</f>
        <v>28.407959000000002</v>
      </c>
      <c r="S20" s="18">
        <f>'AEO 2023 Table 49 Raw'!V10</f>
        <v>29.101161999999999</v>
      </c>
      <c r="T20" s="18">
        <f>'AEO 2023 Table 49 Raw'!W10</f>
        <v>29.711493000000001</v>
      </c>
      <c r="U20" s="18">
        <f>'AEO 2023 Table 49 Raw'!X10</f>
        <v>30.334042</v>
      </c>
      <c r="V20" s="18">
        <f>'AEO 2023 Table 49 Raw'!Y10</f>
        <v>30.964428000000002</v>
      </c>
      <c r="W20" s="18">
        <f>'AEO 2023 Table 49 Raw'!Z10</f>
        <v>31.595704999999999</v>
      </c>
      <c r="X20" s="18">
        <f>'AEO 2023 Table 49 Raw'!AA10</f>
        <v>32.155334000000003</v>
      </c>
      <c r="Y20" s="18">
        <f>'AEO 2023 Table 49 Raw'!AB10</f>
        <v>32.654217000000003</v>
      </c>
      <c r="Z20" s="18">
        <f>'AEO 2023 Table 49 Raw'!AC10</f>
        <v>33.136063</v>
      </c>
      <c r="AA20" s="18">
        <f>'AEO 2023 Table 49 Raw'!AD10</f>
        <v>33.651271999999999</v>
      </c>
      <c r="AB20" s="18">
        <f>'AEO 2023 Table 49 Raw'!AE10</f>
        <v>34.163403000000002</v>
      </c>
      <c r="AC20" s="18">
        <f>'AEO 2023 Table 49 Raw'!AF10</f>
        <v>34.655211999999999</v>
      </c>
      <c r="AD20" s="18">
        <f>'AEO 2023 Table 49 Raw'!AG10</f>
        <v>35.178958999999999</v>
      </c>
      <c r="AE20" s="18">
        <f>'AEO 2023 Table 49 Raw'!AH10</f>
        <v>35.732093999999996</v>
      </c>
      <c r="AF20" s="30">
        <f>'AEO 2023 Table 49 Raw'!AI10</f>
        <v>2.7E-2</v>
      </c>
    </row>
    <row r="21" spans="1:32" ht="15" customHeight="1">
      <c r="A21" s="7" t="s">
        <v>739</v>
      </c>
      <c r="B21" s="16" t="s">
        <v>382</v>
      </c>
      <c r="C21" s="18">
        <f>'AEO 2023 Table 49 Raw'!F11</f>
        <v>5.8699999999999996E-4</v>
      </c>
      <c r="D21" s="18">
        <f>'AEO 2023 Table 49 Raw'!G11</f>
        <v>6.9350000000000002E-3</v>
      </c>
      <c r="E21" s="18">
        <f>'AEO 2023 Table 49 Raw'!H11</f>
        <v>1.3313E-2</v>
      </c>
      <c r="F21" s="18">
        <f>'AEO 2023 Table 49 Raw'!I11</f>
        <v>1.9325999999999999E-2</v>
      </c>
      <c r="G21" s="18">
        <f>'AEO 2023 Table 49 Raw'!J11</f>
        <v>2.4979999999999999E-2</v>
      </c>
      <c r="H21" s="18">
        <f>'AEO 2023 Table 49 Raw'!K11</f>
        <v>3.0086000000000002E-2</v>
      </c>
      <c r="I21" s="18">
        <f>'AEO 2023 Table 49 Raw'!L11</f>
        <v>3.4862999999999998E-2</v>
      </c>
      <c r="J21" s="18">
        <f>'AEO 2023 Table 49 Raw'!M11</f>
        <v>3.9439000000000002E-2</v>
      </c>
      <c r="K21" s="18">
        <f>'AEO 2023 Table 49 Raw'!N11</f>
        <v>4.3985999999999997E-2</v>
      </c>
      <c r="L21" s="18">
        <f>'AEO 2023 Table 49 Raw'!O11</f>
        <v>4.8625000000000002E-2</v>
      </c>
      <c r="M21" s="18">
        <f>'AEO 2023 Table 49 Raw'!P11</f>
        <v>5.3524000000000002E-2</v>
      </c>
      <c r="N21" s="18">
        <f>'AEO 2023 Table 49 Raw'!Q11</f>
        <v>5.8466999999999998E-2</v>
      </c>
      <c r="O21" s="18">
        <f>'AEO 2023 Table 49 Raw'!R11</f>
        <v>6.3285999999999995E-2</v>
      </c>
      <c r="P21" s="18">
        <f>'AEO 2023 Table 49 Raw'!S11</f>
        <v>6.8178000000000002E-2</v>
      </c>
      <c r="Q21" s="18">
        <f>'AEO 2023 Table 49 Raw'!T11</f>
        <v>7.3107000000000005E-2</v>
      </c>
      <c r="R21" s="18">
        <f>'AEO 2023 Table 49 Raw'!U11</f>
        <v>7.8546000000000005E-2</v>
      </c>
      <c r="S21" s="18">
        <f>'AEO 2023 Table 49 Raw'!V11</f>
        <v>8.4434999999999996E-2</v>
      </c>
      <c r="T21" s="18">
        <f>'AEO 2023 Table 49 Raw'!W11</f>
        <v>9.0785000000000005E-2</v>
      </c>
      <c r="U21" s="18">
        <f>'AEO 2023 Table 49 Raw'!X11</f>
        <v>9.7857E-2</v>
      </c>
      <c r="V21" s="18">
        <f>'AEO 2023 Table 49 Raw'!Y11</f>
        <v>0.105584</v>
      </c>
      <c r="W21" s="18">
        <f>'AEO 2023 Table 49 Raw'!Z11</f>
        <v>0.11405899999999999</v>
      </c>
      <c r="X21" s="18">
        <f>'AEO 2023 Table 49 Raw'!AA11</f>
        <v>0.12317</v>
      </c>
      <c r="Y21" s="18">
        <f>'AEO 2023 Table 49 Raw'!AB11</f>
        <v>0.13269400000000001</v>
      </c>
      <c r="Z21" s="18">
        <f>'AEO 2023 Table 49 Raw'!AC11</f>
        <v>0.14286699999999999</v>
      </c>
      <c r="AA21" s="18">
        <f>'AEO 2023 Table 49 Raw'!AD11</f>
        <v>0.15390799999999999</v>
      </c>
      <c r="AB21" s="18">
        <f>'AEO 2023 Table 49 Raw'!AE11</f>
        <v>0.16563800000000001</v>
      </c>
      <c r="AC21" s="18">
        <f>'AEO 2023 Table 49 Raw'!AF11</f>
        <v>0.177929</v>
      </c>
      <c r="AD21" s="18">
        <f>'AEO 2023 Table 49 Raw'!AG11</f>
        <v>0.19094900000000001</v>
      </c>
      <c r="AE21" s="18">
        <f>'AEO 2023 Table 49 Raw'!AH11</f>
        <v>0.204571</v>
      </c>
      <c r="AF21" s="30">
        <f>'AEO 2023 Table 49 Raw'!AI11</f>
        <v>0.23300000000000001</v>
      </c>
    </row>
    <row r="22" spans="1:32" ht="15" customHeight="1">
      <c r="A22" s="7" t="s">
        <v>740</v>
      </c>
      <c r="B22" s="16" t="s">
        <v>741</v>
      </c>
      <c r="C22" s="18">
        <f>'AEO 2023 Table 49 Raw'!F12</f>
        <v>1.5476999999999999E-2</v>
      </c>
      <c r="D22" s="18">
        <f>'AEO 2023 Table 49 Raw'!G12</f>
        <v>1.4120000000000001E-2</v>
      </c>
      <c r="E22" s="18">
        <f>'AEO 2023 Table 49 Raw'!H12</f>
        <v>1.2951000000000001E-2</v>
      </c>
      <c r="F22" s="18">
        <f>'AEO 2023 Table 49 Raw'!I12</f>
        <v>1.1922E-2</v>
      </c>
      <c r="G22" s="18">
        <f>'AEO 2023 Table 49 Raw'!J12</f>
        <v>1.0976E-2</v>
      </c>
      <c r="H22" s="18">
        <f>'AEO 2023 Table 49 Raw'!K12</f>
        <v>1.0057E-2</v>
      </c>
      <c r="I22" s="18">
        <f>'AEO 2023 Table 49 Raw'!L12</f>
        <v>9.195E-3</v>
      </c>
      <c r="J22" s="18">
        <f>'AEO 2023 Table 49 Raw'!M12</f>
        <v>8.4010000000000005E-3</v>
      </c>
      <c r="K22" s="18">
        <f>'AEO 2023 Table 49 Raw'!N12</f>
        <v>7.698E-3</v>
      </c>
      <c r="L22" s="18">
        <f>'AEO 2023 Table 49 Raw'!O12</f>
        <v>7.0740000000000004E-3</v>
      </c>
      <c r="M22" s="18">
        <f>'AEO 2023 Table 49 Raw'!P12</f>
        <v>6.5170000000000002E-3</v>
      </c>
      <c r="N22" s="18">
        <f>'AEO 2023 Table 49 Raw'!Q12</f>
        <v>5.9610000000000002E-3</v>
      </c>
      <c r="O22" s="18">
        <f>'AEO 2023 Table 49 Raw'!R12</f>
        <v>5.3949999999999996E-3</v>
      </c>
      <c r="P22" s="18">
        <f>'AEO 2023 Table 49 Raw'!S12</f>
        <v>4.8170000000000001E-3</v>
      </c>
      <c r="Q22" s="18">
        <f>'AEO 2023 Table 49 Raw'!T12</f>
        <v>4.2300000000000003E-3</v>
      </c>
      <c r="R22" s="18">
        <f>'AEO 2023 Table 49 Raw'!U12</f>
        <v>3.6210000000000001E-3</v>
      </c>
      <c r="S22" s="18">
        <f>'AEO 2023 Table 49 Raw'!V12</f>
        <v>3.055E-3</v>
      </c>
      <c r="T22" s="18">
        <f>'AEO 2023 Table 49 Raw'!W12</f>
        <v>2.5360000000000001E-3</v>
      </c>
      <c r="U22" s="18">
        <f>'AEO 2023 Table 49 Raw'!X12</f>
        <v>2.0149999999999999E-3</v>
      </c>
      <c r="V22" s="18">
        <f>'AEO 2023 Table 49 Raw'!Y12</f>
        <v>1.604E-3</v>
      </c>
      <c r="W22" s="18">
        <f>'AEO 2023 Table 49 Raw'!Z12</f>
        <v>1.3029999999999999E-3</v>
      </c>
      <c r="X22" s="18">
        <f>'AEO 2023 Table 49 Raw'!AA12</f>
        <v>1.0859999999999999E-3</v>
      </c>
      <c r="Y22" s="18">
        <f>'AEO 2023 Table 49 Raw'!AB12</f>
        <v>9.4399999999999996E-4</v>
      </c>
      <c r="Z22" s="18">
        <f>'AEO 2023 Table 49 Raw'!AC12</f>
        <v>8.4599999999999996E-4</v>
      </c>
      <c r="AA22" s="18">
        <f>'AEO 2023 Table 49 Raw'!AD12</f>
        <v>7.6999999999999996E-4</v>
      </c>
      <c r="AB22" s="18">
        <f>'AEO 2023 Table 49 Raw'!AE12</f>
        <v>7.1900000000000002E-4</v>
      </c>
      <c r="AC22" s="18">
        <f>'AEO 2023 Table 49 Raw'!AF12</f>
        <v>6.5499999999999998E-4</v>
      </c>
      <c r="AD22" s="18">
        <f>'AEO 2023 Table 49 Raw'!AG12</f>
        <v>5.8200000000000005E-4</v>
      </c>
      <c r="AE22" s="18">
        <f>'AEO 2023 Table 49 Raw'!AH12</f>
        <v>4.8899999999999996E-4</v>
      </c>
      <c r="AF22" s="30">
        <f>'AEO 2023 Table 49 Raw'!AI12</f>
        <v>-0.11600000000000001</v>
      </c>
    </row>
    <row r="23" spans="1:32" ht="15" customHeight="1">
      <c r="A23" s="7" t="s">
        <v>742</v>
      </c>
      <c r="B23" s="16" t="s">
        <v>743</v>
      </c>
      <c r="C23" s="18">
        <f>'AEO 2023 Table 49 Raw'!F13</f>
        <v>3.824589</v>
      </c>
      <c r="D23" s="18">
        <f>'AEO 2023 Table 49 Raw'!G13</f>
        <v>3.7806299999999999</v>
      </c>
      <c r="E23" s="18">
        <f>'AEO 2023 Table 49 Raw'!H13</f>
        <v>3.7545269999999999</v>
      </c>
      <c r="F23" s="18">
        <f>'AEO 2023 Table 49 Raw'!I13</f>
        <v>3.7400190000000002</v>
      </c>
      <c r="G23" s="18">
        <f>'AEO 2023 Table 49 Raw'!J13</f>
        <v>3.725336</v>
      </c>
      <c r="H23" s="18">
        <f>'AEO 2023 Table 49 Raw'!K13</f>
        <v>3.6981660000000001</v>
      </c>
      <c r="I23" s="18">
        <f>'AEO 2023 Table 49 Raw'!L13</f>
        <v>3.669842</v>
      </c>
      <c r="J23" s="18">
        <f>'AEO 2023 Table 49 Raw'!M13</f>
        <v>3.646439</v>
      </c>
      <c r="K23" s="18">
        <f>'AEO 2023 Table 49 Raw'!N13</f>
        <v>3.637159</v>
      </c>
      <c r="L23" s="18">
        <f>'AEO 2023 Table 49 Raw'!O13</f>
        <v>3.642811</v>
      </c>
      <c r="M23" s="18">
        <f>'AEO 2023 Table 49 Raw'!P13</f>
        <v>3.6650930000000002</v>
      </c>
      <c r="N23" s="18">
        <f>'AEO 2023 Table 49 Raw'!Q13</f>
        <v>3.6841620000000002</v>
      </c>
      <c r="O23" s="18">
        <f>'AEO 2023 Table 49 Raw'!R13</f>
        <v>3.6838760000000002</v>
      </c>
      <c r="P23" s="18">
        <f>'AEO 2023 Table 49 Raw'!S13</f>
        <v>3.6760130000000002</v>
      </c>
      <c r="Q23" s="18">
        <f>'AEO 2023 Table 49 Raw'!T13</f>
        <v>3.6506970000000001</v>
      </c>
      <c r="R23" s="18">
        <f>'AEO 2023 Table 49 Raw'!U13</f>
        <v>3.63028</v>
      </c>
      <c r="S23" s="18">
        <f>'AEO 2023 Table 49 Raw'!V13</f>
        <v>3.5939450000000002</v>
      </c>
      <c r="T23" s="18">
        <f>'AEO 2023 Table 49 Raw'!W13</f>
        <v>3.5525120000000001</v>
      </c>
      <c r="U23" s="18">
        <f>'AEO 2023 Table 49 Raw'!X13</f>
        <v>3.524807</v>
      </c>
      <c r="V23" s="18">
        <f>'AEO 2023 Table 49 Raw'!Y13</f>
        <v>3.5007060000000001</v>
      </c>
      <c r="W23" s="18">
        <f>'AEO 2023 Table 49 Raw'!Z13</f>
        <v>3.4909029999999999</v>
      </c>
      <c r="X23" s="18">
        <f>'AEO 2023 Table 49 Raw'!AA13</f>
        <v>3.4946220000000001</v>
      </c>
      <c r="Y23" s="18">
        <f>'AEO 2023 Table 49 Raw'!AB13</f>
        <v>3.511501</v>
      </c>
      <c r="Z23" s="18">
        <f>'AEO 2023 Table 49 Raw'!AC13</f>
        <v>3.5344699999999998</v>
      </c>
      <c r="AA23" s="18">
        <f>'AEO 2023 Table 49 Raw'!AD13</f>
        <v>3.566999</v>
      </c>
      <c r="AB23" s="18">
        <f>'AEO 2023 Table 49 Raw'!AE13</f>
        <v>3.604692</v>
      </c>
      <c r="AC23" s="18">
        <f>'AEO 2023 Table 49 Raw'!AF13</f>
        <v>3.6455489999999999</v>
      </c>
      <c r="AD23" s="18">
        <f>'AEO 2023 Table 49 Raw'!AG13</f>
        <v>3.6905670000000002</v>
      </c>
      <c r="AE23" s="18">
        <f>'AEO 2023 Table 49 Raw'!AH13</f>
        <v>3.738531</v>
      </c>
      <c r="AF23" s="30">
        <f>'AEO 2023 Table 49 Raw'!AI13</f>
        <v>-1E-3</v>
      </c>
    </row>
    <row r="24" spans="1:32" ht="15" customHeight="1">
      <c r="A24" s="7" t="s">
        <v>744</v>
      </c>
      <c r="B24" s="16" t="s">
        <v>745</v>
      </c>
      <c r="C24" s="18">
        <f>'AEO 2023 Table 49 Raw'!F14</f>
        <v>8.0599999999999997E-4</v>
      </c>
      <c r="D24" s="18">
        <f>'AEO 2023 Table 49 Raw'!G14</f>
        <v>7.3300000000000004E-4</v>
      </c>
      <c r="E24" s="18">
        <f>'AEO 2023 Table 49 Raw'!H14</f>
        <v>6.7500000000000004E-4</v>
      </c>
      <c r="F24" s="18">
        <f>'AEO 2023 Table 49 Raw'!I14</f>
        <v>6.3000000000000003E-4</v>
      </c>
      <c r="G24" s="18">
        <f>'AEO 2023 Table 49 Raw'!J14</f>
        <v>5.9400000000000002E-4</v>
      </c>
      <c r="H24" s="18">
        <f>'AEO 2023 Table 49 Raw'!K14</f>
        <v>5.6400000000000005E-4</v>
      </c>
      <c r="I24" s="18">
        <f>'AEO 2023 Table 49 Raw'!L14</f>
        <v>5.4000000000000001E-4</v>
      </c>
      <c r="J24" s="18">
        <f>'AEO 2023 Table 49 Raw'!M14</f>
        <v>5.0500000000000002E-4</v>
      </c>
      <c r="K24" s="18">
        <f>'AEO 2023 Table 49 Raw'!N14</f>
        <v>4.6099999999999998E-4</v>
      </c>
      <c r="L24" s="18">
        <f>'AEO 2023 Table 49 Raw'!O14</f>
        <v>4.2099999999999999E-4</v>
      </c>
      <c r="M24" s="18">
        <f>'AEO 2023 Table 49 Raw'!P14</f>
        <v>3.86E-4</v>
      </c>
      <c r="N24" s="18">
        <f>'AEO 2023 Table 49 Raw'!Q14</f>
        <v>3.2299999999999999E-4</v>
      </c>
      <c r="O24" s="18">
        <f>'AEO 2023 Table 49 Raw'!R14</f>
        <v>2.5300000000000002E-4</v>
      </c>
      <c r="P24" s="18">
        <f>'AEO 2023 Table 49 Raw'!S14</f>
        <v>1.9900000000000001E-4</v>
      </c>
      <c r="Q24" s="18">
        <f>'AEO 2023 Table 49 Raw'!T14</f>
        <v>1.55E-4</v>
      </c>
      <c r="R24" s="18">
        <f>'AEO 2023 Table 49 Raw'!U14</f>
        <v>1.22E-4</v>
      </c>
      <c r="S24" s="18">
        <f>'AEO 2023 Table 49 Raw'!V14</f>
        <v>9.5000000000000005E-5</v>
      </c>
      <c r="T24" s="18">
        <f>'AEO 2023 Table 49 Raw'!W14</f>
        <v>7.3999999999999996E-5</v>
      </c>
      <c r="U24" s="18">
        <f>'AEO 2023 Table 49 Raw'!X14</f>
        <v>6.6000000000000005E-5</v>
      </c>
      <c r="V24" s="18">
        <f>'AEO 2023 Table 49 Raw'!Y14</f>
        <v>6.3999999999999997E-5</v>
      </c>
      <c r="W24" s="18">
        <f>'AEO 2023 Table 49 Raw'!Z14</f>
        <v>6.2000000000000003E-5</v>
      </c>
      <c r="X24" s="18">
        <f>'AEO 2023 Table 49 Raw'!AA14</f>
        <v>6.0999999999999999E-5</v>
      </c>
      <c r="Y24" s="18">
        <f>'AEO 2023 Table 49 Raw'!AB14</f>
        <v>4.8999999999999998E-5</v>
      </c>
      <c r="Z24" s="18">
        <f>'AEO 2023 Table 49 Raw'!AC14</f>
        <v>3.4E-5</v>
      </c>
      <c r="AA24" s="18">
        <f>'AEO 2023 Table 49 Raw'!AD14</f>
        <v>2.4000000000000001E-5</v>
      </c>
      <c r="AB24" s="18">
        <f>'AEO 2023 Table 49 Raw'!AE14</f>
        <v>1.7E-5</v>
      </c>
      <c r="AC24" s="18">
        <f>'AEO 2023 Table 49 Raw'!AF14</f>
        <v>1.2E-5</v>
      </c>
      <c r="AD24" s="18">
        <f>'AEO 2023 Table 49 Raw'!AG14</f>
        <v>7.9999999999999996E-6</v>
      </c>
      <c r="AE24" s="18">
        <f>'AEO 2023 Table 49 Raw'!AH14</f>
        <v>6.0000000000000002E-6</v>
      </c>
      <c r="AF24" s="30">
        <f>'AEO 2023 Table 49 Raw'!AI14</f>
        <v>-0.16200000000000001</v>
      </c>
    </row>
    <row r="25" spans="1:32" ht="15" customHeight="1">
      <c r="A25" s="7" t="s">
        <v>746</v>
      </c>
      <c r="B25" s="16" t="s">
        <v>747</v>
      </c>
      <c r="C25" s="18">
        <f>'AEO 2023 Table 49 Raw'!F15</f>
        <v>0</v>
      </c>
      <c r="D25" s="18">
        <f>'AEO 2023 Table 49 Raw'!G15</f>
        <v>5.2110000000000004E-3</v>
      </c>
      <c r="E25" s="18">
        <f>'AEO 2023 Table 49 Raw'!H15</f>
        <v>1.0501E-2</v>
      </c>
      <c r="F25" s="18">
        <f>'AEO 2023 Table 49 Raw'!I15</f>
        <v>1.6119000000000001E-2</v>
      </c>
      <c r="G25" s="18">
        <f>'AEO 2023 Table 49 Raw'!J15</f>
        <v>2.1829999999999999E-2</v>
      </c>
      <c r="H25" s="18">
        <f>'AEO 2023 Table 49 Raw'!K15</f>
        <v>2.7378E-2</v>
      </c>
      <c r="I25" s="18">
        <f>'AEO 2023 Table 49 Raw'!L15</f>
        <v>3.2855000000000002E-2</v>
      </c>
      <c r="J25" s="18">
        <f>'AEO 2023 Table 49 Raw'!M15</f>
        <v>3.8309000000000003E-2</v>
      </c>
      <c r="K25" s="18">
        <f>'AEO 2023 Table 49 Raw'!N15</f>
        <v>4.3867999999999997E-2</v>
      </c>
      <c r="L25" s="18">
        <f>'AEO 2023 Table 49 Raw'!O15</f>
        <v>4.9632000000000003E-2</v>
      </c>
      <c r="M25" s="18">
        <f>'AEO 2023 Table 49 Raw'!P15</f>
        <v>5.5828999999999997E-2</v>
      </c>
      <c r="N25" s="18">
        <f>'AEO 2023 Table 49 Raw'!Q15</f>
        <v>6.2269999999999999E-2</v>
      </c>
      <c r="O25" s="18">
        <f>'AEO 2023 Table 49 Raw'!R15</f>
        <v>6.8892999999999996E-2</v>
      </c>
      <c r="P25" s="18">
        <f>'AEO 2023 Table 49 Raw'!S15</f>
        <v>7.5951000000000005E-2</v>
      </c>
      <c r="Q25" s="18">
        <f>'AEO 2023 Table 49 Raw'!T15</f>
        <v>8.3381999999999998E-2</v>
      </c>
      <c r="R25" s="18">
        <f>'AEO 2023 Table 49 Raw'!U15</f>
        <v>9.1698000000000002E-2</v>
      </c>
      <c r="S25" s="18">
        <f>'AEO 2023 Table 49 Raw'!V15</f>
        <v>0.10086100000000001</v>
      </c>
      <c r="T25" s="18">
        <f>'AEO 2023 Table 49 Raw'!W15</f>
        <v>0.110917</v>
      </c>
      <c r="U25" s="18">
        <f>'AEO 2023 Table 49 Raw'!X15</f>
        <v>0.12228600000000001</v>
      </c>
      <c r="V25" s="18">
        <f>'AEO 2023 Table 49 Raw'!Y15</f>
        <v>0.13492899999999999</v>
      </c>
      <c r="W25" s="18">
        <f>'AEO 2023 Table 49 Raw'!Z15</f>
        <v>0.14883299999999999</v>
      </c>
      <c r="X25" s="18">
        <f>'AEO 2023 Table 49 Raw'!AA15</f>
        <v>0.163662</v>
      </c>
      <c r="Y25" s="18">
        <f>'AEO 2023 Table 49 Raw'!AB15</f>
        <v>0.17921799999999999</v>
      </c>
      <c r="Z25" s="18">
        <f>'AEO 2023 Table 49 Raw'!AC15</f>
        <v>0.19561000000000001</v>
      </c>
      <c r="AA25" s="18">
        <f>'AEO 2023 Table 49 Raw'!AD15</f>
        <v>0.21280199999999999</v>
      </c>
      <c r="AB25" s="18">
        <f>'AEO 2023 Table 49 Raw'!AE15</f>
        <v>0.230485</v>
      </c>
      <c r="AC25" s="18">
        <f>'AEO 2023 Table 49 Raw'!AF15</f>
        <v>0.248469</v>
      </c>
      <c r="AD25" s="18">
        <f>'AEO 2023 Table 49 Raw'!AG15</f>
        <v>0.26697199999999999</v>
      </c>
      <c r="AE25" s="18">
        <f>'AEO 2023 Table 49 Raw'!AH15</f>
        <v>0.28581499999999999</v>
      </c>
      <c r="AF25" s="30" t="str">
        <f>'AEO 2023 Table 49 Raw'!AI15</f>
        <v>- -</v>
      </c>
    </row>
    <row r="26" spans="1:32" ht="15" customHeight="1">
      <c r="A26" s="7" t="s">
        <v>748</v>
      </c>
      <c r="B26" s="16" t="s">
        <v>749</v>
      </c>
      <c r="C26" s="18">
        <f>'AEO 2023 Table 49 Raw'!F16</f>
        <v>0</v>
      </c>
      <c r="D26" s="18">
        <f>'AEO 2023 Table 49 Raw'!G16</f>
        <v>5.6709999999999998E-3</v>
      </c>
      <c r="E26" s="18">
        <f>'AEO 2023 Table 49 Raw'!H16</f>
        <v>1.1320999999999999E-2</v>
      </c>
      <c r="F26" s="18">
        <f>'AEO 2023 Table 49 Raw'!I16</f>
        <v>1.7173000000000001E-2</v>
      </c>
      <c r="G26" s="18">
        <f>'AEO 2023 Table 49 Raw'!J16</f>
        <v>2.2991000000000001E-2</v>
      </c>
      <c r="H26" s="18">
        <f>'AEO 2023 Table 49 Raw'!K16</f>
        <v>2.8535000000000001E-2</v>
      </c>
      <c r="I26" s="18">
        <f>'AEO 2023 Table 49 Raw'!L16</f>
        <v>3.3867000000000001E-2</v>
      </c>
      <c r="J26" s="18">
        <f>'AEO 2023 Table 49 Raw'!M16</f>
        <v>3.9045000000000003E-2</v>
      </c>
      <c r="K26" s="18">
        <f>'AEO 2023 Table 49 Raw'!N16</f>
        <v>4.4247000000000002E-2</v>
      </c>
      <c r="L26" s="18">
        <f>'AEO 2023 Table 49 Raw'!O16</f>
        <v>4.9634999999999999E-2</v>
      </c>
      <c r="M26" s="18">
        <f>'AEO 2023 Table 49 Raw'!P16</f>
        <v>5.5454999999999997E-2</v>
      </c>
      <c r="N26" s="18">
        <f>'AEO 2023 Table 49 Raw'!Q16</f>
        <v>6.1592000000000001E-2</v>
      </c>
      <c r="O26" s="18">
        <f>'AEO 2023 Table 49 Raw'!R16</f>
        <v>6.8018999999999996E-2</v>
      </c>
      <c r="P26" s="18">
        <f>'AEO 2023 Table 49 Raw'!S16</f>
        <v>7.5022000000000005E-2</v>
      </c>
      <c r="Q26" s="18">
        <f>'AEO 2023 Table 49 Raw'!T16</f>
        <v>8.2565E-2</v>
      </c>
      <c r="R26" s="18">
        <f>'AEO 2023 Table 49 Raw'!U16</f>
        <v>9.1197E-2</v>
      </c>
      <c r="S26" s="18">
        <f>'AEO 2023 Table 49 Raw'!V16</f>
        <v>0.10090399999999999</v>
      </c>
      <c r="T26" s="18">
        <f>'AEO 2023 Table 49 Raw'!W16</f>
        <v>0.111765</v>
      </c>
      <c r="U26" s="18">
        <f>'AEO 2023 Table 49 Raw'!X16</f>
        <v>0.124236</v>
      </c>
      <c r="V26" s="18">
        <f>'AEO 2023 Table 49 Raw'!Y16</f>
        <v>0.13830200000000001</v>
      </c>
      <c r="W26" s="18">
        <f>'AEO 2023 Table 49 Raw'!Z16</f>
        <v>0.15390100000000001</v>
      </c>
      <c r="X26" s="18">
        <f>'AEO 2023 Table 49 Raw'!AA16</f>
        <v>0.17066000000000001</v>
      </c>
      <c r="Y26" s="18">
        <f>'AEO 2023 Table 49 Raw'!AB16</f>
        <v>0.18835099999999999</v>
      </c>
      <c r="Z26" s="18">
        <f>'AEO 2023 Table 49 Raw'!AC16</f>
        <v>0.20710600000000001</v>
      </c>
      <c r="AA26" s="18">
        <f>'AEO 2023 Table 49 Raw'!AD16</f>
        <v>0.226853</v>
      </c>
      <c r="AB26" s="18">
        <f>'AEO 2023 Table 49 Raw'!AE16</f>
        <v>0.247225</v>
      </c>
      <c r="AC26" s="18">
        <f>'AEO 2023 Table 49 Raw'!AF16</f>
        <v>0.26799200000000001</v>
      </c>
      <c r="AD26" s="18">
        <f>'AEO 2023 Table 49 Raw'!AG16</f>
        <v>0.28937200000000002</v>
      </c>
      <c r="AE26" s="18">
        <f>'AEO 2023 Table 49 Raw'!AH16</f>
        <v>0.311143</v>
      </c>
      <c r="AF26" s="30" t="str">
        <f>'AEO 2023 Table 49 Raw'!AI16</f>
        <v>- -</v>
      </c>
    </row>
    <row r="27" spans="1:32" ht="15" customHeight="1">
      <c r="A27" s="7" t="s">
        <v>750</v>
      </c>
      <c r="B27" s="16" t="s">
        <v>751</v>
      </c>
      <c r="C27" s="18">
        <f>'AEO 2023 Table 49 Raw'!F17</f>
        <v>0</v>
      </c>
      <c r="D27" s="18">
        <f>'AEO 2023 Table 49 Raw'!G17</f>
        <v>0</v>
      </c>
      <c r="E27" s="18">
        <f>'AEO 2023 Table 49 Raw'!H17</f>
        <v>1.9999999999999999E-6</v>
      </c>
      <c r="F27" s="18">
        <f>'AEO 2023 Table 49 Raw'!I17</f>
        <v>3.0000000000000001E-6</v>
      </c>
      <c r="G27" s="18">
        <f>'AEO 2023 Table 49 Raw'!J17</f>
        <v>5.0000000000000004E-6</v>
      </c>
      <c r="H27" s="18">
        <f>'AEO 2023 Table 49 Raw'!K17</f>
        <v>6.9999999999999999E-6</v>
      </c>
      <c r="I27" s="18">
        <f>'AEO 2023 Table 49 Raw'!L17</f>
        <v>9.0000000000000002E-6</v>
      </c>
      <c r="J27" s="18">
        <f>'AEO 2023 Table 49 Raw'!M17</f>
        <v>1.0000000000000001E-5</v>
      </c>
      <c r="K27" s="18">
        <f>'AEO 2023 Table 49 Raw'!N17</f>
        <v>1.2E-5</v>
      </c>
      <c r="L27" s="18">
        <f>'AEO 2023 Table 49 Raw'!O17</f>
        <v>1.2999999999999999E-5</v>
      </c>
      <c r="M27" s="18">
        <f>'AEO 2023 Table 49 Raw'!P17</f>
        <v>1.5E-5</v>
      </c>
      <c r="N27" s="18">
        <f>'AEO 2023 Table 49 Raw'!Q17</f>
        <v>1.5999999999999999E-5</v>
      </c>
      <c r="O27" s="18">
        <f>'AEO 2023 Table 49 Raw'!R17</f>
        <v>1.7E-5</v>
      </c>
      <c r="P27" s="18">
        <f>'AEO 2023 Table 49 Raw'!S17</f>
        <v>1.8E-5</v>
      </c>
      <c r="Q27" s="18">
        <f>'AEO 2023 Table 49 Raw'!T17</f>
        <v>1.9000000000000001E-5</v>
      </c>
      <c r="R27" s="18">
        <f>'AEO 2023 Table 49 Raw'!U17</f>
        <v>2.0000000000000002E-5</v>
      </c>
      <c r="S27" s="18">
        <f>'AEO 2023 Table 49 Raw'!V17</f>
        <v>2.0999999999999999E-5</v>
      </c>
      <c r="T27" s="18">
        <f>'AEO 2023 Table 49 Raw'!W17</f>
        <v>2.1999999999999999E-5</v>
      </c>
      <c r="U27" s="18">
        <f>'AEO 2023 Table 49 Raw'!X17</f>
        <v>2.3E-5</v>
      </c>
      <c r="V27" s="18">
        <f>'AEO 2023 Table 49 Raw'!Y17</f>
        <v>2.3E-5</v>
      </c>
      <c r="W27" s="18">
        <f>'AEO 2023 Table 49 Raw'!Z17</f>
        <v>2.4000000000000001E-5</v>
      </c>
      <c r="X27" s="18">
        <f>'AEO 2023 Table 49 Raw'!AA17</f>
        <v>2.4000000000000001E-5</v>
      </c>
      <c r="Y27" s="18">
        <f>'AEO 2023 Table 49 Raw'!AB17</f>
        <v>2.4000000000000001E-5</v>
      </c>
      <c r="Z27" s="18">
        <f>'AEO 2023 Table 49 Raw'!AC17</f>
        <v>2.4000000000000001E-5</v>
      </c>
      <c r="AA27" s="18">
        <f>'AEO 2023 Table 49 Raw'!AD17</f>
        <v>2.4000000000000001E-5</v>
      </c>
      <c r="AB27" s="18">
        <f>'AEO 2023 Table 49 Raw'!AE17</f>
        <v>2.4000000000000001E-5</v>
      </c>
      <c r="AC27" s="18">
        <f>'AEO 2023 Table 49 Raw'!AF17</f>
        <v>2.3E-5</v>
      </c>
      <c r="AD27" s="18">
        <f>'AEO 2023 Table 49 Raw'!AG17</f>
        <v>2.3E-5</v>
      </c>
      <c r="AE27" s="18">
        <f>'AEO 2023 Table 49 Raw'!AH17</f>
        <v>2.1999999999999999E-5</v>
      </c>
      <c r="AF27" s="30" t="str">
        <f>'AEO 2023 Table 49 Raw'!AI17</f>
        <v>- -</v>
      </c>
    </row>
    <row r="28" spans="1:32" s="94" customFormat="1" ht="15" customHeight="1">
      <c r="A28" s="96" t="s">
        <v>752</v>
      </c>
      <c r="B28" s="97" t="s">
        <v>753</v>
      </c>
      <c r="C28" s="98">
        <f>'AEO 2023 Table 49 Raw'!F18</f>
        <v>75.329880000000003</v>
      </c>
      <c r="D28" s="98">
        <f>'AEO 2023 Table 49 Raw'!G18</f>
        <v>74.708290000000005</v>
      </c>
      <c r="E28" s="98">
        <f>'AEO 2023 Table 49 Raw'!H18</f>
        <v>74.731575000000007</v>
      </c>
      <c r="F28" s="98">
        <f>'AEO 2023 Table 49 Raw'!I18</f>
        <v>75.354934999999998</v>
      </c>
      <c r="G28" s="98">
        <f>'AEO 2023 Table 49 Raw'!J18</f>
        <v>76.072838000000004</v>
      </c>
      <c r="H28" s="98">
        <f>'AEO 2023 Table 49 Raw'!K18</f>
        <v>76.387794</v>
      </c>
      <c r="I28" s="98">
        <f>'AEO 2023 Table 49 Raw'!L18</f>
        <v>76.590232999999998</v>
      </c>
      <c r="J28" s="98">
        <f>'AEO 2023 Table 49 Raw'!M18</f>
        <v>76.805655999999999</v>
      </c>
      <c r="K28" s="98">
        <f>'AEO 2023 Table 49 Raw'!N18</f>
        <v>77.322913999999997</v>
      </c>
      <c r="L28" s="98">
        <f>'AEO 2023 Table 49 Raw'!O18</f>
        <v>78.114249999999998</v>
      </c>
      <c r="M28" s="98">
        <f>'AEO 2023 Table 49 Raw'!P18</f>
        <v>79.273087000000004</v>
      </c>
      <c r="N28" s="98">
        <f>'AEO 2023 Table 49 Raw'!Q18</f>
        <v>80.425064000000006</v>
      </c>
      <c r="O28" s="98">
        <f>'AEO 2023 Table 49 Raw'!R18</f>
        <v>81.504715000000004</v>
      </c>
      <c r="P28" s="98">
        <f>'AEO 2023 Table 49 Raw'!S18</f>
        <v>82.668625000000006</v>
      </c>
      <c r="Q28" s="98">
        <f>'AEO 2023 Table 49 Raw'!T18</f>
        <v>83.668182000000002</v>
      </c>
      <c r="R28" s="98">
        <f>'AEO 2023 Table 49 Raw'!U18</f>
        <v>84.868926999999999</v>
      </c>
      <c r="S28" s="98">
        <f>'AEO 2023 Table 49 Raw'!V18</f>
        <v>86.026199000000005</v>
      </c>
      <c r="T28" s="98">
        <f>'AEO 2023 Table 49 Raw'!W18</f>
        <v>87.079978999999994</v>
      </c>
      <c r="U28" s="98">
        <f>'AEO 2023 Table 49 Raw'!X18</f>
        <v>88.276038999999997</v>
      </c>
      <c r="V28" s="98">
        <f>'AEO 2023 Table 49 Raw'!Y18</f>
        <v>89.509856999999997</v>
      </c>
      <c r="W28" s="98">
        <f>'AEO 2023 Table 49 Raw'!Z18</f>
        <v>90.835953000000003</v>
      </c>
      <c r="X28" s="98">
        <f>'AEO 2023 Table 49 Raw'!AA18</f>
        <v>92.126778000000002</v>
      </c>
      <c r="Y28" s="98">
        <f>'AEO 2023 Table 49 Raw'!AB18</f>
        <v>93.356110000000001</v>
      </c>
      <c r="Z28" s="98">
        <f>'AEO 2023 Table 49 Raw'!AC18</f>
        <v>94.612769999999998</v>
      </c>
      <c r="AA28" s="98">
        <f>'AEO 2023 Table 49 Raw'!AD18</f>
        <v>96.015647999999999</v>
      </c>
      <c r="AB28" s="98">
        <f>'AEO 2023 Table 49 Raw'!AE18</f>
        <v>97.462638999999996</v>
      </c>
      <c r="AC28" s="98">
        <f>'AEO 2023 Table 49 Raw'!AF18</f>
        <v>98.913696000000002</v>
      </c>
      <c r="AD28" s="98">
        <f>'AEO 2023 Table 49 Raw'!AG18</f>
        <v>100.48333</v>
      </c>
      <c r="AE28" s="98">
        <f>'AEO 2023 Table 49 Raw'!AH18</f>
        <v>102.134598</v>
      </c>
      <c r="AF28" s="99">
        <f>'AEO 2023 Table 49 Raw'!AI18</f>
        <v>1.0999999999999999E-2</v>
      </c>
    </row>
    <row r="29" spans="1:32" ht="15" customHeight="1">
      <c r="B29" s="15" t="s">
        <v>754</v>
      </c>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30"/>
    </row>
    <row r="30" spans="1:32" ht="15" customHeight="1">
      <c r="A30" s="7" t="s">
        <v>755</v>
      </c>
      <c r="B30" s="16" t="s">
        <v>736</v>
      </c>
      <c r="C30" s="18">
        <f>'AEO 2023 Table 49 Raw'!F20</f>
        <v>39.529170999999998</v>
      </c>
      <c r="D30" s="18">
        <f>'AEO 2023 Table 49 Raw'!G20</f>
        <v>38.896900000000002</v>
      </c>
      <c r="E30" s="18">
        <f>'AEO 2023 Table 49 Raw'!H20</f>
        <v>38.484572999999997</v>
      </c>
      <c r="F30" s="18">
        <f>'AEO 2023 Table 49 Raw'!I20</f>
        <v>38.545726999999999</v>
      </c>
      <c r="G30" s="18">
        <f>'AEO 2023 Table 49 Raw'!J20</f>
        <v>38.897826999999999</v>
      </c>
      <c r="H30" s="18">
        <f>'AEO 2023 Table 49 Raw'!K20</f>
        <v>39.222183000000001</v>
      </c>
      <c r="I30" s="18">
        <f>'AEO 2023 Table 49 Raw'!L20</f>
        <v>39.550044999999997</v>
      </c>
      <c r="J30" s="18">
        <f>'AEO 2023 Table 49 Raw'!M20</f>
        <v>39.808833999999997</v>
      </c>
      <c r="K30" s="18">
        <f>'AEO 2023 Table 49 Raw'!N20</f>
        <v>40.095215000000003</v>
      </c>
      <c r="L30" s="18">
        <f>'AEO 2023 Table 49 Raw'!O20</f>
        <v>40.422203000000003</v>
      </c>
      <c r="M30" s="18">
        <f>'AEO 2023 Table 49 Raw'!P20</f>
        <v>40.891948999999997</v>
      </c>
      <c r="N30" s="18">
        <f>'AEO 2023 Table 49 Raw'!Q20</f>
        <v>41.273074999999999</v>
      </c>
      <c r="O30" s="18">
        <f>'AEO 2023 Table 49 Raw'!R20</f>
        <v>41.550567999999998</v>
      </c>
      <c r="P30" s="18">
        <f>'AEO 2023 Table 49 Raw'!S20</f>
        <v>41.873848000000002</v>
      </c>
      <c r="Q30" s="18">
        <f>'AEO 2023 Table 49 Raw'!T20</f>
        <v>42.154518000000003</v>
      </c>
      <c r="R30" s="18">
        <f>'AEO 2023 Table 49 Raw'!U20</f>
        <v>42.573521</v>
      </c>
      <c r="S30" s="18">
        <f>'AEO 2023 Table 49 Raw'!V20</f>
        <v>42.993110999999999</v>
      </c>
      <c r="T30" s="18">
        <f>'AEO 2023 Table 49 Raw'!W20</f>
        <v>43.369812000000003</v>
      </c>
      <c r="U30" s="18">
        <f>'AEO 2023 Table 49 Raw'!X20</f>
        <v>43.790680000000002</v>
      </c>
      <c r="V30" s="18">
        <f>'AEO 2023 Table 49 Raw'!Y20</f>
        <v>44.181046000000002</v>
      </c>
      <c r="W30" s="18">
        <f>'AEO 2023 Table 49 Raw'!Z20</f>
        <v>44.593116999999999</v>
      </c>
      <c r="X30" s="18">
        <f>'AEO 2023 Table 49 Raw'!AA20</f>
        <v>45.021278000000002</v>
      </c>
      <c r="Y30" s="18">
        <f>'AEO 2023 Table 49 Raw'!AB20</f>
        <v>45.446564000000002</v>
      </c>
      <c r="Z30" s="18">
        <f>'AEO 2023 Table 49 Raw'!AC20</f>
        <v>45.846603000000002</v>
      </c>
      <c r="AA30" s="18">
        <f>'AEO 2023 Table 49 Raw'!AD20</f>
        <v>46.256549999999997</v>
      </c>
      <c r="AB30" s="18">
        <f>'AEO 2023 Table 49 Raw'!AE20</f>
        <v>46.662227999999999</v>
      </c>
      <c r="AC30" s="18">
        <f>'AEO 2023 Table 49 Raw'!AF20</f>
        <v>47.063594999999999</v>
      </c>
      <c r="AD30" s="18">
        <f>'AEO 2023 Table 49 Raw'!AG20</f>
        <v>47.558945000000001</v>
      </c>
      <c r="AE30" s="18">
        <f>'AEO 2023 Table 49 Raw'!AH20</f>
        <v>48.111702000000001</v>
      </c>
      <c r="AF30" s="30">
        <f>'AEO 2023 Table 49 Raw'!AI20</f>
        <v>7.0000000000000001E-3</v>
      </c>
    </row>
    <row r="31" spans="1:32" ht="15" customHeight="1">
      <c r="A31" s="7" t="s">
        <v>756</v>
      </c>
      <c r="B31" s="16" t="s">
        <v>738</v>
      </c>
      <c r="C31" s="18">
        <f>'AEO 2023 Table 49 Raw'!F21</f>
        <v>19.491807999999999</v>
      </c>
      <c r="D31" s="18">
        <f>'AEO 2023 Table 49 Raw'!G21</f>
        <v>19.083292</v>
      </c>
      <c r="E31" s="18">
        <f>'AEO 2023 Table 49 Raw'!H21</f>
        <v>18.816191</v>
      </c>
      <c r="F31" s="18">
        <f>'AEO 2023 Table 49 Raw'!I21</f>
        <v>18.716362</v>
      </c>
      <c r="G31" s="18">
        <f>'AEO 2023 Table 49 Raw'!J21</f>
        <v>18.750782000000001</v>
      </c>
      <c r="H31" s="18">
        <f>'AEO 2023 Table 49 Raw'!K21</f>
        <v>18.762295000000002</v>
      </c>
      <c r="I31" s="18">
        <f>'AEO 2023 Table 49 Raw'!L21</f>
        <v>18.792428999999998</v>
      </c>
      <c r="J31" s="18">
        <f>'AEO 2023 Table 49 Raw'!M21</f>
        <v>18.814743</v>
      </c>
      <c r="K31" s="18">
        <f>'AEO 2023 Table 49 Raw'!N21</f>
        <v>18.861035999999999</v>
      </c>
      <c r="L31" s="18">
        <f>'AEO 2023 Table 49 Raw'!O21</f>
        <v>18.929902999999999</v>
      </c>
      <c r="M31" s="18">
        <f>'AEO 2023 Table 49 Raw'!P21</f>
        <v>19.087959000000001</v>
      </c>
      <c r="N31" s="18">
        <f>'AEO 2023 Table 49 Raw'!Q21</f>
        <v>19.209437999999999</v>
      </c>
      <c r="O31" s="18">
        <f>'AEO 2023 Table 49 Raw'!R21</f>
        <v>19.305622</v>
      </c>
      <c r="P31" s="18">
        <f>'AEO 2023 Table 49 Raw'!S21</f>
        <v>19.427961</v>
      </c>
      <c r="Q31" s="18">
        <f>'AEO 2023 Table 49 Raw'!T21</f>
        <v>19.513062999999999</v>
      </c>
      <c r="R31" s="18">
        <f>'AEO 2023 Table 49 Raw'!U21</f>
        <v>19.682444</v>
      </c>
      <c r="S31" s="18">
        <f>'AEO 2023 Table 49 Raw'!V21</f>
        <v>19.808668000000001</v>
      </c>
      <c r="T31" s="18">
        <f>'AEO 2023 Table 49 Raw'!W21</f>
        <v>19.963616999999999</v>
      </c>
      <c r="U31" s="18">
        <f>'AEO 2023 Table 49 Raw'!X21</f>
        <v>20.113333000000001</v>
      </c>
      <c r="V31" s="18">
        <f>'AEO 2023 Table 49 Raw'!Y21</f>
        <v>20.270605</v>
      </c>
      <c r="W31" s="18">
        <f>'AEO 2023 Table 49 Raw'!Z21</f>
        <v>20.453330999999999</v>
      </c>
      <c r="X31" s="18">
        <f>'AEO 2023 Table 49 Raw'!AA21</f>
        <v>20.649372</v>
      </c>
      <c r="Y31" s="18">
        <f>'AEO 2023 Table 49 Raw'!AB21</f>
        <v>20.844239999999999</v>
      </c>
      <c r="Z31" s="18">
        <f>'AEO 2023 Table 49 Raw'!AC21</f>
        <v>21.02281</v>
      </c>
      <c r="AA31" s="18">
        <f>'AEO 2023 Table 49 Raw'!AD21</f>
        <v>21.206516000000001</v>
      </c>
      <c r="AB31" s="18">
        <f>'AEO 2023 Table 49 Raw'!AE21</f>
        <v>21.382107000000001</v>
      </c>
      <c r="AC31" s="18">
        <f>'AEO 2023 Table 49 Raw'!AF21</f>
        <v>21.550604</v>
      </c>
      <c r="AD31" s="18">
        <f>'AEO 2023 Table 49 Raw'!AG21</f>
        <v>21.759744999999999</v>
      </c>
      <c r="AE31" s="18">
        <f>'AEO 2023 Table 49 Raw'!AH21</f>
        <v>21.983118000000001</v>
      </c>
      <c r="AF31" s="30">
        <f>'AEO 2023 Table 49 Raw'!AI21</f>
        <v>4.0000000000000001E-3</v>
      </c>
    </row>
    <row r="32" spans="1:32" ht="15" customHeight="1">
      <c r="A32" s="7" t="s">
        <v>757</v>
      </c>
      <c r="B32" s="16" t="s">
        <v>382</v>
      </c>
      <c r="C32" s="18">
        <f>'AEO 2023 Table 49 Raw'!F22</f>
        <v>3.5415000000000002E-2</v>
      </c>
      <c r="D32" s="18">
        <f>'AEO 2023 Table 49 Raw'!G22</f>
        <v>3.6131999999999997E-2</v>
      </c>
      <c r="E32" s="18">
        <f>'AEO 2023 Table 49 Raw'!H22</f>
        <v>3.6977999999999997E-2</v>
      </c>
      <c r="F32" s="18">
        <f>'AEO 2023 Table 49 Raw'!I22</f>
        <v>3.8226000000000003E-2</v>
      </c>
      <c r="G32" s="18">
        <f>'AEO 2023 Table 49 Raw'!J22</f>
        <v>3.9857999999999998E-2</v>
      </c>
      <c r="H32" s="18">
        <f>'AEO 2023 Table 49 Raw'!K22</f>
        <v>4.1535999999999997E-2</v>
      </c>
      <c r="I32" s="18">
        <f>'AEO 2023 Table 49 Raw'!L22</f>
        <v>4.3343E-2</v>
      </c>
      <c r="J32" s="18">
        <f>'AEO 2023 Table 49 Raw'!M22</f>
        <v>4.5186999999999998E-2</v>
      </c>
      <c r="K32" s="18">
        <f>'AEO 2023 Table 49 Raw'!N22</f>
        <v>4.7301000000000003E-2</v>
      </c>
      <c r="L32" s="18">
        <f>'AEO 2023 Table 49 Raw'!O22</f>
        <v>4.9747E-2</v>
      </c>
      <c r="M32" s="18">
        <f>'AEO 2023 Table 49 Raw'!P22</f>
        <v>5.2754000000000002E-2</v>
      </c>
      <c r="N32" s="18">
        <f>'AEO 2023 Table 49 Raw'!Q22</f>
        <v>5.6218999999999998E-2</v>
      </c>
      <c r="O32" s="18">
        <f>'AEO 2023 Table 49 Raw'!R22</f>
        <v>5.9885000000000001E-2</v>
      </c>
      <c r="P32" s="18">
        <f>'AEO 2023 Table 49 Raw'!S22</f>
        <v>6.3491000000000006E-2</v>
      </c>
      <c r="Q32" s="18">
        <f>'AEO 2023 Table 49 Raw'!T22</f>
        <v>6.7275000000000001E-2</v>
      </c>
      <c r="R32" s="18">
        <f>'AEO 2023 Table 49 Raw'!U22</f>
        <v>7.1670999999999999E-2</v>
      </c>
      <c r="S32" s="18">
        <f>'AEO 2023 Table 49 Raw'!V22</f>
        <v>7.6576000000000005E-2</v>
      </c>
      <c r="T32" s="18">
        <f>'AEO 2023 Table 49 Raw'!W22</f>
        <v>8.1951999999999997E-2</v>
      </c>
      <c r="U32" s="18">
        <f>'AEO 2023 Table 49 Raw'!X22</f>
        <v>8.795E-2</v>
      </c>
      <c r="V32" s="18">
        <f>'AEO 2023 Table 49 Raw'!Y22</f>
        <v>9.4425999999999996E-2</v>
      </c>
      <c r="W32" s="18">
        <f>'AEO 2023 Table 49 Raw'!Z22</f>
        <v>0.10133399999999999</v>
      </c>
      <c r="X32" s="18">
        <f>'AEO 2023 Table 49 Raw'!AA22</f>
        <v>0.108612</v>
      </c>
      <c r="Y32" s="18">
        <f>'AEO 2023 Table 49 Raw'!AB22</f>
        <v>0.116158</v>
      </c>
      <c r="Z32" s="18">
        <f>'AEO 2023 Table 49 Raw'!AC22</f>
        <v>0.12385500000000001</v>
      </c>
      <c r="AA32" s="18">
        <f>'AEO 2023 Table 49 Raw'!AD22</f>
        <v>0.13172</v>
      </c>
      <c r="AB32" s="18">
        <f>'AEO 2023 Table 49 Raw'!AE22</f>
        <v>0.13959199999999999</v>
      </c>
      <c r="AC32" s="18">
        <f>'AEO 2023 Table 49 Raw'!AF22</f>
        <v>0.14738699999999999</v>
      </c>
      <c r="AD32" s="18">
        <f>'AEO 2023 Table 49 Raw'!AG22</f>
        <v>0.15496799999999999</v>
      </c>
      <c r="AE32" s="18">
        <f>'AEO 2023 Table 49 Raw'!AH22</f>
        <v>0.16275000000000001</v>
      </c>
      <c r="AF32" s="30">
        <f>'AEO 2023 Table 49 Raw'!AI22</f>
        <v>5.6000000000000001E-2</v>
      </c>
    </row>
    <row r="33" spans="1:32" ht="15" customHeight="1">
      <c r="A33" s="7" t="s">
        <v>758</v>
      </c>
      <c r="B33" s="16" t="s">
        <v>741</v>
      </c>
      <c r="C33" s="18">
        <f>'AEO 2023 Table 49 Raw'!F23</f>
        <v>4.0755E-2</v>
      </c>
      <c r="D33" s="18">
        <f>'AEO 2023 Table 49 Raw'!G23</f>
        <v>3.8651999999999999E-2</v>
      </c>
      <c r="E33" s="18">
        <f>'AEO 2023 Table 49 Raw'!H23</f>
        <v>3.6609000000000003E-2</v>
      </c>
      <c r="F33" s="18">
        <f>'AEO 2023 Table 49 Raw'!I23</f>
        <v>3.4756000000000002E-2</v>
      </c>
      <c r="G33" s="18">
        <f>'AEO 2023 Table 49 Raw'!J23</f>
        <v>3.2994000000000002E-2</v>
      </c>
      <c r="H33" s="18">
        <f>'AEO 2023 Table 49 Raw'!K23</f>
        <v>3.1092999999999999E-2</v>
      </c>
      <c r="I33" s="18">
        <f>'AEO 2023 Table 49 Raw'!L23</f>
        <v>2.9238E-2</v>
      </c>
      <c r="J33" s="18">
        <f>'AEO 2023 Table 49 Raw'!M23</f>
        <v>2.7328999999999999E-2</v>
      </c>
      <c r="K33" s="18">
        <f>'AEO 2023 Table 49 Raw'!N23</f>
        <v>2.545E-2</v>
      </c>
      <c r="L33" s="18">
        <f>'AEO 2023 Table 49 Raw'!O23</f>
        <v>2.3702999999999998E-2</v>
      </c>
      <c r="M33" s="18">
        <f>'AEO 2023 Table 49 Raw'!P23</f>
        <v>2.213E-2</v>
      </c>
      <c r="N33" s="18">
        <f>'AEO 2023 Table 49 Raw'!Q23</f>
        <v>2.0587000000000001E-2</v>
      </c>
      <c r="O33" s="18">
        <f>'AEO 2023 Table 49 Raw'!R23</f>
        <v>1.907E-2</v>
      </c>
      <c r="P33" s="18">
        <f>'AEO 2023 Table 49 Raw'!S23</f>
        <v>1.7646999999999999E-2</v>
      </c>
      <c r="Q33" s="18">
        <f>'AEO 2023 Table 49 Raw'!T23</f>
        <v>1.6278999999999998E-2</v>
      </c>
      <c r="R33" s="18">
        <f>'AEO 2023 Table 49 Raw'!U23</f>
        <v>1.5096E-2</v>
      </c>
      <c r="S33" s="18">
        <f>'AEO 2023 Table 49 Raw'!V23</f>
        <v>1.4012999999999999E-2</v>
      </c>
      <c r="T33" s="18">
        <f>'AEO 2023 Table 49 Raw'!W23</f>
        <v>1.3047E-2</v>
      </c>
      <c r="U33" s="18">
        <f>'AEO 2023 Table 49 Raw'!X23</f>
        <v>1.2141000000000001E-2</v>
      </c>
      <c r="V33" s="18">
        <f>'AEO 2023 Table 49 Raw'!Y23</f>
        <v>1.1221999999999999E-2</v>
      </c>
      <c r="W33" s="18">
        <f>'AEO 2023 Table 49 Raw'!Z23</f>
        <v>1.0409E-2</v>
      </c>
      <c r="X33" s="18">
        <f>'AEO 2023 Table 49 Raw'!AA23</f>
        <v>9.4929999999999997E-3</v>
      </c>
      <c r="Y33" s="18">
        <f>'AEO 2023 Table 49 Raw'!AB23</f>
        <v>8.5679999999999992E-3</v>
      </c>
      <c r="Z33" s="18">
        <f>'AEO 2023 Table 49 Raw'!AC23</f>
        <v>7.7999999999999996E-3</v>
      </c>
      <c r="AA33" s="18">
        <f>'AEO 2023 Table 49 Raw'!AD23</f>
        <v>7.1529999999999996E-3</v>
      </c>
      <c r="AB33" s="18">
        <f>'AEO 2023 Table 49 Raw'!AE23</f>
        <v>6.5009999999999998E-3</v>
      </c>
      <c r="AC33" s="18">
        <f>'AEO 2023 Table 49 Raw'!AF23</f>
        <v>5.8510000000000003E-3</v>
      </c>
      <c r="AD33" s="18">
        <f>'AEO 2023 Table 49 Raw'!AG23</f>
        <v>5.2680000000000001E-3</v>
      </c>
      <c r="AE33" s="18">
        <f>'AEO 2023 Table 49 Raw'!AH23</f>
        <v>4.7749999999999997E-3</v>
      </c>
      <c r="AF33" s="30">
        <f>'AEO 2023 Table 49 Raw'!AI23</f>
        <v>-7.3999999999999996E-2</v>
      </c>
    </row>
    <row r="34" spans="1:32" ht="15" customHeight="1">
      <c r="A34" s="7" t="s">
        <v>759</v>
      </c>
      <c r="B34" s="16" t="s">
        <v>743</v>
      </c>
      <c r="C34" s="18">
        <f>'AEO 2023 Table 49 Raw'!F24</f>
        <v>0.57358799999999999</v>
      </c>
      <c r="D34" s="18">
        <f>'AEO 2023 Table 49 Raw'!G24</f>
        <v>0.60140700000000002</v>
      </c>
      <c r="E34" s="18">
        <f>'AEO 2023 Table 49 Raw'!H24</f>
        <v>0.63454600000000005</v>
      </c>
      <c r="F34" s="18">
        <f>'AEO 2023 Table 49 Raw'!I24</f>
        <v>0.67766099999999996</v>
      </c>
      <c r="G34" s="18">
        <f>'AEO 2023 Table 49 Raw'!J24</f>
        <v>0.73062700000000003</v>
      </c>
      <c r="H34" s="18">
        <f>'AEO 2023 Table 49 Raw'!K24</f>
        <v>0.79032999999999998</v>
      </c>
      <c r="I34" s="18">
        <f>'AEO 2023 Table 49 Raw'!L24</f>
        <v>0.85507999999999995</v>
      </c>
      <c r="J34" s="18">
        <f>'AEO 2023 Table 49 Raw'!M24</f>
        <v>0.92379500000000003</v>
      </c>
      <c r="K34" s="18">
        <f>'AEO 2023 Table 49 Raw'!N24</f>
        <v>0.99948099999999995</v>
      </c>
      <c r="L34" s="18">
        <f>'AEO 2023 Table 49 Raw'!O24</f>
        <v>1.0843339999999999</v>
      </c>
      <c r="M34" s="18">
        <f>'AEO 2023 Table 49 Raw'!P24</f>
        <v>1.1830499999999999</v>
      </c>
      <c r="N34" s="18">
        <f>'AEO 2023 Table 49 Raw'!Q24</f>
        <v>1.290122</v>
      </c>
      <c r="O34" s="18">
        <f>'AEO 2023 Table 49 Raw'!R24</f>
        <v>1.4036139999999999</v>
      </c>
      <c r="P34" s="18">
        <f>'AEO 2023 Table 49 Raw'!S24</f>
        <v>1.5246489999999999</v>
      </c>
      <c r="Q34" s="18">
        <f>'AEO 2023 Table 49 Raw'!T24</f>
        <v>1.645715</v>
      </c>
      <c r="R34" s="18">
        <f>'AEO 2023 Table 49 Raw'!U24</f>
        <v>1.778392</v>
      </c>
      <c r="S34" s="18">
        <f>'AEO 2023 Table 49 Raw'!V24</f>
        <v>1.914102</v>
      </c>
      <c r="T34" s="18">
        <f>'AEO 2023 Table 49 Raw'!W24</f>
        <v>2.0496180000000002</v>
      </c>
      <c r="U34" s="18">
        <f>'AEO 2023 Table 49 Raw'!X24</f>
        <v>2.1929249999999998</v>
      </c>
      <c r="V34" s="18">
        <f>'AEO 2023 Table 49 Raw'!Y24</f>
        <v>2.3334109999999999</v>
      </c>
      <c r="W34" s="18">
        <f>'AEO 2023 Table 49 Raw'!Z24</f>
        <v>2.4729649999999999</v>
      </c>
      <c r="X34" s="18">
        <f>'AEO 2023 Table 49 Raw'!AA24</f>
        <v>2.6083229999999999</v>
      </c>
      <c r="Y34" s="18">
        <f>'AEO 2023 Table 49 Raw'!AB24</f>
        <v>2.737482</v>
      </c>
      <c r="Z34" s="18">
        <f>'AEO 2023 Table 49 Raw'!AC24</f>
        <v>2.8611119999999999</v>
      </c>
      <c r="AA34" s="18">
        <f>'AEO 2023 Table 49 Raw'!AD24</f>
        <v>2.9812919999999998</v>
      </c>
      <c r="AB34" s="18">
        <f>'AEO 2023 Table 49 Raw'!AE24</f>
        <v>3.0955110000000001</v>
      </c>
      <c r="AC34" s="18">
        <f>'AEO 2023 Table 49 Raw'!AF24</f>
        <v>3.2030799999999999</v>
      </c>
      <c r="AD34" s="18">
        <f>'AEO 2023 Table 49 Raw'!AG24</f>
        <v>3.3133699999999999</v>
      </c>
      <c r="AE34" s="18">
        <f>'AEO 2023 Table 49 Raw'!AH24</f>
        <v>3.4238439999999999</v>
      </c>
      <c r="AF34" s="30">
        <f>'AEO 2023 Table 49 Raw'!AI24</f>
        <v>6.6000000000000003E-2</v>
      </c>
    </row>
    <row r="35" spans="1:32" ht="15" customHeight="1">
      <c r="A35" s="7" t="s">
        <v>760</v>
      </c>
      <c r="B35" s="16" t="s">
        <v>745</v>
      </c>
      <c r="C35" s="18">
        <f>'AEO 2023 Table 49 Raw'!F25</f>
        <v>4.7520000000000001E-3</v>
      </c>
      <c r="D35" s="18">
        <f>'AEO 2023 Table 49 Raw'!G25</f>
        <v>5.4910000000000002E-3</v>
      </c>
      <c r="E35" s="18">
        <f>'AEO 2023 Table 49 Raw'!H25</f>
        <v>6.0499999999999998E-3</v>
      </c>
      <c r="F35" s="18">
        <f>'AEO 2023 Table 49 Raw'!I25</f>
        <v>6.5360000000000001E-3</v>
      </c>
      <c r="G35" s="18">
        <f>'AEO 2023 Table 49 Raw'!J25</f>
        <v>6.9290000000000003E-3</v>
      </c>
      <c r="H35" s="18">
        <f>'AEO 2023 Table 49 Raw'!K25</f>
        <v>7.182E-3</v>
      </c>
      <c r="I35" s="18">
        <f>'AEO 2023 Table 49 Raw'!L25</f>
        <v>7.3159999999999996E-3</v>
      </c>
      <c r="J35" s="18">
        <f>'AEO 2023 Table 49 Raw'!M25</f>
        <v>7.345E-3</v>
      </c>
      <c r="K35" s="18">
        <f>'AEO 2023 Table 49 Raw'!N25</f>
        <v>7.3070000000000001E-3</v>
      </c>
      <c r="L35" s="18">
        <f>'AEO 2023 Table 49 Raw'!O25</f>
        <v>7.2189999999999997E-3</v>
      </c>
      <c r="M35" s="18">
        <f>'AEO 2023 Table 49 Raw'!P25</f>
        <v>7.1009999999999997E-3</v>
      </c>
      <c r="N35" s="18">
        <f>'AEO 2023 Table 49 Raw'!Q25</f>
        <v>6.9329999999999999E-3</v>
      </c>
      <c r="O35" s="18">
        <f>'AEO 2023 Table 49 Raw'!R25</f>
        <v>6.718E-3</v>
      </c>
      <c r="P35" s="18">
        <f>'AEO 2023 Table 49 Raw'!S25</f>
        <v>6.5050000000000004E-3</v>
      </c>
      <c r="Q35" s="18">
        <f>'AEO 2023 Table 49 Raw'!T25</f>
        <v>6.2319999999999997E-3</v>
      </c>
      <c r="R35" s="18">
        <f>'AEO 2023 Table 49 Raw'!U25</f>
        <v>5.9480000000000002E-3</v>
      </c>
      <c r="S35" s="18">
        <f>'AEO 2023 Table 49 Raw'!V25</f>
        <v>5.7070000000000003E-3</v>
      </c>
      <c r="T35" s="18">
        <f>'AEO 2023 Table 49 Raw'!W25</f>
        <v>5.4489999999999999E-3</v>
      </c>
      <c r="U35" s="18">
        <f>'AEO 2023 Table 49 Raw'!X25</f>
        <v>5.1570000000000001E-3</v>
      </c>
      <c r="V35" s="18">
        <f>'AEO 2023 Table 49 Raw'!Y25</f>
        <v>4.8700000000000002E-3</v>
      </c>
      <c r="W35" s="18">
        <f>'AEO 2023 Table 49 Raw'!Z25</f>
        <v>4.6059999999999999E-3</v>
      </c>
      <c r="X35" s="18">
        <f>'AEO 2023 Table 49 Raw'!AA25</f>
        <v>4.3509999999999998E-3</v>
      </c>
      <c r="Y35" s="18">
        <f>'AEO 2023 Table 49 Raw'!AB25</f>
        <v>4.1050000000000001E-3</v>
      </c>
      <c r="Z35" s="18">
        <f>'AEO 2023 Table 49 Raw'!AC25</f>
        <v>3.8700000000000002E-3</v>
      </c>
      <c r="AA35" s="18">
        <f>'AEO 2023 Table 49 Raw'!AD25</f>
        <v>3.6519999999999999E-3</v>
      </c>
      <c r="AB35" s="18">
        <f>'AEO 2023 Table 49 Raw'!AE25</f>
        <v>3.4450000000000001E-3</v>
      </c>
      <c r="AC35" s="18">
        <f>'AEO 2023 Table 49 Raw'!AF25</f>
        <v>3.248E-3</v>
      </c>
      <c r="AD35" s="18">
        <f>'AEO 2023 Table 49 Raw'!AG25</f>
        <v>3.0590000000000001E-3</v>
      </c>
      <c r="AE35" s="18">
        <f>'AEO 2023 Table 49 Raw'!AH25</f>
        <v>2.885E-3</v>
      </c>
      <c r="AF35" s="30">
        <f>'AEO 2023 Table 49 Raw'!AI25</f>
        <v>-1.7999999999999999E-2</v>
      </c>
    </row>
    <row r="36" spans="1:32" ht="15" customHeight="1">
      <c r="A36" s="7" t="s">
        <v>761</v>
      </c>
      <c r="B36" s="16" t="s">
        <v>747</v>
      </c>
      <c r="C36" s="18">
        <f>'AEO 2023 Table 49 Raw'!F26</f>
        <v>0</v>
      </c>
      <c r="D36" s="18">
        <f>'AEO 2023 Table 49 Raw'!G26</f>
        <v>0</v>
      </c>
      <c r="E36" s="18">
        <f>'AEO 2023 Table 49 Raw'!H26</f>
        <v>4.0569999999999998E-3</v>
      </c>
      <c r="F36" s="18">
        <f>'AEO 2023 Table 49 Raw'!I26</f>
        <v>8.1670000000000006E-3</v>
      </c>
      <c r="G36" s="18">
        <f>'AEO 2023 Table 49 Raw'!J26</f>
        <v>1.2279999999999999E-2</v>
      </c>
      <c r="H36" s="18">
        <f>'AEO 2023 Table 49 Raw'!K26</f>
        <v>1.6237999999999999E-2</v>
      </c>
      <c r="I36" s="18">
        <f>'AEO 2023 Table 49 Raw'!L26</f>
        <v>2.0057999999999999E-2</v>
      </c>
      <c r="J36" s="18">
        <f>'AEO 2023 Table 49 Raw'!M26</f>
        <v>2.3657999999999998E-2</v>
      </c>
      <c r="K36" s="18">
        <f>'AEO 2023 Table 49 Raw'!N26</f>
        <v>2.7074000000000001E-2</v>
      </c>
      <c r="L36" s="18">
        <f>'AEO 2023 Table 49 Raw'!O26</f>
        <v>3.0387999999999998E-2</v>
      </c>
      <c r="M36" s="18">
        <f>'AEO 2023 Table 49 Raw'!P26</f>
        <v>3.3786999999999998E-2</v>
      </c>
      <c r="N36" s="18">
        <f>'AEO 2023 Table 49 Raw'!Q26</f>
        <v>3.7179999999999998E-2</v>
      </c>
      <c r="O36" s="18">
        <f>'AEO 2023 Table 49 Raw'!R26</f>
        <v>4.0497999999999999E-2</v>
      </c>
      <c r="P36" s="18">
        <f>'AEO 2023 Table 49 Raw'!S26</f>
        <v>4.3855999999999999E-2</v>
      </c>
      <c r="Q36" s="18">
        <f>'AEO 2023 Table 49 Raw'!T26</f>
        <v>4.7225999999999997E-2</v>
      </c>
      <c r="R36" s="18">
        <f>'AEO 2023 Table 49 Raw'!U26</f>
        <v>5.0868999999999998E-2</v>
      </c>
      <c r="S36" s="18">
        <f>'AEO 2023 Table 49 Raw'!V26</f>
        <v>5.4696000000000002E-2</v>
      </c>
      <c r="T36" s="18">
        <f>'AEO 2023 Table 49 Raw'!W26</f>
        <v>5.8694000000000003E-2</v>
      </c>
      <c r="U36" s="18">
        <f>'AEO 2023 Table 49 Raw'!X26</f>
        <v>6.3043000000000002E-2</v>
      </c>
      <c r="V36" s="18">
        <f>'AEO 2023 Table 49 Raw'!Y26</f>
        <v>6.7706000000000002E-2</v>
      </c>
      <c r="W36" s="18">
        <f>'AEO 2023 Table 49 Raw'!Z26</f>
        <v>7.2775999999999993E-2</v>
      </c>
      <c r="X36" s="18">
        <f>'AEO 2023 Table 49 Raw'!AA26</f>
        <v>7.8029000000000001E-2</v>
      </c>
      <c r="Y36" s="18">
        <f>'AEO 2023 Table 49 Raw'!AB26</f>
        <v>8.3586999999999995E-2</v>
      </c>
      <c r="Z36" s="18">
        <f>'AEO 2023 Table 49 Raw'!AC26</f>
        <v>8.9401999999999995E-2</v>
      </c>
      <c r="AA36" s="18">
        <f>'AEO 2023 Table 49 Raw'!AD26</f>
        <v>9.5547000000000007E-2</v>
      </c>
      <c r="AB36" s="18">
        <f>'AEO 2023 Table 49 Raw'!AE26</f>
        <v>0.10193000000000001</v>
      </c>
      <c r="AC36" s="18">
        <f>'AEO 2023 Table 49 Raw'!AF26</f>
        <v>0.108524</v>
      </c>
      <c r="AD36" s="18">
        <f>'AEO 2023 Table 49 Raw'!AG26</f>
        <v>0.11551</v>
      </c>
      <c r="AE36" s="18">
        <f>'AEO 2023 Table 49 Raw'!AH26</f>
        <v>0.122839</v>
      </c>
      <c r="AF36" s="30" t="str">
        <f>'AEO 2023 Table 49 Raw'!AI26</f>
        <v>- -</v>
      </c>
    </row>
    <row r="37" spans="1:32" ht="15" customHeight="1">
      <c r="A37" s="7" t="s">
        <v>762</v>
      </c>
      <c r="B37" s="16" t="s">
        <v>749</v>
      </c>
      <c r="C37" s="18">
        <f>'AEO 2023 Table 49 Raw'!F27</f>
        <v>0</v>
      </c>
      <c r="D37" s="18">
        <f>'AEO 2023 Table 49 Raw'!G27</f>
        <v>0</v>
      </c>
      <c r="E37" s="18">
        <f>'AEO 2023 Table 49 Raw'!H27</f>
        <v>4.0610000000000004E-3</v>
      </c>
      <c r="F37" s="18">
        <f>'AEO 2023 Table 49 Raw'!I27</f>
        <v>8.0339999999999995E-3</v>
      </c>
      <c r="G37" s="18">
        <f>'AEO 2023 Table 49 Raw'!J27</f>
        <v>1.1905000000000001E-2</v>
      </c>
      <c r="H37" s="18">
        <f>'AEO 2023 Table 49 Raw'!K27</f>
        <v>1.5573E-2</v>
      </c>
      <c r="I37" s="18">
        <f>'AEO 2023 Table 49 Raw'!L27</f>
        <v>1.9036999999999998E-2</v>
      </c>
      <c r="J37" s="18">
        <f>'AEO 2023 Table 49 Raw'!M27</f>
        <v>2.2249999999999999E-2</v>
      </c>
      <c r="K37" s="18">
        <f>'AEO 2023 Table 49 Raw'!N27</f>
        <v>2.5312000000000001E-2</v>
      </c>
      <c r="L37" s="18">
        <f>'AEO 2023 Table 49 Raw'!O27</f>
        <v>2.836E-2</v>
      </c>
      <c r="M37" s="18">
        <f>'AEO 2023 Table 49 Raw'!P27</f>
        <v>3.1593999999999997E-2</v>
      </c>
      <c r="N37" s="18">
        <f>'AEO 2023 Table 49 Raw'!Q27</f>
        <v>3.4971000000000002E-2</v>
      </c>
      <c r="O37" s="18">
        <f>'AEO 2023 Table 49 Raw'!R27</f>
        <v>3.8427000000000003E-2</v>
      </c>
      <c r="P37" s="18">
        <f>'AEO 2023 Table 49 Raw'!S27</f>
        <v>4.2057999999999998E-2</v>
      </c>
      <c r="Q37" s="18">
        <f>'AEO 2023 Table 49 Raw'!T27</f>
        <v>4.589E-2</v>
      </c>
      <c r="R37" s="18">
        <f>'AEO 2023 Table 49 Raw'!U27</f>
        <v>5.0213000000000001E-2</v>
      </c>
      <c r="S37" s="18">
        <f>'AEO 2023 Table 49 Raw'!V27</f>
        <v>5.4961999999999997E-2</v>
      </c>
      <c r="T37" s="18">
        <f>'AEO 2023 Table 49 Raw'!W27</f>
        <v>6.0159999999999998E-2</v>
      </c>
      <c r="U37" s="18">
        <f>'AEO 2023 Table 49 Raw'!X27</f>
        <v>6.6020999999999996E-2</v>
      </c>
      <c r="V37" s="18">
        <f>'AEO 2023 Table 49 Raw'!Y27</f>
        <v>7.2526999999999994E-2</v>
      </c>
      <c r="W37" s="18">
        <f>'AEO 2023 Table 49 Raw'!Z27</f>
        <v>7.9758999999999997E-2</v>
      </c>
      <c r="X37" s="18">
        <f>'AEO 2023 Table 49 Raw'!AA27</f>
        <v>8.7495000000000003E-2</v>
      </c>
      <c r="Y37" s="18">
        <f>'AEO 2023 Table 49 Raw'!AB27</f>
        <v>9.5846000000000001E-2</v>
      </c>
      <c r="Z37" s="18">
        <f>'AEO 2023 Table 49 Raw'!AC27</f>
        <v>0.10474799999999999</v>
      </c>
      <c r="AA37" s="18">
        <f>'AEO 2023 Table 49 Raw'!AD27</f>
        <v>0.114255</v>
      </c>
      <c r="AB37" s="18">
        <f>'AEO 2023 Table 49 Raw'!AE27</f>
        <v>0.124223</v>
      </c>
      <c r="AC37" s="18">
        <f>'AEO 2023 Table 49 Raw'!AF27</f>
        <v>0.13459199999999999</v>
      </c>
      <c r="AD37" s="18">
        <f>'AEO 2023 Table 49 Raw'!AG27</f>
        <v>0.14565800000000001</v>
      </c>
      <c r="AE37" s="18">
        <f>'AEO 2023 Table 49 Raw'!AH27</f>
        <v>0.15723400000000001</v>
      </c>
      <c r="AF37" s="30" t="str">
        <f>'AEO 2023 Table 49 Raw'!AI27</f>
        <v>- -</v>
      </c>
    </row>
    <row r="38" spans="1:32" ht="15" customHeight="1">
      <c r="A38" s="7" t="s">
        <v>763</v>
      </c>
      <c r="B38" s="16" t="s">
        <v>751</v>
      </c>
      <c r="C38" s="18">
        <f>'AEO 2023 Table 49 Raw'!F28</f>
        <v>0</v>
      </c>
      <c r="D38" s="18">
        <f>'AEO 2023 Table 49 Raw'!G28</f>
        <v>0</v>
      </c>
      <c r="E38" s="18">
        <f>'AEO 2023 Table 49 Raw'!H28</f>
        <v>6.7840000000000001E-3</v>
      </c>
      <c r="F38" s="18">
        <f>'AEO 2023 Table 49 Raw'!I28</f>
        <v>1.3694E-2</v>
      </c>
      <c r="G38" s="18">
        <f>'AEO 2023 Table 49 Raw'!J28</f>
        <v>2.0728E-2</v>
      </c>
      <c r="H38" s="18">
        <f>'AEO 2023 Table 49 Raw'!K28</f>
        <v>2.7577000000000001E-2</v>
      </c>
      <c r="I38" s="18">
        <f>'AEO 2023 Table 49 Raw'!L28</f>
        <v>3.4187000000000002E-2</v>
      </c>
      <c r="J38" s="18">
        <f>'AEO 2023 Table 49 Raw'!M28</f>
        <v>4.0457E-2</v>
      </c>
      <c r="K38" s="18">
        <f>'AEO 2023 Table 49 Raw'!N28</f>
        <v>4.6433000000000002E-2</v>
      </c>
      <c r="L38" s="18">
        <f>'AEO 2023 Table 49 Raw'!O28</f>
        <v>5.2238E-2</v>
      </c>
      <c r="M38" s="18">
        <f>'AEO 2023 Table 49 Raw'!P28</f>
        <v>5.8138000000000002E-2</v>
      </c>
      <c r="N38" s="18">
        <f>'AEO 2023 Table 49 Raw'!Q28</f>
        <v>6.3926999999999998E-2</v>
      </c>
      <c r="O38" s="18">
        <f>'AEO 2023 Table 49 Raw'!R28</f>
        <v>6.9538000000000003E-2</v>
      </c>
      <c r="P38" s="18">
        <f>'AEO 2023 Table 49 Raw'!S28</f>
        <v>7.5242000000000003E-2</v>
      </c>
      <c r="Q38" s="18">
        <f>'AEO 2023 Table 49 Raw'!T28</f>
        <v>8.0976000000000006E-2</v>
      </c>
      <c r="R38" s="18">
        <f>'AEO 2023 Table 49 Raw'!U28</f>
        <v>8.7225999999999998E-2</v>
      </c>
      <c r="S38" s="18">
        <f>'AEO 2023 Table 49 Raw'!V28</f>
        <v>9.3895999999999993E-2</v>
      </c>
      <c r="T38" s="18">
        <f>'AEO 2023 Table 49 Raw'!W28</f>
        <v>0.10097399999999999</v>
      </c>
      <c r="U38" s="18">
        <f>'AEO 2023 Table 49 Raw'!X28</f>
        <v>0.10878699999999999</v>
      </c>
      <c r="V38" s="18">
        <f>'AEO 2023 Table 49 Raw'!Y28</f>
        <v>0.11728</v>
      </c>
      <c r="W38" s="18">
        <f>'AEO 2023 Table 49 Raw'!Z28</f>
        <v>0.12661900000000001</v>
      </c>
      <c r="X38" s="18">
        <f>'AEO 2023 Table 49 Raw'!AA28</f>
        <v>0.136432</v>
      </c>
      <c r="Y38" s="18">
        <f>'AEO 2023 Table 49 Raw'!AB28</f>
        <v>0.14691299999999999</v>
      </c>
      <c r="Z38" s="18">
        <f>'AEO 2023 Table 49 Raw'!AC28</f>
        <v>0.15795899999999999</v>
      </c>
      <c r="AA38" s="18">
        <f>'AEO 2023 Table 49 Raw'!AD28</f>
        <v>0.16969300000000001</v>
      </c>
      <c r="AB38" s="18">
        <f>'AEO 2023 Table 49 Raw'!AE28</f>
        <v>0.18194399999999999</v>
      </c>
      <c r="AC38" s="18">
        <f>'AEO 2023 Table 49 Raw'!AF28</f>
        <v>0.19465099999999999</v>
      </c>
      <c r="AD38" s="18">
        <f>'AEO 2023 Table 49 Raw'!AG28</f>
        <v>0.20824400000000001</v>
      </c>
      <c r="AE38" s="18">
        <f>'AEO 2023 Table 49 Raw'!AH28</f>
        <v>0.222495</v>
      </c>
      <c r="AF38" s="30" t="str">
        <f>'AEO 2023 Table 49 Raw'!AI28</f>
        <v>- -</v>
      </c>
    </row>
    <row r="39" spans="1:32" s="94" customFormat="1" ht="12" customHeight="1">
      <c r="A39" s="96" t="s">
        <v>764</v>
      </c>
      <c r="B39" s="97" t="s">
        <v>765</v>
      </c>
      <c r="C39" s="98">
        <f>'AEO 2023 Table 49 Raw'!F29</f>
        <v>59.675491000000001</v>
      </c>
      <c r="D39" s="98">
        <f>'AEO 2023 Table 49 Raw'!G29</f>
        <v>58.661780999999998</v>
      </c>
      <c r="E39" s="98">
        <f>'AEO 2023 Table 49 Raw'!H29</f>
        <v>58.029797000000002</v>
      </c>
      <c r="F39" s="98">
        <f>'AEO 2023 Table 49 Raw'!I29</f>
        <v>58.049156000000004</v>
      </c>
      <c r="G39" s="98">
        <f>'AEO 2023 Table 49 Raw'!J29</f>
        <v>58.503886999999999</v>
      </c>
      <c r="H39" s="98">
        <f>'AEO 2023 Table 49 Raw'!K29</f>
        <v>58.913939999999997</v>
      </c>
      <c r="I39" s="98">
        <f>'AEO 2023 Table 49 Raw'!L29</f>
        <v>59.350769</v>
      </c>
      <c r="J39" s="98">
        <f>'AEO 2023 Table 49 Raw'!M29</f>
        <v>59.713520000000003</v>
      </c>
      <c r="K39" s="98">
        <f>'AEO 2023 Table 49 Raw'!N29</f>
        <v>60.134556000000003</v>
      </c>
      <c r="L39" s="98">
        <f>'AEO 2023 Table 49 Raw'!O29</f>
        <v>60.628036000000002</v>
      </c>
      <c r="M39" s="98">
        <f>'AEO 2023 Table 49 Raw'!P29</f>
        <v>61.368358999999998</v>
      </c>
      <c r="N39" s="98">
        <f>'AEO 2023 Table 49 Raw'!Q29</f>
        <v>61.992427999999997</v>
      </c>
      <c r="O39" s="98">
        <f>'AEO 2023 Table 49 Raw'!R29</f>
        <v>62.493834999999997</v>
      </c>
      <c r="P39" s="98">
        <f>'AEO 2023 Table 49 Raw'!S29</f>
        <v>63.075363000000003</v>
      </c>
      <c r="Q39" s="98">
        <f>'AEO 2023 Table 49 Raw'!T29</f>
        <v>63.577190000000002</v>
      </c>
      <c r="R39" s="98">
        <f>'AEO 2023 Table 49 Raw'!U29</f>
        <v>64.315276999999995</v>
      </c>
      <c r="S39" s="98">
        <f>'AEO 2023 Table 49 Raw'!V29</f>
        <v>65.015548999999993</v>
      </c>
      <c r="T39" s="98">
        <f>'AEO 2023 Table 49 Raw'!W29</f>
        <v>65.703140000000005</v>
      </c>
      <c r="U39" s="98">
        <f>'AEO 2023 Table 49 Raw'!X29</f>
        <v>66.439789000000005</v>
      </c>
      <c r="V39" s="98">
        <f>'AEO 2023 Table 49 Raw'!Y29</f>
        <v>67.153098999999997</v>
      </c>
      <c r="W39" s="98">
        <f>'AEO 2023 Table 49 Raw'!Z29</f>
        <v>67.914848000000006</v>
      </c>
      <c r="X39" s="98">
        <f>'AEO 2023 Table 49 Raw'!AA29</f>
        <v>68.703293000000002</v>
      </c>
      <c r="Y39" s="98">
        <f>'AEO 2023 Table 49 Raw'!AB29</f>
        <v>69.483185000000006</v>
      </c>
      <c r="Z39" s="98">
        <f>'AEO 2023 Table 49 Raw'!AC29</f>
        <v>70.217613</v>
      </c>
      <c r="AA39" s="98">
        <f>'AEO 2023 Table 49 Raw'!AD29</f>
        <v>70.96611</v>
      </c>
      <c r="AB39" s="98">
        <f>'AEO 2023 Table 49 Raw'!AE29</f>
        <v>71.697151000000005</v>
      </c>
      <c r="AC39" s="98">
        <f>'AEO 2023 Table 49 Raw'!AF29</f>
        <v>72.411263000000005</v>
      </c>
      <c r="AD39" s="98">
        <f>'AEO 2023 Table 49 Raw'!AG29</f>
        <v>73.264426999999998</v>
      </c>
      <c r="AE39" s="98">
        <f>'AEO 2023 Table 49 Raw'!AH29</f>
        <v>74.191055000000006</v>
      </c>
      <c r="AF39" s="99">
        <f>'AEO 2023 Table 49 Raw'!AI29</f>
        <v>8.0000000000000002E-3</v>
      </c>
    </row>
    <row r="40" spans="1:32" ht="12" customHeight="1">
      <c r="B40" s="15" t="s">
        <v>766</v>
      </c>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30"/>
    </row>
    <row r="41" spans="1:32" ht="12" customHeight="1">
      <c r="A41" s="7" t="s">
        <v>767</v>
      </c>
      <c r="B41" s="16" t="s">
        <v>736</v>
      </c>
      <c r="C41" s="18">
        <f>'AEO 2023 Table 49 Raw'!F31</f>
        <v>184.60037199999999</v>
      </c>
      <c r="D41" s="18">
        <f>'AEO 2023 Table 49 Raw'!G31</f>
        <v>181.659302</v>
      </c>
      <c r="E41" s="18">
        <f>'AEO 2023 Table 49 Raw'!H31</f>
        <v>179.33776900000001</v>
      </c>
      <c r="F41" s="18">
        <f>'AEO 2023 Table 49 Raw'!I31</f>
        <v>179.120193</v>
      </c>
      <c r="G41" s="18">
        <f>'AEO 2023 Table 49 Raw'!J31</f>
        <v>180.21894800000001</v>
      </c>
      <c r="H41" s="18">
        <f>'AEO 2023 Table 49 Raw'!K31</f>
        <v>181.00943000000001</v>
      </c>
      <c r="I41" s="18">
        <f>'AEO 2023 Table 49 Raw'!L31</f>
        <v>181.60069300000001</v>
      </c>
      <c r="J41" s="18">
        <f>'AEO 2023 Table 49 Raw'!M31</f>
        <v>181.741882</v>
      </c>
      <c r="K41" s="18">
        <f>'AEO 2023 Table 49 Raw'!N31</f>
        <v>181.81384299999999</v>
      </c>
      <c r="L41" s="18">
        <f>'AEO 2023 Table 49 Raw'!O31</f>
        <v>181.88819899999999</v>
      </c>
      <c r="M41" s="18">
        <f>'AEO 2023 Table 49 Raw'!P31</f>
        <v>182.31565900000001</v>
      </c>
      <c r="N41" s="18">
        <f>'AEO 2023 Table 49 Raw'!Q31</f>
        <v>182.31204199999999</v>
      </c>
      <c r="O41" s="18">
        <f>'AEO 2023 Table 49 Raw'!R31</f>
        <v>181.79646299999999</v>
      </c>
      <c r="P41" s="18">
        <f>'AEO 2023 Table 49 Raw'!S31</f>
        <v>181.348389</v>
      </c>
      <c r="Q41" s="18">
        <f>'AEO 2023 Table 49 Raw'!T31</f>
        <v>180.57669100000001</v>
      </c>
      <c r="R41" s="18">
        <f>'AEO 2023 Table 49 Raw'!U31</f>
        <v>180.37922699999999</v>
      </c>
      <c r="S41" s="18">
        <f>'AEO 2023 Table 49 Raw'!V31</f>
        <v>180.30328399999999</v>
      </c>
      <c r="T41" s="18">
        <f>'AEO 2023 Table 49 Raw'!W31</f>
        <v>180.01679999999999</v>
      </c>
      <c r="U41" s="18">
        <f>'AEO 2023 Table 49 Raw'!X31</f>
        <v>179.91267400000001</v>
      </c>
      <c r="V41" s="18">
        <f>'AEO 2023 Table 49 Raw'!Y31</f>
        <v>179.668015</v>
      </c>
      <c r="W41" s="18">
        <f>'AEO 2023 Table 49 Raw'!Z31</f>
        <v>179.53393600000001</v>
      </c>
      <c r="X41" s="18">
        <f>'AEO 2023 Table 49 Raw'!AA31</f>
        <v>179.28070099999999</v>
      </c>
      <c r="Y41" s="18">
        <f>'AEO 2023 Table 49 Raw'!AB31</f>
        <v>178.90154999999999</v>
      </c>
      <c r="Z41" s="18">
        <f>'AEO 2023 Table 49 Raw'!AC31</f>
        <v>178.38395700000001</v>
      </c>
      <c r="AA41" s="18">
        <f>'AEO 2023 Table 49 Raw'!AD31</f>
        <v>177.84689299999999</v>
      </c>
      <c r="AB41" s="18">
        <f>'AEO 2023 Table 49 Raw'!AE31</f>
        <v>177.18598900000001</v>
      </c>
      <c r="AC41" s="18">
        <f>'AEO 2023 Table 49 Raw'!AF31</f>
        <v>176.449005</v>
      </c>
      <c r="AD41" s="18">
        <f>'AEO 2023 Table 49 Raw'!AG31</f>
        <v>176.03950499999999</v>
      </c>
      <c r="AE41" s="18">
        <f>'AEO 2023 Table 49 Raw'!AH31</f>
        <v>175.83848599999999</v>
      </c>
      <c r="AF41" s="30">
        <f>'AEO 2023 Table 49 Raw'!AI31</f>
        <v>-2E-3</v>
      </c>
    </row>
    <row r="42" spans="1:32" ht="12" customHeight="1">
      <c r="A42" s="7" t="s">
        <v>768</v>
      </c>
      <c r="B42" s="16" t="s">
        <v>738</v>
      </c>
      <c r="C42" s="18">
        <f>'AEO 2023 Table 49 Raw'!F32</f>
        <v>0.17738300000000001</v>
      </c>
      <c r="D42" s="18">
        <f>'AEO 2023 Table 49 Raw'!G32</f>
        <v>0.17443600000000001</v>
      </c>
      <c r="E42" s="18">
        <f>'AEO 2023 Table 49 Raw'!H32</f>
        <v>0.17478399999999999</v>
      </c>
      <c r="F42" s="18">
        <f>'AEO 2023 Table 49 Raw'!I32</f>
        <v>0.17882700000000001</v>
      </c>
      <c r="G42" s="18">
        <f>'AEO 2023 Table 49 Raw'!J32</f>
        <v>0.18665300000000001</v>
      </c>
      <c r="H42" s="18">
        <f>'AEO 2023 Table 49 Raw'!K32</f>
        <v>0.19601199999999999</v>
      </c>
      <c r="I42" s="18">
        <f>'AEO 2023 Table 49 Raw'!L32</f>
        <v>0.20597799999999999</v>
      </c>
      <c r="J42" s="18">
        <f>'AEO 2023 Table 49 Raw'!M32</f>
        <v>0.21579200000000001</v>
      </c>
      <c r="K42" s="18">
        <f>'AEO 2023 Table 49 Raw'!N32</f>
        <v>0.226576</v>
      </c>
      <c r="L42" s="18">
        <f>'AEO 2023 Table 49 Raw'!O32</f>
        <v>0.237146</v>
      </c>
      <c r="M42" s="18">
        <f>'AEO 2023 Table 49 Raw'!P32</f>
        <v>0.247638</v>
      </c>
      <c r="N42" s="18">
        <f>'AEO 2023 Table 49 Raw'!Q32</f>
        <v>0.25715700000000002</v>
      </c>
      <c r="O42" s="18">
        <f>'AEO 2023 Table 49 Raw'!R32</f>
        <v>0.26541300000000001</v>
      </c>
      <c r="P42" s="18">
        <f>'AEO 2023 Table 49 Raw'!S32</f>
        <v>0.27308100000000002</v>
      </c>
      <c r="Q42" s="18">
        <f>'AEO 2023 Table 49 Raw'!T32</f>
        <v>0.27896799999999999</v>
      </c>
      <c r="R42" s="18">
        <f>'AEO 2023 Table 49 Raw'!U32</f>
        <v>0.284694</v>
      </c>
      <c r="S42" s="18">
        <f>'AEO 2023 Table 49 Raw'!V32</f>
        <v>0.28928999999999999</v>
      </c>
      <c r="T42" s="18">
        <f>'AEO 2023 Table 49 Raw'!W32</f>
        <v>0.29280400000000001</v>
      </c>
      <c r="U42" s="18">
        <f>'AEO 2023 Table 49 Raw'!X32</f>
        <v>0.296269</v>
      </c>
      <c r="V42" s="18">
        <f>'AEO 2023 Table 49 Raw'!Y32</f>
        <v>0.29911900000000002</v>
      </c>
      <c r="W42" s="18">
        <f>'AEO 2023 Table 49 Raw'!Z32</f>
        <v>0.30070000000000002</v>
      </c>
      <c r="X42" s="18">
        <f>'AEO 2023 Table 49 Raw'!AA32</f>
        <v>0.30173499999999998</v>
      </c>
      <c r="Y42" s="18">
        <f>'AEO 2023 Table 49 Raw'!AB32</f>
        <v>0.30324099999999998</v>
      </c>
      <c r="Z42" s="18">
        <f>'AEO 2023 Table 49 Raw'!AC32</f>
        <v>0.30465999999999999</v>
      </c>
      <c r="AA42" s="18">
        <f>'AEO 2023 Table 49 Raw'!AD32</f>
        <v>0.30624899999999999</v>
      </c>
      <c r="AB42" s="18">
        <f>'AEO 2023 Table 49 Raw'!AE32</f>
        <v>0.30773899999999998</v>
      </c>
      <c r="AC42" s="18">
        <f>'AEO 2023 Table 49 Raw'!AF32</f>
        <v>0.309114</v>
      </c>
      <c r="AD42" s="18">
        <f>'AEO 2023 Table 49 Raw'!AG32</f>
        <v>0.310919</v>
      </c>
      <c r="AE42" s="18">
        <f>'AEO 2023 Table 49 Raw'!AH32</f>
        <v>0.31297900000000001</v>
      </c>
      <c r="AF42" s="30">
        <f>'AEO 2023 Table 49 Raw'!AI32</f>
        <v>0.02</v>
      </c>
    </row>
    <row r="43" spans="1:32" ht="12" customHeight="1">
      <c r="A43" s="7" t="s">
        <v>769</v>
      </c>
      <c r="B43" s="16" t="s">
        <v>382</v>
      </c>
      <c r="C43" s="18">
        <f>'AEO 2023 Table 49 Raw'!F33</f>
        <v>2.7491999999999999E-2</v>
      </c>
      <c r="D43" s="18">
        <f>'AEO 2023 Table 49 Raw'!G33</f>
        <v>2.9336000000000001E-2</v>
      </c>
      <c r="E43" s="18">
        <f>'AEO 2023 Table 49 Raw'!H33</f>
        <v>3.1071000000000001E-2</v>
      </c>
      <c r="F43" s="18">
        <f>'AEO 2023 Table 49 Raw'!I33</f>
        <v>3.2966000000000002E-2</v>
      </c>
      <c r="G43" s="18">
        <f>'AEO 2023 Table 49 Raw'!J33</f>
        <v>3.4987999999999998E-2</v>
      </c>
      <c r="H43" s="18">
        <f>'AEO 2023 Table 49 Raw'!K33</f>
        <v>3.6720000000000003E-2</v>
      </c>
      <c r="I43" s="18">
        <f>'AEO 2023 Table 49 Raw'!L33</f>
        <v>3.8114000000000002E-2</v>
      </c>
      <c r="J43" s="18">
        <f>'AEO 2023 Table 49 Raw'!M33</f>
        <v>3.9049E-2</v>
      </c>
      <c r="K43" s="18">
        <f>'AEO 2023 Table 49 Raw'!N33</f>
        <v>3.9738999999999997E-2</v>
      </c>
      <c r="L43" s="18">
        <f>'AEO 2023 Table 49 Raw'!O33</f>
        <v>4.0235E-2</v>
      </c>
      <c r="M43" s="18">
        <f>'AEO 2023 Table 49 Raw'!P33</f>
        <v>4.0661000000000003E-2</v>
      </c>
      <c r="N43" s="18">
        <f>'AEO 2023 Table 49 Raw'!Q33</f>
        <v>4.104E-2</v>
      </c>
      <c r="O43" s="18">
        <f>'AEO 2023 Table 49 Raw'!R33</f>
        <v>4.1381000000000001E-2</v>
      </c>
      <c r="P43" s="18">
        <f>'AEO 2023 Table 49 Raw'!S33</f>
        <v>4.1751000000000003E-2</v>
      </c>
      <c r="Q43" s="18">
        <f>'AEO 2023 Table 49 Raw'!T33</f>
        <v>4.1957000000000001E-2</v>
      </c>
      <c r="R43" s="18">
        <f>'AEO 2023 Table 49 Raw'!U33</f>
        <v>4.2249000000000002E-2</v>
      </c>
      <c r="S43" s="18">
        <f>'AEO 2023 Table 49 Raw'!V33</f>
        <v>4.2424999999999997E-2</v>
      </c>
      <c r="T43" s="18">
        <f>'AEO 2023 Table 49 Raw'!W33</f>
        <v>4.2535999999999997E-2</v>
      </c>
      <c r="U43" s="18">
        <f>'AEO 2023 Table 49 Raw'!X33</f>
        <v>4.2664000000000001E-2</v>
      </c>
      <c r="V43" s="18">
        <f>'AEO 2023 Table 49 Raw'!Y33</f>
        <v>4.2823E-2</v>
      </c>
      <c r="W43" s="18">
        <f>'AEO 2023 Table 49 Raw'!Z33</f>
        <v>4.2963000000000001E-2</v>
      </c>
      <c r="X43" s="18">
        <f>'AEO 2023 Table 49 Raw'!AA33</f>
        <v>4.3061000000000002E-2</v>
      </c>
      <c r="Y43" s="18">
        <f>'AEO 2023 Table 49 Raw'!AB33</f>
        <v>4.3122000000000001E-2</v>
      </c>
      <c r="Z43" s="18">
        <f>'AEO 2023 Table 49 Raw'!AC33</f>
        <v>4.3159000000000003E-2</v>
      </c>
      <c r="AA43" s="18">
        <f>'AEO 2023 Table 49 Raw'!AD33</f>
        <v>4.3212E-2</v>
      </c>
      <c r="AB43" s="18">
        <f>'AEO 2023 Table 49 Raw'!AE33</f>
        <v>4.3248000000000002E-2</v>
      </c>
      <c r="AC43" s="18">
        <f>'AEO 2023 Table 49 Raw'!AF33</f>
        <v>4.3262000000000002E-2</v>
      </c>
      <c r="AD43" s="18">
        <f>'AEO 2023 Table 49 Raw'!AG33</f>
        <v>4.3311000000000002E-2</v>
      </c>
      <c r="AE43" s="18">
        <f>'AEO 2023 Table 49 Raw'!AH33</f>
        <v>4.3357E-2</v>
      </c>
      <c r="AF43" s="30">
        <f>'AEO 2023 Table 49 Raw'!AI33</f>
        <v>1.6E-2</v>
      </c>
    </row>
    <row r="44" spans="1:32" ht="12" customHeight="1">
      <c r="A44" s="7" t="s">
        <v>770</v>
      </c>
      <c r="B44" s="16" t="s">
        <v>741</v>
      </c>
      <c r="C44" s="18">
        <f>'AEO 2023 Table 49 Raw'!F34</f>
        <v>2.1400009999999998</v>
      </c>
      <c r="D44" s="18">
        <f>'AEO 2023 Table 49 Raw'!G34</f>
        <v>2.1557870000000001</v>
      </c>
      <c r="E44" s="18">
        <f>'AEO 2023 Table 49 Raw'!H34</f>
        <v>2.1666439999999998</v>
      </c>
      <c r="F44" s="18">
        <f>'AEO 2023 Table 49 Raw'!I34</f>
        <v>2.1866439999999998</v>
      </c>
      <c r="G44" s="18">
        <f>'AEO 2023 Table 49 Raw'!J34</f>
        <v>2.2050589999999999</v>
      </c>
      <c r="H44" s="18">
        <f>'AEO 2023 Table 49 Raw'!K34</f>
        <v>2.2023570000000001</v>
      </c>
      <c r="I44" s="18">
        <f>'AEO 2023 Table 49 Raw'!L34</f>
        <v>2.1771889999999998</v>
      </c>
      <c r="J44" s="18">
        <f>'AEO 2023 Table 49 Raw'!M34</f>
        <v>2.1333489999999999</v>
      </c>
      <c r="K44" s="18">
        <f>'AEO 2023 Table 49 Raw'!N34</f>
        <v>2.0832540000000002</v>
      </c>
      <c r="L44" s="18">
        <f>'AEO 2023 Table 49 Raw'!O34</f>
        <v>2.037004</v>
      </c>
      <c r="M44" s="18">
        <f>'AEO 2023 Table 49 Raw'!P34</f>
        <v>2.005252</v>
      </c>
      <c r="N44" s="18">
        <f>'AEO 2023 Table 49 Raw'!Q34</f>
        <v>1.9869589999999999</v>
      </c>
      <c r="O44" s="18">
        <f>'AEO 2023 Table 49 Raw'!R34</f>
        <v>1.982839</v>
      </c>
      <c r="P44" s="18">
        <f>'AEO 2023 Table 49 Raw'!S34</f>
        <v>1.9954099999999999</v>
      </c>
      <c r="Q44" s="18">
        <f>'AEO 2023 Table 49 Raw'!T34</f>
        <v>2.017182</v>
      </c>
      <c r="R44" s="18">
        <f>'AEO 2023 Table 49 Raw'!U34</f>
        <v>2.0574680000000001</v>
      </c>
      <c r="S44" s="18">
        <f>'AEO 2023 Table 49 Raw'!V34</f>
        <v>2.110242</v>
      </c>
      <c r="T44" s="18">
        <f>'AEO 2023 Table 49 Raw'!W34</f>
        <v>2.1724429999999999</v>
      </c>
      <c r="U44" s="18">
        <f>'AEO 2023 Table 49 Raw'!X34</f>
        <v>2.2483599999999999</v>
      </c>
      <c r="V44" s="18">
        <f>'AEO 2023 Table 49 Raw'!Y34</f>
        <v>2.33386</v>
      </c>
      <c r="W44" s="18">
        <f>'AEO 2023 Table 49 Raw'!Z34</f>
        <v>2.4286789999999998</v>
      </c>
      <c r="X44" s="18">
        <f>'AEO 2023 Table 49 Raw'!AA34</f>
        <v>2.5310320000000002</v>
      </c>
      <c r="Y44" s="18">
        <f>'AEO 2023 Table 49 Raw'!AB34</f>
        <v>2.6404960000000002</v>
      </c>
      <c r="Z44" s="18">
        <f>'AEO 2023 Table 49 Raw'!AC34</f>
        <v>2.7555730000000001</v>
      </c>
      <c r="AA44" s="18">
        <f>'AEO 2023 Table 49 Raw'!AD34</f>
        <v>2.8782350000000001</v>
      </c>
      <c r="AB44" s="18">
        <f>'AEO 2023 Table 49 Raw'!AE34</f>
        <v>3.0066389999999998</v>
      </c>
      <c r="AC44" s="18">
        <f>'AEO 2023 Table 49 Raw'!AF34</f>
        <v>3.1391810000000002</v>
      </c>
      <c r="AD44" s="18">
        <f>'AEO 2023 Table 49 Raw'!AG34</f>
        <v>3.284789</v>
      </c>
      <c r="AE44" s="18">
        <f>'AEO 2023 Table 49 Raw'!AH34</f>
        <v>3.442669</v>
      </c>
      <c r="AF44" s="30">
        <f>'AEO 2023 Table 49 Raw'!AI34</f>
        <v>1.7000000000000001E-2</v>
      </c>
    </row>
    <row r="45" spans="1:32" ht="12" customHeight="1">
      <c r="A45" s="7" t="s">
        <v>771</v>
      </c>
      <c r="B45" s="16" t="s">
        <v>743</v>
      </c>
      <c r="C45" s="18">
        <f>'AEO 2023 Table 49 Raw'!F35</f>
        <v>0</v>
      </c>
      <c r="D45" s="18">
        <f>'AEO 2023 Table 49 Raw'!G35</f>
        <v>0</v>
      </c>
      <c r="E45" s="18">
        <f>'AEO 2023 Table 49 Raw'!H35</f>
        <v>0</v>
      </c>
      <c r="F45" s="18">
        <f>'AEO 2023 Table 49 Raw'!I35</f>
        <v>0</v>
      </c>
      <c r="G45" s="18">
        <f>'AEO 2023 Table 49 Raw'!J35</f>
        <v>0</v>
      </c>
      <c r="H45" s="18">
        <f>'AEO 2023 Table 49 Raw'!K35</f>
        <v>0</v>
      </c>
      <c r="I45" s="18">
        <f>'AEO 2023 Table 49 Raw'!L35</f>
        <v>0</v>
      </c>
      <c r="J45" s="18">
        <f>'AEO 2023 Table 49 Raw'!M35</f>
        <v>0</v>
      </c>
      <c r="K45" s="18">
        <f>'AEO 2023 Table 49 Raw'!N35</f>
        <v>0</v>
      </c>
      <c r="L45" s="18">
        <f>'AEO 2023 Table 49 Raw'!O35</f>
        <v>0</v>
      </c>
      <c r="M45" s="18">
        <f>'AEO 2023 Table 49 Raw'!P35</f>
        <v>0</v>
      </c>
      <c r="N45" s="18">
        <f>'AEO 2023 Table 49 Raw'!Q35</f>
        <v>0</v>
      </c>
      <c r="O45" s="18">
        <f>'AEO 2023 Table 49 Raw'!R35</f>
        <v>0</v>
      </c>
      <c r="P45" s="18">
        <f>'AEO 2023 Table 49 Raw'!S35</f>
        <v>0</v>
      </c>
      <c r="Q45" s="18">
        <f>'AEO 2023 Table 49 Raw'!T35</f>
        <v>0</v>
      </c>
      <c r="R45" s="18">
        <f>'AEO 2023 Table 49 Raw'!U35</f>
        <v>0</v>
      </c>
      <c r="S45" s="18">
        <f>'AEO 2023 Table 49 Raw'!V35</f>
        <v>0</v>
      </c>
      <c r="T45" s="18">
        <f>'AEO 2023 Table 49 Raw'!W35</f>
        <v>0</v>
      </c>
      <c r="U45" s="18">
        <f>'AEO 2023 Table 49 Raw'!X35</f>
        <v>0</v>
      </c>
      <c r="V45" s="18">
        <f>'AEO 2023 Table 49 Raw'!Y35</f>
        <v>0</v>
      </c>
      <c r="W45" s="18">
        <f>'AEO 2023 Table 49 Raw'!Z35</f>
        <v>0</v>
      </c>
      <c r="X45" s="18">
        <f>'AEO 2023 Table 49 Raw'!AA35</f>
        <v>0</v>
      </c>
      <c r="Y45" s="18">
        <f>'AEO 2023 Table 49 Raw'!AB35</f>
        <v>0</v>
      </c>
      <c r="Z45" s="18">
        <f>'AEO 2023 Table 49 Raw'!AC35</f>
        <v>0</v>
      </c>
      <c r="AA45" s="18">
        <f>'AEO 2023 Table 49 Raw'!AD35</f>
        <v>0</v>
      </c>
      <c r="AB45" s="18">
        <f>'AEO 2023 Table 49 Raw'!AE35</f>
        <v>0</v>
      </c>
      <c r="AC45" s="18">
        <f>'AEO 2023 Table 49 Raw'!AF35</f>
        <v>0</v>
      </c>
      <c r="AD45" s="18">
        <f>'AEO 2023 Table 49 Raw'!AG35</f>
        <v>0</v>
      </c>
      <c r="AE45" s="18">
        <f>'AEO 2023 Table 49 Raw'!AH35</f>
        <v>0</v>
      </c>
      <c r="AF45" s="30" t="str">
        <f>'AEO 2023 Table 49 Raw'!AI35</f>
        <v>- -</v>
      </c>
    </row>
    <row r="46" spans="1:32" ht="12" customHeight="1">
      <c r="A46" s="7" t="s">
        <v>772</v>
      </c>
      <c r="B46" s="16" t="s">
        <v>745</v>
      </c>
      <c r="C46" s="18">
        <f>'AEO 2023 Table 49 Raw'!F36</f>
        <v>4.2389999999999997E-3</v>
      </c>
      <c r="D46" s="18">
        <f>'AEO 2023 Table 49 Raw'!G36</f>
        <v>4.8370000000000002E-3</v>
      </c>
      <c r="E46" s="18">
        <f>'AEO 2023 Table 49 Raw'!H36</f>
        <v>5.3550000000000004E-3</v>
      </c>
      <c r="F46" s="18">
        <f>'AEO 2023 Table 49 Raw'!I36</f>
        <v>5.8450000000000004E-3</v>
      </c>
      <c r="G46" s="18">
        <f>'AEO 2023 Table 49 Raw'!J36</f>
        <v>6.2740000000000001E-3</v>
      </c>
      <c r="H46" s="18">
        <f>'AEO 2023 Table 49 Raw'!K36</f>
        <v>6.5900000000000004E-3</v>
      </c>
      <c r="I46" s="18">
        <f>'AEO 2023 Table 49 Raw'!L36</f>
        <v>6.7970000000000001E-3</v>
      </c>
      <c r="J46" s="18">
        <f>'AEO 2023 Table 49 Raw'!M36</f>
        <v>6.8970000000000004E-3</v>
      </c>
      <c r="K46" s="18">
        <f>'AEO 2023 Table 49 Raw'!N36</f>
        <v>6.9160000000000003E-3</v>
      </c>
      <c r="L46" s="18">
        <f>'AEO 2023 Table 49 Raw'!O36</f>
        <v>6.8609999999999999E-3</v>
      </c>
      <c r="M46" s="18">
        <f>'AEO 2023 Table 49 Raw'!P36</f>
        <v>6.7429999999999999E-3</v>
      </c>
      <c r="N46" s="18">
        <f>'AEO 2023 Table 49 Raw'!Q36</f>
        <v>6.5449999999999996E-3</v>
      </c>
      <c r="O46" s="18">
        <f>'AEO 2023 Table 49 Raw'!R36</f>
        <v>6.2859999999999999E-3</v>
      </c>
      <c r="P46" s="18">
        <f>'AEO 2023 Table 49 Raw'!S36</f>
        <v>6.0010000000000003E-3</v>
      </c>
      <c r="Q46" s="18">
        <f>'AEO 2023 Table 49 Raw'!T36</f>
        <v>5.6860000000000001E-3</v>
      </c>
      <c r="R46" s="18">
        <f>'AEO 2023 Table 49 Raw'!U36</f>
        <v>5.3920000000000001E-3</v>
      </c>
      <c r="S46" s="18">
        <f>'AEO 2023 Table 49 Raw'!V36</f>
        <v>5.1000000000000004E-3</v>
      </c>
      <c r="T46" s="18">
        <f>'AEO 2023 Table 49 Raw'!W36</f>
        <v>4.7580000000000001E-3</v>
      </c>
      <c r="U46" s="18">
        <f>'AEO 2023 Table 49 Raw'!X36</f>
        <v>4.4060000000000002E-3</v>
      </c>
      <c r="V46" s="18">
        <f>'AEO 2023 Table 49 Raw'!Y36</f>
        <v>4.1019999999999997E-3</v>
      </c>
      <c r="W46" s="18">
        <f>'AEO 2023 Table 49 Raw'!Z36</f>
        <v>3.8579999999999999E-3</v>
      </c>
      <c r="X46" s="18">
        <f>'AEO 2023 Table 49 Raw'!AA36</f>
        <v>3.6110000000000001E-3</v>
      </c>
      <c r="Y46" s="18">
        <f>'AEO 2023 Table 49 Raw'!AB36</f>
        <v>3.3869999999999998E-3</v>
      </c>
      <c r="Z46" s="18">
        <f>'AEO 2023 Table 49 Raw'!AC36</f>
        <v>3.1779999999999998E-3</v>
      </c>
      <c r="AA46" s="18">
        <f>'AEO 2023 Table 49 Raw'!AD36</f>
        <v>2.9849999999999998E-3</v>
      </c>
      <c r="AB46" s="18">
        <f>'AEO 2023 Table 49 Raw'!AE36</f>
        <v>2.807E-3</v>
      </c>
      <c r="AC46" s="18">
        <f>'AEO 2023 Table 49 Raw'!AF36</f>
        <v>2.64E-3</v>
      </c>
      <c r="AD46" s="18">
        <f>'AEO 2023 Table 49 Raw'!AG36</f>
        <v>2.4889999999999999E-3</v>
      </c>
      <c r="AE46" s="18">
        <f>'AEO 2023 Table 49 Raw'!AH36</f>
        <v>2.3509999999999998E-3</v>
      </c>
      <c r="AF46" s="30">
        <f>'AEO 2023 Table 49 Raw'!AI36</f>
        <v>-2.1000000000000001E-2</v>
      </c>
    </row>
    <row r="47" spans="1:32" ht="12" customHeight="1">
      <c r="A47" s="7" t="s">
        <v>773</v>
      </c>
      <c r="B47" s="16" t="s">
        <v>747</v>
      </c>
      <c r="C47" s="18">
        <f>'AEO 2023 Table 49 Raw'!F37</f>
        <v>0</v>
      </c>
      <c r="D47" s="18">
        <f>'AEO 2023 Table 49 Raw'!G37</f>
        <v>0</v>
      </c>
      <c r="E47" s="18">
        <f>'AEO 2023 Table 49 Raw'!H37</f>
        <v>1.047E-3</v>
      </c>
      <c r="F47" s="18">
        <f>'AEO 2023 Table 49 Raw'!I37</f>
        <v>2.127E-3</v>
      </c>
      <c r="G47" s="18">
        <f>'AEO 2023 Table 49 Raw'!J37</f>
        <v>3.241E-3</v>
      </c>
      <c r="H47" s="18">
        <f>'AEO 2023 Table 49 Raw'!K37</f>
        <v>4.3540000000000002E-3</v>
      </c>
      <c r="I47" s="18">
        <f>'AEO 2023 Table 49 Raw'!L37</f>
        <v>5.4720000000000003E-3</v>
      </c>
      <c r="J47" s="18">
        <f>'AEO 2023 Table 49 Raw'!M37</f>
        <v>6.5729999999999998E-3</v>
      </c>
      <c r="K47" s="18">
        <f>'AEO 2023 Table 49 Raw'!N37</f>
        <v>7.6629999999999997E-3</v>
      </c>
      <c r="L47" s="18">
        <f>'AEO 2023 Table 49 Raw'!O37</f>
        <v>8.7530000000000004E-3</v>
      </c>
      <c r="M47" s="18">
        <f>'AEO 2023 Table 49 Raw'!P37</f>
        <v>9.8750000000000001E-3</v>
      </c>
      <c r="N47" s="18">
        <f>'AEO 2023 Table 49 Raw'!Q37</f>
        <v>1.0983E-2</v>
      </c>
      <c r="O47" s="18">
        <f>'AEO 2023 Table 49 Raw'!R37</f>
        <v>1.2050999999999999E-2</v>
      </c>
      <c r="P47" s="18">
        <f>'AEO 2023 Table 49 Raw'!S37</f>
        <v>1.3096999999999999E-2</v>
      </c>
      <c r="Q47" s="18">
        <f>'AEO 2023 Table 49 Raw'!T37</f>
        <v>1.4095E-2</v>
      </c>
      <c r="R47" s="18">
        <f>'AEO 2023 Table 49 Raw'!U37</f>
        <v>1.511E-2</v>
      </c>
      <c r="S47" s="18">
        <f>'AEO 2023 Table 49 Raw'!V37</f>
        <v>1.6105000000000001E-2</v>
      </c>
      <c r="T47" s="18">
        <f>'AEO 2023 Table 49 Raw'!W37</f>
        <v>1.7072E-2</v>
      </c>
      <c r="U47" s="18">
        <f>'AEO 2023 Table 49 Raw'!X37</f>
        <v>1.8075000000000001E-2</v>
      </c>
      <c r="V47" s="18">
        <f>'AEO 2023 Table 49 Raw'!Y37</f>
        <v>1.9120000000000002E-2</v>
      </c>
      <c r="W47" s="18">
        <f>'AEO 2023 Table 49 Raw'!Z37</f>
        <v>2.0253E-2</v>
      </c>
      <c r="X47" s="18">
        <f>'AEO 2023 Table 49 Raw'!AA37</f>
        <v>2.1441000000000002E-2</v>
      </c>
      <c r="Y47" s="18">
        <f>'AEO 2023 Table 49 Raw'!AB37</f>
        <v>2.2678E-2</v>
      </c>
      <c r="Z47" s="18">
        <f>'AEO 2023 Table 49 Raw'!AC37</f>
        <v>2.3994000000000001E-2</v>
      </c>
      <c r="AA47" s="18">
        <f>'AEO 2023 Table 49 Raw'!AD37</f>
        <v>2.5464000000000001E-2</v>
      </c>
      <c r="AB47" s="18">
        <f>'AEO 2023 Table 49 Raw'!AE37</f>
        <v>2.7054000000000002E-2</v>
      </c>
      <c r="AC47" s="18">
        <f>'AEO 2023 Table 49 Raw'!AF37</f>
        <v>2.877E-2</v>
      </c>
      <c r="AD47" s="18">
        <f>'AEO 2023 Table 49 Raw'!AG37</f>
        <v>3.0686000000000001E-2</v>
      </c>
      <c r="AE47" s="18">
        <f>'AEO 2023 Table 49 Raw'!AH37</f>
        <v>3.2786000000000003E-2</v>
      </c>
      <c r="AF47" s="30" t="str">
        <f>'AEO 2023 Table 49 Raw'!AI37</f>
        <v>- -</v>
      </c>
    </row>
    <row r="48" spans="1:32" ht="12" customHeight="1">
      <c r="A48" s="7" t="s">
        <v>774</v>
      </c>
      <c r="B48" s="16" t="s">
        <v>749</v>
      </c>
      <c r="C48" s="18">
        <f>'AEO 2023 Table 49 Raw'!F38</f>
        <v>0</v>
      </c>
      <c r="D48" s="18">
        <f>'AEO 2023 Table 49 Raw'!G38</f>
        <v>0</v>
      </c>
      <c r="E48" s="18">
        <f>'AEO 2023 Table 49 Raw'!H38</f>
        <v>2.3640000000000002E-3</v>
      </c>
      <c r="F48" s="18">
        <f>'AEO 2023 Table 49 Raw'!I38</f>
        <v>4.7369999999999999E-3</v>
      </c>
      <c r="G48" s="18">
        <f>'AEO 2023 Table 49 Raw'!J38</f>
        <v>7.1450000000000003E-3</v>
      </c>
      <c r="H48" s="18">
        <f>'AEO 2023 Table 49 Raw'!K38</f>
        <v>9.5219999999999992E-3</v>
      </c>
      <c r="I48" s="18">
        <f>'AEO 2023 Table 49 Raw'!L38</f>
        <v>1.1861E-2</v>
      </c>
      <c r="J48" s="18">
        <f>'AEO 2023 Table 49 Raw'!M38</f>
        <v>1.4121999999999999E-2</v>
      </c>
      <c r="K48" s="18">
        <f>'AEO 2023 Table 49 Raw'!N38</f>
        <v>1.6327000000000001E-2</v>
      </c>
      <c r="L48" s="18">
        <f>'AEO 2023 Table 49 Raw'!O38</f>
        <v>1.8509000000000001E-2</v>
      </c>
      <c r="M48" s="18">
        <f>'AEO 2023 Table 49 Raw'!P38</f>
        <v>2.0725E-2</v>
      </c>
      <c r="N48" s="18">
        <f>'AEO 2023 Table 49 Raw'!Q38</f>
        <v>2.2883000000000001E-2</v>
      </c>
      <c r="O48" s="18">
        <f>'AEO 2023 Table 49 Raw'!R38</f>
        <v>2.4927000000000001E-2</v>
      </c>
      <c r="P48" s="18">
        <f>'AEO 2023 Table 49 Raw'!S38</f>
        <v>2.6898999999999999E-2</v>
      </c>
      <c r="Q48" s="18">
        <f>'AEO 2023 Table 49 Raw'!T38</f>
        <v>2.8738E-2</v>
      </c>
      <c r="R48" s="18">
        <f>'AEO 2023 Table 49 Raw'!U38</f>
        <v>3.0574E-2</v>
      </c>
      <c r="S48" s="18">
        <f>'AEO 2023 Table 49 Raw'!V38</f>
        <v>3.2329999999999998E-2</v>
      </c>
      <c r="T48" s="18">
        <f>'AEO 2023 Table 49 Raw'!W38</f>
        <v>3.3996999999999999E-2</v>
      </c>
      <c r="U48" s="18">
        <f>'AEO 2023 Table 49 Raw'!X38</f>
        <v>3.5702999999999999E-2</v>
      </c>
      <c r="V48" s="18">
        <f>'AEO 2023 Table 49 Raw'!Y38</f>
        <v>3.7462000000000002E-2</v>
      </c>
      <c r="W48" s="18">
        <f>'AEO 2023 Table 49 Raw'!Z38</f>
        <v>3.9357000000000003E-2</v>
      </c>
      <c r="X48" s="18">
        <f>'AEO 2023 Table 49 Raw'!AA38</f>
        <v>4.1302999999999999E-2</v>
      </c>
      <c r="Y48" s="18">
        <f>'AEO 2023 Table 49 Raw'!AB38</f>
        <v>4.3270999999999997E-2</v>
      </c>
      <c r="Z48" s="18">
        <f>'AEO 2023 Table 49 Raw'!AC38</f>
        <v>4.5317999999999997E-2</v>
      </c>
      <c r="AA48" s="18">
        <f>'AEO 2023 Table 49 Raw'!AD38</f>
        <v>4.7577000000000001E-2</v>
      </c>
      <c r="AB48" s="18">
        <f>'AEO 2023 Table 49 Raw'!AE38</f>
        <v>4.9952000000000003E-2</v>
      </c>
      <c r="AC48" s="18">
        <f>'AEO 2023 Table 49 Raw'!AF38</f>
        <v>5.2423999999999998E-2</v>
      </c>
      <c r="AD48" s="18">
        <f>'AEO 2023 Table 49 Raw'!AG38</f>
        <v>5.5099000000000002E-2</v>
      </c>
      <c r="AE48" s="18">
        <f>'AEO 2023 Table 49 Raw'!AH38</f>
        <v>5.7922000000000001E-2</v>
      </c>
      <c r="AF48" s="30" t="str">
        <f>'AEO 2023 Table 49 Raw'!AI38</f>
        <v>- -</v>
      </c>
    </row>
    <row r="49" spans="1:32" ht="12" customHeight="1">
      <c r="A49" s="7" t="s">
        <v>775</v>
      </c>
      <c r="B49" s="16" t="s">
        <v>751</v>
      </c>
      <c r="C49" s="18">
        <f>'AEO 2023 Table 49 Raw'!F39</f>
        <v>0</v>
      </c>
      <c r="D49" s="18">
        <f>'AEO 2023 Table 49 Raw'!G39</f>
        <v>0</v>
      </c>
      <c r="E49" s="18">
        <f>'AEO 2023 Table 49 Raw'!H39</f>
        <v>5.7010000000000003E-3</v>
      </c>
      <c r="F49" s="18">
        <f>'AEO 2023 Table 49 Raw'!I39</f>
        <v>1.1606999999999999E-2</v>
      </c>
      <c r="G49" s="18">
        <f>'AEO 2023 Table 49 Raw'!J39</f>
        <v>1.7784000000000001E-2</v>
      </c>
      <c r="H49" s="18">
        <f>'AEO 2023 Table 49 Raw'!K39</f>
        <v>2.4011999999999999E-2</v>
      </c>
      <c r="I49" s="18">
        <f>'AEO 2023 Table 49 Raw'!L39</f>
        <v>3.0249999999999999E-2</v>
      </c>
      <c r="J49" s="18">
        <f>'AEO 2023 Table 49 Raw'!M39</f>
        <v>3.6382999999999999E-2</v>
      </c>
      <c r="K49" s="18">
        <f>'AEO 2023 Table 49 Raw'!N39</f>
        <v>4.2418999999999998E-2</v>
      </c>
      <c r="L49" s="18">
        <f>'AEO 2023 Table 49 Raw'!O39</f>
        <v>4.8391999999999998E-2</v>
      </c>
      <c r="M49" s="18">
        <f>'AEO 2023 Table 49 Raw'!P39</f>
        <v>5.4426000000000002E-2</v>
      </c>
      <c r="N49" s="18">
        <f>'AEO 2023 Table 49 Raw'!Q39</f>
        <v>6.0228999999999998E-2</v>
      </c>
      <c r="O49" s="18">
        <f>'AEO 2023 Table 49 Raw'!R39</f>
        <v>6.5667000000000003E-2</v>
      </c>
      <c r="P49" s="18">
        <f>'AEO 2023 Table 49 Raw'!S39</f>
        <v>7.0873000000000005E-2</v>
      </c>
      <c r="Q49" s="18">
        <f>'AEO 2023 Table 49 Raw'!T39</f>
        <v>7.5647000000000006E-2</v>
      </c>
      <c r="R49" s="18">
        <f>'AEO 2023 Table 49 Raw'!U39</f>
        <v>8.0312999999999996E-2</v>
      </c>
      <c r="S49" s="18">
        <f>'AEO 2023 Table 49 Raw'!V39</f>
        <v>8.4670999999999996E-2</v>
      </c>
      <c r="T49" s="18">
        <f>'AEO 2023 Table 49 Raw'!W39</f>
        <v>8.8666999999999996E-2</v>
      </c>
      <c r="U49" s="18">
        <f>'AEO 2023 Table 49 Raw'!X39</f>
        <v>9.2609999999999998E-2</v>
      </c>
      <c r="V49" s="18">
        <f>'AEO 2023 Table 49 Raw'!Y39</f>
        <v>9.6520999999999996E-2</v>
      </c>
      <c r="W49" s="18">
        <f>'AEO 2023 Table 49 Raw'!Z39</f>
        <v>0.100616</v>
      </c>
      <c r="X49" s="18">
        <f>'AEO 2023 Table 49 Raw'!AA39</f>
        <v>0.104708</v>
      </c>
      <c r="Y49" s="18">
        <f>'AEO 2023 Table 49 Raw'!AB39</f>
        <v>0.108751</v>
      </c>
      <c r="Z49" s="18">
        <f>'AEO 2023 Table 49 Raw'!AC39</f>
        <v>0.112911</v>
      </c>
      <c r="AA49" s="18">
        <f>'AEO 2023 Table 49 Raw'!AD39</f>
        <v>0.11756999999999999</v>
      </c>
      <c r="AB49" s="18">
        <f>'AEO 2023 Table 49 Raw'!AE39</f>
        <v>0.12256499999999999</v>
      </c>
      <c r="AC49" s="18">
        <f>'AEO 2023 Table 49 Raw'!AF39</f>
        <v>0.12792899999999999</v>
      </c>
      <c r="AD49" s="18">
        <f>'AEO 2023 Table 49 Raw'!AG39</f>
        <v>0.13400100000000001</v>
      </c>
      <c r="AE49" s="18">
        <f>'AEO 2023 Table 49 Raw'!AH39</f>
        <v>0.14074999999999999</v>
      </c>
      <c r="AF49" s="30" t="str">
        <f>'AEO 2023 Table 49 Raw'!AI39</f>
        <v>- -</v>
      </c>
    </row>
    <row r="50" spans="1:32" ht="15" customHeight="1">
      <c r="A50" s="7" t="s">
        <v>776</v>
      </c>
      <c r="B50" s="16" t="s">
        <v>777</v>
      </c>
      <c r="C50" s="18">
        <f>'AEO 2023 Table 49 Raw'!F40</f>
        <v>186.94918799999999</v>
      </c>
      <c r="D50" s="18">
        <f>'AEO 2023 Table 49 Raw'!G40</f>
        <v>184.02345299999999</v>
      </c>
      <c r="E50" s="18">
        <f>'AEO 2023 Table 49 Raw'!H40</f>
        <v>181.72447199999999</v>
      </c>
      <c r="F50" s="18">
        <f>'AEO 2023 Table 49 Raw'!I40</f>
        <v>181.54272499999999</v>
      </c>
      <c r="G50" s="18">
        <f>'AEO 2023 Table 49 Raw'!J40</f>
        <v>182.67984000000001</v>
      </c>
      <c r="H50" s="18">
        <f>'AEO 2023 Table 49 Raw'!K40</f>
        <v>183.488831</v>
      </c>
      <c r="I50" s="18">
        <f>'AEO 2023 Table 49 Raw'!L40</f>
        <v>184.07605000000001</v>
      </c>
      <c r="J50" s="18">
        <f>'AEO 2023 Table 49 Raw'!M40</f>
        <v>184.193726</v>
      </c>
      <c r="K50" s="18">
        <f>'AEO 2023 Table 49 Raw'!N40</f>
        <v>184.23619099999999</v>
      </c>
      <c r="L50" s="18">
        <f>'AEO 2023 Table 49 Raw'!O40</f>
        <v>184.284637</v>
      </c>
      <c r="M50" s="18">
        <f>'AEO 2023 Table 49 Raw'!P40</f>
        <v>184.70048499999999</v>
      </c>
      <c r="N50" s="18">
        <f>'AEO 2023 Table 49 Raw'!Q40</f>
        <v>184.697327</v>
      </c>
      <c r="O50" s="18">
        <f>'AEO 2023 Table 49 Raw'!R40</f>
        <v>184.19468699999999</v>
      </c>
      <c r="P50" s="18">
        <f>'AEO 2023 Table 49 Raw'!S40</f>
        <v>183.775024</v>
      </c>
      <c r="Q50" s="18">
        <f>'AEO 2023 Table 49 Raw'!T40</f>
        <v>183.03814700000001</v>
      </c>
      <c r="R50" s="18">
        <f>'AEO 2023 Table 49 Raw'!U40</f>
        <v>182.89442399999999</v>
      </c>
      <c r="S50" s="18">
        <f>'AEO 2023 Table 49 Raw'!V40</f>
        <v>182.88275100000001</v>
      </c>
      <c r="T50" s="18">
        <f>'AEO 2023 Table 49 Raw'!W40</f>
        <v>182.668274</v>
      </c>
      <c r="U50" s="18">
        <f>'AEO 2023 Table 49 Raw'!X40</f>
        <v>182.65016199999999</v>
      </c>
      <c r="V50" s="18">
        <f>'AEO 2023 Table 49 Raw'!Y40</f>
        <v>182.50058000000001</v>
      </c>
      <c r="W50" s="18">
        <f>'AEO 2023 Table 49 Raw'!Z40</f>
        <v>182.46910099999999</v>
      </c>
      <c r="X50" s="18">
        <f>'AEO 2023 Table 49 Raw'!AA40</f>
        <v>182.32656900000001</v>
      </c>
      <c r="Y50" s="18">
        <f>'AEO 2023 Table 49 Raw'!AB40</f>
        <v>182.065201</v>
      </c>
      <c r="Z50" s="18">
        <f>'AEO 2023 Table 49 Raw'!AC40</f>
        <v>181.671616</v>
      </c>
      <c r="AA50" s="18">
        <f>'AEO 2023 Table 49 Raw'!AD40</f>
        <v>181.266907</v>
      </c>
      <c r="AB50" s="18">
        <f>'AEO 2023 Table 49 Raw'!AE40</f>
        <v>180.744415</v>
      </c>
      <c r="AC50" s="18">
        <f>'AEO 2023 Table 49 Raw'!AF40</f>
        <v>180.15121500000001</v>
      </c>
      <c r="AD50" s="18">
        <f>'AEO 2023 Table 49 Raw'!AG40</f>
        <v>179.89952099999999</v>
      </c>
      <c r="AE50" s="18">
        <f>'AEO 2023 Table 49 Raw'!AH40</f>
        <v>179.86982699999999</v>
      </c>
      <c r="AF50" s="30">
        <f>'AEO 2023 Table 49 Raw'!AI40</f>
        <v>-1E-3</v>
      </c>
    </row>
    <row r="51" spans="1:32" ht="15" customHeight="1">
      <c r="A51" s="7" t="s">
        <v>778</v>
      </c>
      <c r="B51" s="15" t="s">
        <v>779</v>
      </c>
      <c r="C51" s="18">
        <f>'AEO 2023 Table 49 Raw'!F41</f>
        <v>321.95339999999999</v>
      </c>
      <c r="D51" s="18">
        <f>'AEO 2023 Table 49 Raw'!G41</f>
        <v>317.39248700000002</v>
      </c>
      <c r="E51" s="18">
        <f>'AEO 2023 Table 49 Raw'!H41</f>
        <v>314.48513800000001</v>
      </c>
      <c r="F51" s="18">
        <f>'AEO 2023 Table 49 Raw'!I41</f>
        <v>314.94528200000002</v>
      </c>
      <c r="G51" s="18">
        <f>'AEO 2023 Table 49 Raw'!J41</f>
        <v>317.255585</v>
      </c>
      <c r="H51" s="18">
        <f>'AEO 2023 Table 49 Raw'!K41</f>
        <v>318.78924599999999</v>
      </c>
      <c r="I51" s="18">
        <f>'AEO 2023 Table 49 Raw'!L41</f>
        <v>320.01522799999998</v>
      </c>
      <c r="J51" s="18">
        <f>'AEO 2023 Table 49 Raw'!M41</f>
        <v>320.71121199999999</v>
      </c>
      <c r="K51" s="18">
        <f>'AEO 2023 Table 49 Raw'!N41</f>
        <v>321.69329800000003</v>
      </c>
      <c r="L51" s="18">
        <f>'AEO 2023 Table 49 Raw'!O41</f>
        <v>323.025848</v>
      </c>
      <c r="M51" s="18">
        <f>'AEO 2023 Table 49 Raw'!P41</f>
        <v>325.34118699999999</v>
      </c>
      <c r="N51" s="18">
        <f>'AEO 2023 Table 49 Raw'!Q41</f>
        <v>327.113831</v>
      </c>
      <c r="O51" s="18">
        <f>'AEO 2023 Table 49 Raw'!R41</f>
        <v>328.192047</v>
      </c>
      <c r="P51" s="18">
        <f>'AEO 2023 Table 49 Raw'!S41</f>
        <v>329.51705900000002</v>
      </c>
      <c r="Q51" s="18">
        <f>'AEO 2023 Table 49 Raw'!T41</f>
        <v>330.28295900000001</v>
      </c>
      <c r="R51" s="18">
        <f>'AEO 2023 Table 49 Raw'!U41</f>
        <v>332.07742300000001</v>
      </c>
      <c r="S51" s="18">
        <f>'AEO 2023 Table 49 Raw'!V41</f>
        <v>333.92361499999998</v>
      </c>
      <c r="T51" s="18">
        <f>'AEO 2023 Table 49 Raw'!W41</f>
        <v>335.44903599999998</v>
      </c>
      <c r="U51" s="18">
        <f>'AEO 2023 Table 49 Raw'!X41</f>
        <v>337.36404399999998</v>
      </c>
      <c r="V51" s="18">
        <f>'AEO 2023 Table 49 Raw'!Y41</f>
        <v>339.16110200000003</v>
      </c>
      <c r="W51" s="18">
        <f>'AEO 2023 Table 49 Raw'!Z41</f>
        <v>341.21862800000002</v>
      </c>
      <c r="X51" s="18">
        <f>'AEO 2023 Table 49 Raw'!AA41</f>
        <v>343.15524299999998</v>
      </c>
      <c r="Y51" s="18">
        <f>'AEO 2023 Table 49 Raw'!AB41</f>
        <v>344.90252700000002</v>
      </c>
      <c r="Z51" s="18">
        <f>'AEO 2023 Table 49 Raw'!AC41</f>
        <v>346.50024400000001</v>
      </c>
      <c r="AA51" s="18">
        <f>'AEO 2023 Table 49 Raw'!AD41</f>
        <v>348.24490400000002</v>
      </c>
      <c r="AB51" s="18">
        <f>'AEO 2023 Table 49 Raw'!AE41</f>
        <v>349.90035999999998</v>
      </c>
      <c r="AC51" s="18">
        <f>'AEO 2023 Table 49 Raw'!AF41</f>
        <v>351.47170999999997</v>
      </c>
      <c r="AD51" s="18">
        <f>'AEO 2023 Table 49 Raw'!AG41</f>
        <v>353.64367700000003</v>
      </c>
      <c r="AE51" s="18">
        <f>'AEO 2023 Table 49 Raw'!AH41</f>
        <v>356.19241299999999</v>
      </c>
      <c r="AF51" s="30">
        <f>'AEO 2023 Table 49 Raw'!AI41</f>
        <v>4.0000000000000001E-3</v>
      </c>
    </row>
    <row r="52" spans="1:32" ht="15" customHeight="1">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30"/>
    </row>
    <row r="53" spans="1:32" ht="15" customHeight="1">
      <c r="B53" s="15" t="s">
        <v>780</v>
      </c>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30"/>
    </row>
    <row r="54" spans="1:32" ht="15" customHeight="1">
      <c r="B54" s="15" t="s">
        <v>734</v>
      </c>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30"/>
    </row>
    <row r="55" spans="1:32" ht="15" customHeight="1">
      <c r="A55" s="7" t="s">
        <v>781</v>
      </c>
      <c r="B55" s="16" t="s">
        <v>736</v>
      </c>
      <c r="C55" s="18">
        <f>'AEO 2023 Table 49 Raw'!F44</f>
        <v>505.03723100000002</v>
      </c>
      <c r="D55" s="18">
        <f>'AEO 2023 Table 49 Raw'!G44</f>
        <v>485.44491599999998</v>
      </c>
      <c r="E55" s="18">
        <f>'AEO 2023 Table 49 Raw'!H44</f>
        <v>469.56829800000003</v>
      </c>
      <c r="F55" s="18">
        <f>'AEO 2023 Table 49 Raw'!I44</f>
        <v>457.05853300000001</v>
      </c>
      <c r="G55" s="18">
        <f>'AEO 2023 Table 49 Raw'!J44</f>
        <v>445.32620200000002</v>
      </c>
      <c r="H55" s="18">
        <f>'AEO 2023 Table 49 Raw'!K44</f>
        <v>431.78775000000002</v>
      </c>
      <c r="I55" s="18">
        <f>'AEO 2023 Table 49 Raw'!L44</f>
        <v>418.97491500000001</v>
      </c>
      <c r="J55" s="18">
        <f>'AEO 2023 Table 49 Raw'!M44</f>
        <v>407.44158900000002</v>
      </c>
      <c r="K55" s="18">
        <f>'AEO 2023 Table 49 Raw'!N44</f>
        <v>398.90502900000001</v>
      </c>
      <c r="L55" s="18">
        <f>'AEO 2023 Table 49 Raw'!O44</f>
        <v>393.05145299999998</v>
      </c>
      <c r="M55" s="18">
        <f>'AEO 2023 Table 49 Raw'!P44</f>
        <v>389.76025399999997</v>
      </c>
      <c r="N55" s="18">
        <f>'AEO 2023 Table 49 Raw'!Q44</f>
        <v>387.04650900000001</v>
      </c>
      <c r="O55" s="18">
        <f>'AEO 2023 Table 49 Raw'!R44</f>
        <v>384.93383799999998</v>
      </c>
      <c r="P55" s="18">
        <f>'AEO 2023 Table 49 Raw'!S44</f>
        <v>383.96670499999999</v>
      </c>
      <c r="Q55" s="18">
        <f>'AEO 2023 Table 49 Raw'!T44</f>
        <v>382.68963600000001</v>
      </c>
      <c r="R55" s="18">
        <f>'AEO 2023 Table 49 Raw'!U44</f>
        <v>382.74392699999999</v>
      </c>
      <c r="S55" s="18">
        <f>'AEO 2023 Table 49 Raw'!V44</f>
        <v>383.16451999999998</v>
      </c>
      <c r="T55" s="18">
        <f>'AEO 2023 Table 49 Raw'!W44</f>
        <v>383.860657</v>
      </c>
      <c r="U55" s="18">
        <f>'AEO 2023 Table 49 Raw'!X44</f>
        <v>385.70626800000002</v>
      </c>
      <c r="V55" s="18">
        <f>'AEO 2023 Table 49 Raw'!Y44</f>
        <v>387.97345000000001</v>
      </c>
      <c r="W55" s="18">
        <f>'AEO 2023 Table 49 Raw'!Z44</f>
        <v>391.06152300000002</v>
      </c>
      <c r="X55" s="18">
        <f>'AEO 2023 Table 49 Raw'!AA44</f>
        <v>394.662262</v>
      </c>
      <c r="Y55" s="18">
        <f>'AEO 2023 Table 49 Raw'!AB44</f>
        <v>398.46346999999997</v>
      </c>
      <c r="Z55" s="18">
        <f>'AEO 2023 Table 49 Raw'!AC44</f>
        <v>402.75805700000001</v>
      </c>
      <c r="AA55" s="18">
        <f>'AEO 2023 Table 49 Raw'!AD44</f>
        <v>407.94180299999999</v>
      </c>
      <c r="AB55" s="18">
        <f>'AEO 2023 Table 49 Raw'!AE44</f>
        <v>413.58783</v>
      </c>
      <c r="AC55" s="18">
        <f>'AEO 2023 Table 49 Raw'!AF44</f>
        <v>419.52957199999997</v>
      </c>
      <c r="AD55" s="18">
        <f>'AEO 2023 Table 49 Raw'!AG44</f>
        <v>426.11764499999998</v>
      </c>
      <c r="AE55" s="18">
        <f>'AEO 2023 Table 49 Raw'!AH44</f>
        <v>433.09433000000001</v>
      </c>
      <c r="AF55" s="30">
        <f>'AEO 2023 Table 49 Raw'!AI44</f>
        <v>-5.0000000000000001E-3</v>
      </c>
    </row>
    <row r="56" spans="1:32" ht="15" customHeight="1">
      <c r="A56" s="7" t="s">
        <v>782</v>
      </c>
      <c r="B56" s="16" t="s">
        <v>738</v>
      </c>
      <c r="C56" s="18">
        <f>'AEO 2023 Table 49 Raw'!F45</f>
        <v>197.09033199999999</v>
      </c>
      <c r="D56" s="18">
        <f>'AEO 2023 Table 49 Raw'!G45</f>
        <v>201.26857000000001</v>
      </c>
      <c r="E56" s="18">
        <f>'AEO 2023 Table 49 Raw'!H45</f>
        <v>206.06437700000001</v>
      </c>
      <c r="F56" s="18">
        <f>'AEO 2023 Table 49 Raw'!I45</f>
        <v>211.38995399999999</v>
      </c>
      <c r="G56" s="18">
        <f>'AEO 2023 Table 49 Raw'!J45</f>
        <v>216.262878</v>
      </c>
      <c r="H56" s="18">
        <f>'AEO 2023 Table 49 Raw'!K45</f>
        <v>219.178146</v>
      </c>
      <c r="I56" s="18">
        <f>'AEO 2023 Table 49 Raw'!L45</f>
        <v>221.272842</v>
      </c>
      <c r="J56" s="18">
        <f>'AEO 2023 Table 49 Raw'!M45</f>
        <v>223.02633700000001</v>
      </c>
      <c r="K56" s="18">
        <f>'AEO 2023 Table 49 Raw'!N45</f>
        <v>225.39292900000001</v>
      </c>
      <c r="L56" s="18">
        <f>'AEO 2023 Table 49 Raw'!O45</f>
        <v>228.195145</v>
      </c>
      <c r="M56" s="18">
        <f>'AEO 2023 Table 49 Raw'!P45</f>
        <v>232.10806299999999</v>
      </c>
      <c r="N56" s="18">
        <f>'AEO 2023 Table 49 Raw'!Q45</f>
        <v>236.13992300000001</v>
      </c>
      <c r="O56" s="18">
        <f>'AEO 2023 Table 49 Raw'!R45</f>
        <v>239.99026499999999</v>
      </c>
      <c r="P56" s="18">
        <f>'AEO 2023 Table 49 Raw'!S45</f>
        <v>244.10591099999999</v>
      </c>
      <c r="Q56" s="18">
        <f>'AEO 2023 Table 49 Raw'!T45</f>
        <v>247.91830400000001</v>
      </c>
      <c r="R56" s="18">
        <f>'AEO 2023 Table 49 Raw'!U45</f>
        <v>252.39035000000001</v>
      </c>
      <c r="S56" s="18">
        <f>'AEO 2023 Table 49 Raw'!V45</f>
        <v>256.58529700000003</v>
      </c>
      <c r="T56" s="18">
        <f>'AEO 2023 Table 49 Raw'!W45</f>
        <v>260.04367100000002</v>
      </c>
      <c r="U56" s="18">
        <f>'AEO 2023 Table 49 Raw'!X45</f>
        <v>263.66922</v>
      </c>
      <c r="V56" s="18">
        <f>'AEO 2023 Table 49 Raw'!Y45</f>
        <v>268.157196</v>
      </c>
      <c r="W56" s="18">
        <f>'AEO 2023 Table 49 Raw'!Z45</f>
        <v>272.69494600000002</v>
      </c>
      <c r="X56" s="18">
        <f>'AEO 2023 Table 49 Raw'!AA45</f>
        <v>276.627747</v>
      </c>
      <c r="Y56" s="18">
        <f>'AEO 2023 Table 49 Raw'!AB45</f>
        <v>280.18627900000001</v>
      </c>
      <c r="Z56" s="18">
        <f>'AEO 2023 Table 49 Raw'!AC45</f>
        <v>283.63119499999999</v>
      </c>
      <c r="AA56" s="18">
        <f>'AEO 2023 Table 49 Raw'!AD45</f>
        <v>287.394745</v>
      </c>
      <c r="AB56" s="18">
        <f>'AEO 2023 Table 49 Raw'!AE45</f>
        <v>291.14355499999999</v>
      </c>
      <c r="AC56" s="18">
        <f>'AEO 2023 Table 49 Raw'!AF45</f>
        <v>294.69296300000002</v>
      </c>
      <c r="AD56" s="18">
        <f>'AEO 2023 Table 49 Raw'!AG45</f>
        <v>298.480591</v>
      </c>
      <c r="AE56" s="18">
        <f>'AEO 2023 Table 49 Raw'!AH45</f>
        <v>302.51641799999999</v>
      </c>
      <c r="AF56" s="30">
        <f>'AEO 2023 Table 49 Raw'!AI45</f>
        <v>1.4999999999999999E-2</v>
      </c>
    </row>
    <row r="57" spans="1:32" ht="15" customHeight="1">
      <c r="A57" s="7" t="s">
        <v>783</v>
      </c>
      <c r="B57" s="16" t="s">
        <v>382</v>
      </c>
      <c r="C57" s="18">
        <f>'AEO 2023 Table 49 Raw'!F46</f>
        <v>8.8570000000000003E-3</v>
      </c>
      <c r="D57" s="18">
        <f>'AEO 2023 Table 49 Raw'!G46</f>
        <v>7.2086999999999998E-2</v>
      </c>
      <c r="E57" s="18">
        <f>'AEO 2023 Table 49 Raw'!H46</f>
        <v>0.13471</v>
      </c>
      <c r="F57" s="18">
        <f>'AEO 2023 Table 49 Raw'!I46</f>
        <v>0.19301199999999999</v>
      </c>
      <c r="G57" s="18">
        <f>'AEO 2023 Table 49 Raw'!J46</f>
        <v>0.24727499999999999</v>
      </c>
      <c r="H57" s="18">
        <f>'AEO 2023 Table 49 Raw'!K46</f>
        <v>0.29535499999999998</v>
      </c>
      <c r="I57" s="18">
        <f>'AEO 2023 Table 49 Raw'!L46</f>
        <v>0.33980399999999999</v>
      </c>
      <c r="J57" s="18">
        <f>'AEO 2023 Table 49 Raw'!M46</f>
        <v>0.38144499999999998</v>
      </c>
      <c r="K57" s="18">
        <f>'AEO 2023 Table 49 Raw'!N46</f>
        <v>0.42167100000000002</v>
      </c>
      <c r="L57" s="18">
        <f>'AEO 2023 Table 49 Raw'!O46</f>
        <v>0.46169700000000002</v>
      </c>
      <c r="M57" s="18">
        <f>'AEO 2023 Table 49 Raw'!P46</f>
        <v>0.50309700000000002</v>
      </c>
      <c r="N57" s="18">
        <f>'AEO 2023 Table 49 Raw'!Q46</f>
        <v>0.54411500000000002</v>
      </c>
      <c r="O57" s="18">
        <f>'AEO 2023 Table 49 Raw'!R46</f>
        <v>0.58357700000000001</v>
      </c>
      <c r="P57" s="18">
        <f>'AEO 2023 Table 49 Raw'!S46</f>
        <v>0.62368699999999999</v>
      </c>
      <c r="Q57" s="18">
        <f>'AEO 2023 Table 49 Raw'!T46</f>
        <v>0.66417899999999996</v>
      </c>
      <c r="R57" s="18">
        <f>'AEO 2023 Table 49 Raw'!U46</f>
        <v>0.70931200000000005</v>
      </c>
      <c r="S57" s="18">
        <f>'AEO 2023 Table 49 Raw'!V46</f>
        <v>0.75850799999999996</v>
      </c>
      <c r="T57" s="18">
        <f>'AEO 2023 Table 49 Raw'!W46</f>
        <v>0.81182399999999999</v>
      </c>
      <c r="U57" s="18">
        <f>'AEO 2023 Table 49 Raw'!X46</f>
        <v>0.87161</v>
      </c>
      <c r="V57" s="18">
        <f>'AEO 2023 Table 49 Raw'!Y46</f>
        <v>0.93724099999999999</v>
      </c>
      <c r="W57" s="18">
        <f>'AEO 2023 Table 49 Raw'!Z46</f>
        <v>1.0095240000000001</v>
      </c>
      <c r="X57" s="18">
        <f>'AEO 2023 Table 49 Raw'!AA46</f>
        <v>1.087445</v>
      </c>
      <c r="Y57" s="18">
        <f>'AEO 2023 Table 49 Raw'!AB46</f>
        <v>1.1688320000000001</v>
      </c>
      <c r="Z57" s="18">
        <f>'AEO 2023 Table 49 Raw'!AC46</f>
        <v>1.2558339999999999</v>
      </c>
      <c r="AA57" s="18">
        <f>'AEO 2023 Table 49 Raw'!AD46</f>
        <v>1.35043</v>
      </c>
      <c r="AB57" s="18">
        <f>'AEO 2023 Table 49 Raw'!AE46</f>
        <v>1.45109</v>
      </c>
      <c r="AC57" s="18">
        <f>'AEO 2023 Table 49 Raw'!AF46</f>
        <v>1.556732</v>
      </c>
      <c r="AD57" s="18">
        <f>'AEO 2023 Table 49 Raw'!AG46</f>
        <v>1.6688339999999999</v>
      </c>
      <c r="AE57" s="18">
        <f>'AEO 2023 Table 49 Raw'!AH46</f>
        <v>1.786314</v>
      </c>
      <c r="AF57" s="30">
        <f>'AEO 2023 Table 49 Raw'!AI46</f>
        <v>0.20899999999999999</v>
      </c>
    </row>
    <row r="58" spans="1:32" ht="15" customHeight="1">
      <c r="A58" s="7" t="s">
        <v>784</v>
      </c>
      <c r="B58" s="16" t="s">
        <v>741</v>
      </c>
      <c r="C58" s="18">
        <f>'AEO 2023 Table 49 Raw'!F47</f>
        <v>0.192854</v>
      </c>
      <c r="D58" s="18">
        <f>'AEO 2023 Table 49 Raw'!G47</f>
        <v>0.175927</v>
      </c>
      <c r="E58" s="18">
        <f>'AEO 2023 Table 49 Raw'!H47</f>
        <v>0.16134599999999999</v>
      </c>
      <c r="F58" s="18">
        <f>'AEO 2023 Table 49 Raw'!I47</f>
        <v>0.148507</v>
      </c>
      <c r="G58" s="18">
        <f>'AEO 2023 Table 49 Raw'!J47</f>
        <v>0.13669799999999999</v>
      </c>
      <c r="H58" s="18">
        <f>'AEO 2023 Table 49 Raw'!K47</f>
        <v>0.12523899999999999</v>
      </c>
      <c r="I58" s="18">
        <f>'AEO 2023 Table 49 Raw'!L47</f>
        <v>0.114492</v>
      </c>
      <c r="J58" s="18">
        <f>'AEO 2023 Table 49 Raw'!M47</f>
        <v>0.104583</v>
      </c>
      <c r="K58" s="18">
        <f>'AEO 2023 Table 49 Raw'!N47</f>
        <v>9.5825999999999995E-2</v>
      </c>
      <c r="L58" s="18">
        <f>'AEO 2023 Table 49 Raw'!O47</f>
        <v>8.8041999999999995E-2</v>
      </c>
      <c r="M58" s="18">
        <f>'AEO 2023 Table 49 Raw'!P47</f>
        <v>8.1095E-2</v>
      </c>
      <c r="N58" s="18">
        <f>'AEO 2023 Table 49 Raw'!Q47</f>
        <v>7.4130000000000001E-2</v>
      </c>
      <c r="O58" s="18">
        <f>'AEO 2023 Table 49 Raw'!R47</f>
        <v>6.6986000000000004E-2</v>
      </c>
      <c r="P58" s="18">
        <f>'AEO 2023 Table 49 Raw'!S47</f>
        <v>5.9619999999999999E-2</v>
      </c>
      <c r="Q58" s="18">
        <f>'AEO 2023 Table 49 Raw'!T47</f>
        <v>5.2169E-2</v>
      </c>
      <c r="R58" s="18">
        <f>'AEO 2023 Table 49 Raw'!U47</f>
        <v>4.4464999999999998E-2</v>
      </c>
      <c r="S58" s="18">
        <f>'AEO 2023 Table 49 Raw'!V47</f>
        <v>3.7345999999999997E-2</v>
      </c>
      <c r="T58" s="18">
        <f>'AEO 2023 Table 49 Raw'!W47</f>
        <v>3.0891999999999999E-2</v>
      </c>
      <c r="U58" s="18">
        <f>'AEO 2023 Table 49 Raw'!X47</f>
        <v>2.4523E-2</v>
      </c>
      <c r="V58" s="18">
        <f>'AEO 2023 Table 49 Raw'!Y47</f>
        <v>1.9553999999999998E-2</v>
      </c>
      <c r="W58" s="18">
        <f>'AEO 2023 Table 49 Raw'!Z47</f>
        <v>1.5955E-2</v>
      </c>
      <c r="X58" s="18">
        <f>'AEO 2023 Table 49 Raw'!AA47</f>
        <v>1.3365E-2</v>
      </c>
      <c r="Y58" s="18">
        <f>'AEO 2023 Table 49 Raw'!AB47</f>
        <v>1.17E-2</v>
      </c>
      <c r="Z58" s="18">
        <f>'AEO 2023 Table 49 Raw'!AC47</f>
        <v>1.0548999999999999E-2</v>
      </c>
      <c r="AA58" s="18">
        <f>'AEO 2023 Table 49 Raw'!AD47</f>
        <v>9.6310000000000007E-3</v>
      </c>
      <c r="AB58" s="18">
        <f>'AEO 2023 Table 49 Raw'!AE47</f>
        <v>8.9779999999999999E-3</v>
      </c>
      <c r="AC58" s="18">
        <f>'AEO 2023 Table 49 Raw'!AF47</f>
        <v>8.1410000000000007E-3</v>
      </c>
      <c r="AD58" s="18">
        <f>'AEO 2023 Table 49 Raw'!AG47</f>
        <v>7.1910000000000003E-3</v>
      </c>
      <c r="AE58" s="18">
        <f>'AEO 2023 Table 49 Raw'!AH47</f>
        <v>6.0070000000000002E-3</v>
      </c>
      <c r="AF58" s="30">
        <f>'AEO 2023 Table 49 Raw'!AI47</f>
        <v>-0.11700000000000001</v>
      </c>
    </row>
    <row r="59" spans="1:32" ht="15" customHeight="1">
      <c r="A59" s="7" t="s">
        <v>785</v>
      </c>
      <c r="B59" s="16" t="s">
        <v>743</v>
      </c>
      <c r="C59" s="18">
        <f>'AEO 2023 Table 49 Raw'!F48</f>
        <v>46.30368</v>
      </c>
      <c r="D59" s="18">
        <f>'AEO 2023 Table 49 Raw'!G48</f>
        <v>45.147464999999997</v>
      </c>
      <c r="E59" s="18">
        <f>'AEO 2023 Table 49 Raw'!H48</f>
        <v>44.153458000000001</v>
      </c>
      <c r="F59" s="18">
        <f>'AEO 2023 Table 49 Raw'!I48</f>
        <v>43.265628999999997</v>
      </c>
      <c r="G59" s="18">
        <f>'AEO 2023 Table 49 Raw'!J48</f>
        <v>42.385063000000002</v>
      </c>
      <c r="H59" s="18">
        <f>'AEO 2023 Table 49 Raw'!K48</f>
        <v>41.373074000000003</v>
      </c>
      <c r="I59" s="18">
        <f>'AEO 2023 Table 49 Raw'!L48</f>
        <v>40.410004000000001</v>
      </c>
      <c r="J59" s="18">
        <f>'AEO 2023 Table 49 Raw'!M48</f>
        <v>39.551361</v>
      </c>
      <c r="K59" s="18">
        <f>'AEO 2023 Table 49 Raw'!N48</f>
        <v>38.888568999999997</v>
      </c>
      <c r="L59" s="18">
        <f>'AEO 2023 Table 49 Raw'!O48</f>
        <v>38.416331999999997</v>
      </c>
      <c r="M59" s="18">
        <f>'AEO 2023 Table 49 Raw'!P48</f>
        <v>38.143318000000001</v>
      </c>
      <c r="N59" s="18">
        <f>'AEO 2023 Table 49 Raw'!Q48</f>
        <v>37.850304000000001</v>
      </c>
      <c r="O59" s="18">
        <f>'AEO 2023 Table 49 Raw'!R48</f>
        <v>37.347014999999999</v>
      </c>
      <c r="P59" s="18">
        <f>'AEO 2023 Table 49 Raw'!S48</f>
        <v>36.758690000000001</v>
      </c>
      <c r="Q59" s="18">
        <f>'AEO 2023 Table 49 Raw'!T48</f>
        <v>35.986319999999999</v>
      </c>
      <c r="R59" s="18">
        <f>'AEO 2023 Table 49 Raw'!U48</f>
        <v>35.266883999999997</v>
      </c>
      <c r="S59" s="18">
        <f>'AEO 2023 Table 49 Raw'!V48</f>
        <v>34.371727</v>
      </c>
      <c r="T59" s="18">
        <f>'AEO 2023 Table 49 Raw'!W48</f>
        <v>33.439532999999997</v>
      </c>
      <c r="U59" s="18">
        <f>'AEO 2023 Table 49 Raw'!X48</f>
        <v>32.662486999999999</v>
      </c>
      <c r="V59" s="18">
        <f>'AEO 2023 Table 49 Raw'!Y48</f>
        <v>32.055050000000001</v>
      </c>
      <c r="W59" s="18">
        <f>'AEO 2023 Table 49 Raw'!Z48</f>
        <v>31.636341000000002</v>
      </c>
      <c r="X59" s="18">
        <f>'AEO 2023 Table 49 Raw'!AA48</f>
        <v>31.408114999999999</v>
      </c>
      <c r="Y59" s="18">
        <f>'AEO 2023 Table 49 Raw'!AB48</f>
        <v>31.356092</v>
      </c>
      <c r="Z59" s="18">
        <f>'AEO 2023 Table 49 Raw'!AC48</f>
        <v>31.392386999999999</v>
      </c>
      <c r="AA59" s="18">
        <f>'AEO 2023 Table 49 Raw'!AD48</f>
        <v>31.533971999999999</v>
      </c>
      <c r="AB59" s="18">
        <f>'AEO 2023 Table 49 Raw'!AE48</f>
        <v>31.735731000000001</v>
      </c>
      <c r="AC59" s="18">
        <f>'AEO 2023 Table 49 Raw'!AF48</f>
        <v>31.973125</v>
      </c>
      <c r="AD59" s="18">
        <f>'AEO 2023 Table 49 Raw'!AG48</f>
        <v>32.235847</v>
      </c>
      <c r="AE59" s="18">
        <f>'AEO 2023 Table 49 Raw'!AH48</f>
        <v>32.518433000000002</v>
      </c>
      <c r="AF59" s="30">
        <f>'AEO 2023 Table 49 Raw'!AI48</f>
        <v>-1.2999999999999999E-2</v>
      </c>
    </row>
    <row r="60" spans="1:32" ht="15" customHeight="1">
      <c r="A60" s="7" t="s">
        <v>786</v>
      </c>
      <c r="B60" s="16" t="s">
        <v>745</v>
      </c>
      <c r="C60" s="18">
        <f>'AEO 2023 Table 49 Raw'!F49</f>
        <v>4.6360000000000004E-3</v>
      </c>
      <c r="D60" s="18">
        <f>'AEO 2023 Table 49 Raw'!G49</f>
        <v>4.2170000000000003E-3</v>
      </c>
      <c r="E60" s="18">
        <f>'AEO 2023 Table 49 Raw'!H49</f>
        <v>3.882E-3</v>
      </c>
      <c r="F60" s="18">
        <f>'AEO 2023 Table 49 Raw'!I49</f>
        <v>3.62E-3</v>
      </c>
      <c r="G60" s="18">
        <f>'AEO 2023 Table 49 Raw'!J49</f>
        <v>3.4129999999999998E-3</v>
      </c>
      <c r="H60" s="18">
        <f>'AEO 2023 Table 49 Raw'!K49</f>
        <v>3.241E-3</v>
      </c>
      <c r="I60" s="18">
        <f>'AEO 2023 Table 49 Raw'!L49</f>
        <v>3.107E-3</v>
      </c>
      <c r="J60" s="18">
        <f>'AEO 2023 Table 49 Raw'!M49</f>
        <v>2.9020000000000001E-3</v>
      </c>
      <c r="K60" s="18">
        <f>'AEO 2023 Table 49 Raw'!N49</f>
        <v>2.6519999999999998E-3</v>
      </c>
      <c r="L60" s="18">
        <f>'AEO 2023 Table 49 Raw'!O49</f>
        <v>2.4220000000000001E-3</v>
      </c>
      <c r="M60" s="18">
        <f>'AEO 2023 Table 49 Raw'!P49</f>
        <v>2.2169999999999998E-3</v>
      </c>
      <c r="N60" s="18">
        <f>'AEO 2023 Table 49 Raw'!Q49</f>
        <v>1.856E-3</v>
      </c>
      <c r="O60" s="18">
        <f>'AEO 2023 Table 49 Raw'!R49</f>
        <v>1.4549999999999999E-3</v>
      </c>
      <c r="P60" s="18">
        <f>'AEO 2023 Table 49 Raw'!S49</f>
        <v>1.142E-3</v>
      </c>
      <c r="Q60" s="18">
        <f>'AEO 2023 Table 49 Raw'!T49</f>
        <v>8.9400000000000005E-4</v>
      </c>
      <c r="R60" s="18">
        <f>'AEO 2023 Table 49 Raw'!U49</f>
        <v>7.0100000000000002E-4</v>
      </c>
      <c r="S60" s="18">
        <f>'AEO 2023 Table 49 Raw'!V49</f>
        <v>5.4799999999999998E-4</v>
      </c>
      <c r="T60" s="18">
        <f>'AEO 2023 Table 49 Raw'!W49</f>
        <v>4.2700000000000002E-4</v>
      </c>
      <c r="U60" s="18">
        <f>'AEO 2023 Table 49 Raw'!X49</f>
        <v>3.79E-4</v>
      </c>
      <c r="V60" s="18">
        <f>'AEO 2023 Table 49 Raw'!Y49</f>
        <v>3.6900000000000002E-4</v>
      </c>
      <c r="W60" s="18">
        <f>'AEO 2023 Table 49 Raw'!Z49</f>
        <v>3.59E-4</v>
      </c>
      <c r="X60" s="18">
        <f>'AEO 2023 Table 49 Raw'!AA49</f>
        <v>3.48E-4</v>
      </c>
      <c r="Y60" s="18">
        <f>'AEO 2023 Table 49 Raw'!AB49</f>
        <v>2.81E-4</v>
      </c>
      <c r="Z60" s="18">
        <f>'AEO 2023 Table 49 Raw'!AC49</f>
        <v>1.9699999999999999E-4</v>
      </c>
      <c r="AA60" s="18">
        <f>'AEO 2023 Table 49 Raw'!AD49</f>
        <v>1.3799999999999999E-4</v>
      </c>
      <c r="AB60" s="18">
        <f>'AEO 2023 Table 49 Raw'!AE49</f>
        <v>9.7E-5</v>
      </c>
      <c r="AC60" s="18">
        <f>'AEO 2023 Table 49 Raw'!AF49</f>
        <v>6.7999999999999999E-5</v>
      </c>
      <c r="AD60" s="18">
        <f>'AEO 2023 Table 49 Raw'!AG49</f>
        <v>4.8000000000000001E-5</v>
      </c>
      <c r="AE60" s="18">
        <f>'AEO 2023 Table 49 Raw'!AH49</f>
        <v>3.3000000000000003E-5</v>
      </c>
      <c r="AF60" s="30">
        <f>'AEO 2023 Table 49 Raw'!AI49</f>
        <v>-0.16200000000000001</v>
      </c>
    </row>
    <row r="61" spans="1:32" ht="15" customHeight="1">
      <c r="A61" s="7" t="s">
        <v>787</v>
      </c>
      <c r="B61" s="16" t="s">
        <v>747</v>
      </c>
      <c r="C61" s="18">
        <f>'AEO 2023 Table 49 Raw'!F50</f>
        <v>0</v>
      </c>
      <c r="D61" s="18">
        <f>'AEO 2023 Table 49 Raw'!G50</f>
        <v>3.1223000000000001E-2</v>
      </c>
      <c r="E61" s="18">
        <f>'AEO 2023 Table 49 Raw'!H50</f>
        <v>6.2052000000000003E-2</v>
      </c>
      <c r="F61" s="18">
        <f>'AEO 2023 Table 49 Raw'!I50</f>
        <v>9.4270999999999994E-2</v>
      </c>
      <c r="G61" s="18">
        <f>'AEO 2023 Table 49 Raw'!J50</f>
        <v>0.12647800000000001</v>
      </c>
      <c r="H61" s="18">
        <f>'AEO 2023 Table 49 Raw'!K50</f>
        <v>0.15697800000000001</v>
      </c>
      <c r="I61" s="18">
        <f>'AEO 2023 Table 49 Raw'!L50</f>
        <v>0.18640999999999999</v>
      </c>
      <c r="J61" s="18">
        <f>'AEO 2023 Table 49 Raw'!M50</f>
        <v>0.214703</v>
      </c>
      <c r="K61" s="18">
        <f>'AEO 2023 Table 49 Raw'!N50</f>
        <v>0.24248700000000001</v>
      </c>
      <c r="L61" s="18">
        <f>'AEO 2023 Table 49 Raw'!O50</f>
        <v>0.27023999999999998</v>
      </c>
      <c r="M61" s="18">
        <f>'AEO 2023 Table 49 Raw'!P50</f>
        <v>0.29915000000000003</v>
      </c>
      <c r="N61" s="18">
        <f>'AEO 2023 Table 49 Raw'!Q50</f>
        <v>0.32853300000000002</v>
      </c>
      <c r="O61" s="18">
        <f>'AEO 2023 Table 49 Raw'!R50</f>
        <v>0.35842000000000002</v>
      </c>
      <c r="P61" s="18">
        <f>'AEO 2023 Table 49 Raw'!S50</f>
        <v>0.39030399999999998</v>
      </c>
      <c r="Q61" s="18">
        <f>'AEO 2023 Table 49 Raw'!T50</f>
        <v>0.42387000000000002</v>
      </c>
      <c r="R61" s="18">
        <f>'AEO 2023 Table 49 Raw'!U50</f>
        <v>0.46174199999999999</v>
      </c>
      <c r="S61" s="18">
        <f>'AEO 2023 Table 49 Raw'!V50</f>
        <v>0.50373699999999999</v>
      </c>
      <c r="T61" s="18">
        <f>'AEO 2023 Table 49 Raw'!W50</f>
        <v>0.55010000000000003</v>
      </c>
      <c r="U61" s="18">
        <f>'AEO 2023 Table 49 Raw'!X50</f>
        <v>0.60294199999999998</v>
      </c>
      <c r="V61" s="18">
        <f>'AEO 2023 Table 49 Raw'!Y50</f>
        <v>0.66208199999999995</v>
      </c>
      <c r="W61" s="18">
        <f>'AEO 2023 Table 49 Raw'!Z50</f>
        <v>0.72731500000000004</v>
      </c>
      <c r="X61" s="18">
        <f>'AEO 2023 Table 49 Raw'!AA50</f>
        <v>0.79698999999999998</v>
      </c>
      <c r="Y61" s="18">
        <f>'AEO 2023 Table 49 Raw'!AB50</f>
        <v>0.87017100000000003</v>
      </c>
      <c r="Z61" s="18">
        <f>'AEO 2023 Table 49 Raw'!AC50</f>
        <v>0.94737499999999997</v>
      </c>
      <c r="AA61" s="18">
        <f>'AEO 2023 Table 49 Raw'!AD50</f>
        <v>1.0282020000000001</v>
      </c>
      <c r="AB61" s="18">
        <f>'AEO 2023 Table 49 Raw'!AE50</f>
        <v>1.111251</v>
      </c>
      <c r="AC61" s="18">
        <f>'AEO 2023 Table 49 Raw'!AF50</f>
        <v>1.195668</v>
      </c>
      <c r="AD61" s="18">
        <f>'AEO 2023 Table 49 Raw'!AG50</f>
        <v>1.282565</v>
      </c>
      <c r="AE61" s="18">
        <f>'AEO 2023 Table 49 Raw'!AH50</f>
        <v>1.3711439999999999</v>
      </c>
      <c r="AF61" s="30" t="str">
        <f>'AEO 2023 Table 49 Raw'!AI50</f>
        <v>- -</v>
      </c>
    </row>
    <row r="62" spans="1:32" ht="15" customHeight="1">
      <c r="A62" s="7" t="s">
        <v>788</v>
      </c>
      <c r="B62" s="16" t="s">
        <v>749</v>
      </c>
      <c r="C62" s="18">
        <f>'AEO 2023 Table 49 Raw'!F51</f>
        <v>0</v>
      </c>
      <c r="D62" s="18">
        <f>'AEO 2023 Table 49 Raw'!G51</f>
        <v>3.7399000000000002E-2</v>
      </c>
      <c r="E62" s="18">
        <f>'AEO 2023 Table 49 Raw'!H51</f>
        <v>7.4163000000000007E-2</v>
      </c>
      <c r="F62" s="18">
        <f>'AEO 2023 Table 49 Raw'!I51</f>
        <v>0.11178100000000001</v>
      </c>
      <c r="G62" s="18">
        <f>'AEO 2023 Table 49 Raw'!J51</f>
        <v>0.14894499999999999</v>
      </c>
      <c r="H62" s="18">
        <f>'AEO 2023 Table 49 Raw'!K51</f>
        <v>0.18398300000000001</v>
      </c>
      <c r="I62" s="18">
        <f>'AEO 2023 Table 49 Raw'!L51</f>
        <v>0.21740999999999999</v>
      </c>
      <c r="J62" s="18">
        <f>'AEO 2023 Table 49 Raw'!M51</f>
        <v>0.24943899999999999</v>
      </c>
      <c r="K62" s="18">
        <f>'AEO 2023 Table 49 Raw'!N51</f>
        <v>0.28114099999999997</v>
      </c>
      <c r="L62" s="18">
        <f>'AEO 2023 Table 49 Raw'!O51</f>
        <v>0.31350499999999998</v>
      </c>
      <c r="M62" s="18">
        <f>'AEO 2023 Table 49 Raw'!P51</f>
        <v>0.34805000000000003</v>
      </c>
      <c r="N62" s="18">
        <f>'AEO 2023 Table 49 Raw'!Q51</f>
        <v>0.38410100000000003</v>
      </c>
      <c r="O62" s="18">
        <f>'AEO 2023 Table 49 Raw'!R51</f>
        <v>0.42158600000000002</v>
      </c>
      <c r="P62" s="18">
        <f>'AEO 2023 Table 49 Raw'!S51</f>
        <v>0.46238800000000002</v>
      </c>
      <c r="Q62" s="18">
        <f>'AEO 2023 Table 49 Raw'!T51</f>
        <v>0.506243</v>
      </c>
      <c r="R62" s="18">
        <f>'AEO 2023 Table 49 Raw'!U51</f>
        <v>0.55655399999999999</v>
      </c>
      <c r="S62" s="18">
        <f>'AEO 2023 Table 49 Raw'!V51</f>
        <v>0.61326000000000003</v>
      </c>
      <c r="T62" s="18">
        <f>'AEO 2023 Table 49 Raw'!W51</f>
        <v>0.67687399999999998</v>
      </c>
      <c r="U62" s="18">
        <f>'AEO 2023 Table 49 Raw'!X51</f>
        <v>0.75017900000000004</v>
      </c>
      <c r="V62" s="18">
        <f>'AEO 2023 Table 49 Raw'!Y51</f>
        <v>0.83308300000000002</v>
      </c>
      <c r="W62" s="18">
        <f>'AEO 2023 Table 49 Raw'!Z51</f>
        <v>0.92514799999999997</v>
      </c>
      <c r="X62" s="18">
        <f>'AEO 2023 Table 49 Raw'!AA51</f>
        <v>1.0241309999999999</v>
      </c>
      <c r="Y62" s="18">
        <f>'AEO 2023 Table 49 Raw'!AB51</f>
        <v>1.1286910000000001</v>
      </c>
      <c r="Z62" s="18">
        <f>'AEO 2023 Table 49 Raw'!AC51</f>
        <v>1.239614</v>
      </c>
      <c r="AA62" s="18">
        <f>'AEO 2023 Table 49 Raw'!AD51</f>
        <v>1.356347</v>
      </c>
      <c r="AB62" s="18">
        <f>'AEO 2023 Table 49 Raw'!AE51</f>
        <v>1.4767459999999999</v>
      </c>
      <c r="AC62" s="18">
        <f>'AEO 2023 Table 49 Raw'!AF51</f>
        <v>1.599477</v>
      </c>
      <c r="AD62" s="18">
        <f>'AEO 2023 Table 49 Raw'!AG51</f>
        <v>1.725881</v>
      </c>
      <c r="AE62" s="18">
        <f>'AEO 2023 Table 49 Raw'!AH51</f>
        <v>1.854649</v>
      </c>
      <c r="AF62" s="30" t="str">
        <f>'AEO 2023 Table 49 Raw'!AI51</f>
        <v>- -</v>
      </c>
    </row>
    <row r="63" spans="1:32" ht="15" customHeight="1">
      <c r="A63" s="7" t="s">
        <v>789</v>
      </c>
      <c r="B63" s="16" t="s">
        <v>751</v>
      </c>
      <c r="C63" s="18">
        <f>'AEO 2023 Table 49 Raw'!F52</f>
        <v>0</v>
      </c>
      <c r="D63" s="18">
        <f>'AEO 2023 Table 49 Raw'!G52</f>
        <v>0</v>
      </c>
      <c r="E63" s="18">
        <f>'AEO 2023 Table 49 Raw'!H52</f>
        <v>1.2E-5</v>
      </c>
      <c r="F63" s="18">
        <f>'AEO 2023 Table 49 Raw'!I52</f>
        <v>2.6999999999999999E-5</v>
      </c>
      <c r="G63" s="18">
        <f>'AEO 2023 Table 49 Raw'!J52</f>
        <v>4.3000000000000002E-5</v>
      </c>
      <c r="H63" s="18">
        <f>'AEO 2023 Table 49 Raw'!K52</f>
        <v>5.8E-5</v>
      </c>
      <c r="I63" s="18">
        <f>'AEO 2023 Table 49 Raw'!L52</f>
        <v>7.2000000000000002E-5</v>
      </c>
      <c r="J63" s="18">
        <f>'AEO 2023 Table 49 Raw'!M52</f>
        <v>8.6000000000000003E-5</v>
      </c>
      <c r="K63" s="18">
        <f>'AEO 2023 Table 49 Raw'!N52</f>
        <v>9.8999999999999994E-5</v>
      </c>
      <c r="L63" s="18">
        <f>'AEO 2023 Table 49 Raw'!O52</f>
        <v>1.12E-4</v>
      </c>
      <c r="M63" s="18">
        <f>'AEO 2023 Table 49 Raw'!P52</f>
        <v>1.2400000000000001E-4</v>
      </c>
      <c r="N63" s="18">
        <f>'AEO 2023 Table 49 Raw'!Q52</f>
        <v>1.36E-4</v>
      </c>
      <c r="O63" s="18">
        <f>'AEO 2023 Table 49 Raw'!R52</f>
        <v>1.46E-4</v>
      </c>
      <c r="P63" s="18">
        <f>'AEO 2023 Table 49 Raw'!S52</f>
        <v>1.56E-4</v>
      </c>
      <c r="Q63" s="18">
        <f>'AEO 2023 Table 49 Raw'!T52</f>
        <v>1.65E-4</v>
      </c>
      <c r="R63" s="18">
        <f>'AEO 2023 Table 49 Raw'!U52</f>
        <v>1.73E-4</v>
      </c>
      <c r="S63" s="18">
        <f>'AEO 2023 Table 49 Raw'!V52</f>
        <v>1.8000000000000001E-4</v>
      </c>
      <c r="T63" s="18">
        <f>'AEO 2023 Table 49 Raw'!W52</f>
        <v>1.8599999999999999E-4</v>
      </c>
      <c r="U63" s="18">
        <f>'AEO 2023 Table 49 Raw'!X52</f>
        <v>1.92E-4</v>
      </c>
      <c r="V63" s="18">
        <f>'AEO 2023 Table 49 Raw'!Y52</f>
        <v>1.9699999999999999E-4</v>
      </c>
      <c r="W63" s="18">
        <f>'AEO 2023 Table 49 Raw'!Z52</f>
        <v>2.0100000000000001E-4</v>
      </c>
      <c r="X63" s="18">
        <f>'AEO 2023 Table 49 Raw'!AA52</f>
        <v>2.04E-4</v>
      </c>
      <c r="Y63" s="18">
        <f>'AEO 2023 Table 49 Raw'!AB52</f>
        <v>2.05E-4</v>
      </c>
      <c r="Z63" s="18">
        <f>'AEO 2023 Table 49 Raw'!AC52</f>
        <v>2.0599999999999999E-4</v>
      </c>
      <c r="AA63" s="18">
        <f>'AEO 2023 Table 49 Raw'!AD52</f>
        <v>2.05E-4</v>
      </c>
      <c r="AB63" s="18">
        <f>'AEO 2023 Table 49 Raw'!AE52</f>
        <v>2.03E-4</v>
      </c>
      <c r="AC63" s="18">
        <f>'AEO 2023 Table 49 Raw'!AF52</f>
        <v>1.9900000000000001E-4</v>
      </c>
      <c r="AD63" s="18">
        <f>'AEO 2023 Table 49 Raw'!AG52</f>
        <v>1.94E-4</v>
      </c>
      <c r="AE63" s="18">
        <f>'AEO 2023 Table 49 Raw'!AH52</f>
        <v>1.8799999999999999E-4</v>
      </c>
      <c r="AF63" s="30" t="str">
        <f>'AEO 2023 Table 49 Raw'!AI52</f>
        <v>- -</v>
      </c>
    </row>
    <row r="64" spans="1:32" ht="15" customHeight="1">
      <c r="A64" s="7" t="s">
        <v>790</v>
      </c>
      <c r="B64" s="16" t="s">
        <v>753</v>
      </c>
      <c r="C64" s="18">
        <f>'AEO 2023 Table 49 Raw'!F53</f>
        <v>748.63757299999997</v>
      </c>
      <c r="D64" s="18">
        <f>'AEO 2023 Table 49 Raw'!G53</f>
        <v>732.18170199999997</v>
      </c>
      <c r="E64" s="18">
        <f>'AEO 2023 Table 49 Raw'!H53</f>
        <v>720.22216800000001</v>
      </c>
      <c r="F64" s="18">
        <f>'AEO 2023 Table 49 Raw'!I53</f>
        <v>712.26519800000005</v>
      </c>
      <c r="G64" s="18">
        <f>'AEO 2023 Table 49 Raw'!J53</f>
        <v>704.637024</v>
      </c>
      <c r="H64" s="18">
        <f>'AEO 2023 Table 49 Raw'!K53</f>
        <v>693.10351600000001</v>
      </c>
      <c r="I64" s="18">
        <f>'AEO 2023 Table 49 Raw'!L53</f>
        <v>681.51892099999998</v>
      </c>
      <c r="J64" s="18">
        <f>'AEO 2023 Table 49 Raw'!M53</f>
        <v>670.97229000000004</v>
      </c>
      <c r="K64" s="18">
        <f>'AEO 2023 Table 49 Raw'!N53</f>
        <v>664.22985800000004</v>
      </c>
      <c r="L64" s="18">
        <f>'AEO 2023 Table 49 Raw'!O53</f>
        <v>660.79852300000005</v>
      </c>
      <c r="M64" s="18">
        <f>'AEO 2023 Table 49 Raw'!P53</f>
        <v>661.24548300000004</v>
      </c>
      <c r="N64" s="18">
        <f>'AEO 2023 Table 49 Raw'!Q53</f>
        <v>662.36968999999999</v>
      </c>
      <c r="O64" s="18">
        <f>'AEO 2023 Table 49 Raw'!R53</f>
        <v>663.70306400000004</v>
      </c>
      <c r="P64" s="18">
        <f>'AEO 2023 Table 49 Raw'!S53</f>
        <v>666.36871299999996</v>
      </c>
      <c r="Q64" s="18">
        <f>'AEO 2023 Table 49 Raw'!T53</f>
        <v>668.24139400000001</v>
      </c>
      <c r="R64" s="18">
        <f>'AEO 2023 Table 49 Raw'!U53</f>
        <v>672.17394999999999</v>
      </c>
      <c r="S64" s="18">
        <f>'AEO 2023 Table 49 Raw'!V53</f>
        <v>676.034851</v>
      </c>
      <c r="T64" s="18">
        <f>'AEO 2023 Table 49 Raw'!W53</f>
        <v>679.41394000000003</v>
      </c>
      <c r="U64" s="18">
        <f>'AEO 2023 Table 49 Raw'!X53</f>
        <v>684.28704800000003</v>
      </c>
      <c r="V64" s="18">
        <f>'AEO 2023 Table 49 Raw'!Y53</f>
        <v>690.63824499999998</v>
      </c>
      <c r="W64" s="18">
        <f>'AEO 2023 Table 49 Raw'!Z53</f>
        <v>698.07128899999998</v>
      </c>
      <c r="X64" s="18">
        <f>'AEO 2023 Table 49 Raw'!AA53</f>
        <v>705.62066700000003</v>
      </c>
      <c r="Y64" s="18">
        <f>'AEO 2023 Table 49 Raw'!AB53</f>
        <v>713.18554700000004</v>
      </c>
      <c r="Z64" s="18">
        <f>'AEO 2023 Table 49 Raw'!AC53</f>
        <v>721.23504600000001</v>
      </c>
      <c r="AA64" s="18">
        <f>'AEO 2023 Table 49 Raw'!AD53</f>
        <v>730.61511199999995</v>
      </c>
      <c r="AB64" s="18">
        <f>'AEO 2023 Table 49 Raw'!AE53</f>
        <v>740.51525900000001</v>
      </c>
      <c r="AC64" s="18">
        <f>'AEO 2023 Table 49 Raw'!AF53</f>
        <v>750.55535899999995</v>
      </c>
      <c r="AD64" s="18">
        <f>'AEO 2023 Table 49 Raw'!AG53</f>
        <v>761.51879899999994</v>
      </c>
      <c r="AE64" s="18">
        <f>'AEO 2023 Table 49 Raw'!AH53</f>
        <v>773.14739999999995</v>
      </c>
      <c r="AF64" s="30">
        <f>'AEO 2023 Table 49 Raw'!AI53</f>
        <v>1E-3</v>
      </c>
    </row>
    <row r="65" spans="1:32" ht="15" customHeight="1">
      <c r="B65" s="15" t="s">
        <v>754</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30"/>
    </row>
    <row r="66" spans="1:32" ht="15" customHeight="1">
      <c r="A66" s="7" t="s">
        <v>791</v>
      </c>
      <c r="B66" s="16" t="s">
        <v>736</v>
      </c>
      <c r="C66" s="18">
        <f>'AEO 2023 Table 49 Raw'!F55</f>
        <v>596.71069299999999</v>
      </c>
      <c r="D66" s="18">
        <f>'AEO 2023 Table 49 Raw'!G55</f>
        <v>577.86407499999996</v>
      </c>
      <c r="E66" s="18">
        <f>'AEO 2023 Table 49 Raw'!H55</f>
        <v>561.91143799999998</v>
      </c>
      <c r="F66" s="18">
        <f>'AEO 2023 Table 49 Raw'!I55</f>
        <v>551.58679199999995</v>
      </c>
      <c r="G66" s="18">
        <f>'AEO 2023 Table 49 Raw'!J55</f>
        <v>544.22857699999997</v>
      </c>
      <c r="H66" s="18">
        <f>'AEO 2023 Table 49 Raw'!K55</f>
        <v>535.85253899999998</v>
      </c>
      <c r="I66" s="18">
        <f>'AEO 2023 Table 49 Raw'!L55</f>
        <v>527.97473100000002</v>
      </c>
      <c r="J66" s="18">
        <f>'AEO 2023 Table 49 Raw'!M55</f>
        <v>519.22680700000001</v>
      </c>
      <c r="K66" s="18">
        <f>'AEO 2023 Table 49 Raw'!N55</f>
        <v>511.23809799999998</v>
      </c>
      <c r="L66" s="18">
        <f>'AEO 2023 Table 49 Raw'!O55</f>
        <v>504.13198899999998</v>
      </c>
      <c r="M66" s="18">
        <f>'AEO 2023 Table 49 Raw'!P55</f>
        <v>499.34158300000001</v>
      </c>
      <c r="N66" s="18">
        <f>'AEO 2023 Table 49 Raw'!Q55</f>
        <v>494.26428199999998</v>
      </c>
      <c r="O66" s="18">
        <f>'AEO 2023 Table 49 Raw'!R55</f>
        <v>488.88336199999998</v>
      </c>
      <c r="P66" s="18">
        <f>'AEO 2023 Table 49 Raw'!S55</f>
        <v>484.94207799999998</v>
      </c>
      <c r="Q66" s="18">
        <f>'AEO 2023 Table 49 Raw'!T55</f>
        <v>481.30944799999997</v>
      </c>
      <c r="R66" s="18">
        <f>'AEO 2023 Table 49 Raw'!U55</f>
        <v>479.89810199999999</v>
      </c>
      <c r="S66" s="18">
        <f>'AEO 2023 Table 49 Raw'!V55</f>
        <v>478.96508799999998</v>
      </c>
      <c r="T66" s="18">
        <f>'AEO 2023 Table 49 Raw'!W55</f>
        <v>477.97808800000001</v>
      </c>
      <c r="U66" s="18">
        <f>'AEO 2023 Table 49 Raw'!X55</f>
        <v>477.87914999999998</v>
      </c>
      <c r="V66" s="18">
        <f>'AEO 2023 Table 49 Raw'!Y55</f>
        <v>477.79556300000002</v>
      </c>
      <c r="W66" s="18">
        <f>'AEO 2023 Table 49 Raw'!Z55</f>
        <v>478.32308999999998</v>
      </c>
      <c r="X66" s="18">
        <f>'AEO 2023 Table 49 Raw'!AA55</f>
        <v>479.55770899999999</v>
      </c>
      <c r="Y66" s="18">
        <f>'AEO 2023 Table 49 Raw'!AB55</f>
        <v>481.22937000000002</v>
      </c>
      <c r="Z66" s="18">
        <f>'AEO 2023 Table 49 Raw'!AC55</f>
        <v>482.93978900000002</v>
      </c>
      <c r="AA66" s="18">
        <f>'AEO 2023 Table 49 Raw'!AD55</f>
        <v>484.90911899999998</v>
      </c>
      <c r="AB66" s="18">
        <f>'AEO 2023 Table 49 Raw'!AE55</f>
        <v>487.035797</v>
      </c>
      <c r="AC66" s="18">
        <f>'AEO 2023 Table 49 Raw'!AF55</f>
        <v>489.28424100000001</v>
      </c>
      <c r="AD66" s="18">
        <f>'AEO 2023 Table 49 Raw'!AG55</f>
        <v>492.56643700000001</v>
      </c>
      <c r="AE66" s="18">
        <f>'AEO 2023 Table 49 Raw'!AH55</f>
        <v>496.462738</v>
      </c>
      <c r="AF66" s="30">
        <f>'AEO 2023 Table 49 Raw'!AI55</f>
        <v>-7.0000000000000001E-3</v>
      </c>
    </row>
    <row r="67" spans="1:32" ht="15" customHeight="1">
      <c r="A67" s="7" t="s">
        <v>792</v>
      </c>
      <c r="B67" s="16" t="s">
        <v>738</v>
      </c>
      <c r="C67" s="18">
        <f>'AEO 2023 Table 49 Raw'!F56</f>
        <v>361.335083</v>
      </c>
      <c r="D67" s="18">
        <f>'AEO 2023 Table 49 Raw'!G56</f>
        <v>350.68691999999999</v>
      </c>
      <c r="E67" s="18">
        <f>'AEO 2023 Table 49 Raw'!H56</f>
        <v>342.39187600000002</v>
      </c>
      <c r="F67" s="18">
        <f>'AEO 2023 Table 49 Raw'!I56</f>
        <v>336.454407</v>
      </c>
      <c r="G67" s="18">
        <f>'AEO 2023 Table 49 Raw'!J56</f>
        <v>332.32705700000002</v>
      </c>
      <c r="H67" s="18">
        <f>'AEO 2023 Table 49 Raw'!K56</f>
        <v>327.322113</v>
      </c>
      <c r="I67" s="18">
        <f>'AEO 2023 Table 49 Raw'!L56</f>
        <v>322.78909299999998</v>
      </c>
      <c r="J67" s="18">
        <f>'AEO 2023 Table 49 Raw'!M56</f>
        <v>318.01577800000001</v>
      </c>
      <c r="K67" s="18">
        <f>'AEO 2023 Table 49 Raw'!N56</f>
        <v>313.64859000000001</v>
      </c>
      <c r="L67" s="18">
        <f>'AEO 2023 Table 49 Raw'!O56</f>
        <v>309.65252700000002</v>
      </c>
      <c r="M67" s="18">
        <f>'AEO 2023 Table 49 Raw'!P56</f>
        <v>307.22006199999998</v>
      </c>
      <c r="N67" s="18">
        <f>'AEO 2023 Table 49 Raw'!Q56</f>
        <v>304.33242799999999</v>
      </c>
      <c r="O67" s="18">
        <f>'AEO 2023 Table 49 Raw'!R56</f>
        <v>301.408997</v>
      </c>
      <c r="P67" s="18">
        <f>'AEO 2023 Table 49 Raw'!S56</f>
        <v>299.17279100000002</v>
      </c>
      <c r="Q67" s="18">
        <f>'AEO 2023 Table 49 Raw'!T56</f>
        <v>296.57843000000003</v>
      </c>
      <c r="R67" s="18">
        <f>'AEO 2023 Table 49 Raw'!U56</f>
        <v>295.55175800000001</v>
      </c>
      <c r="S67" s="18">
        <f>'AEO 2023 Table 49 Raw'!V56</f>
        <v>293.95367399999998</v>
      </c>
      <c r="T67" s="18">
        <f>'AEO 2023 Table 49 Raw'!W56</f>
        <v>293.10812399999998</v>
      </c>
      <c r="U67" s="18">
        <f>'AEO 2023 Table 49 Raw'!X56</f>
        <v>292.27783199999999</v>
      </c>
      <c r="V67" s="18">
        <f>'AEO 2023 Table 49 Raw'!Y56</f>
        <v>291.80944799999997</v>
      </c>
      <c r="W67" s="18">
        <f>'AEO 2023 Table 49 Raw'!Z56</f>
        <v>291.92584199999999</v>
      </c>
      <c r="X67" s="18">
        <f>'AEO 2023 Table 49 Raw'!AA56</f>
        <v>292.504211</v>
      </c>
      <c r="Y67" s="18">
        <f>'AEO 2023 Table 49 Raw'!AB56</f>
        <v>293.29244999999997</v>
      </c>
      <c r="Z67" s="18">
        <f>'AEO 2023 Table 49 Raw'!AC56</f>
        <v>293.97250400000001</v>
      </c>
      <c r="AA67" s="18">
        <f>'AEO 2023 Table 49 Raw'!AD56</f>
        <v>294.81460600000003</v>
      </c>
      <c r="AB67" s="18">
        <f>'AEO 2023 Table 49 Raw'!AE56</f>
        <v>295.618134</v>
      </c>
      <c r="AC67" s="18">
        <f>'AEO 2023 Table 49 Raw'!AF56</f>
        <v>296.45013399999999</v>
      </c>
      <c r="AD67" s="18">
        <f>'AEO 2023 Table 49 Raw'!AG56</f>
        <v>297.938019</v>
      </c>
      <c r="AE67" s="18">
        <f>'AEO 2023 Table 49 Raw'!AH56</f>
        <v>299.64453099999997</v>
      </c>
      <c r="AF67" s="30">
        <f>'AEO 2023 Table 49 Raw'!AI56</f>
        <v>-7.0000000000000001E-3</v>
      </c>
    </row>
    <row r="68" spans="1:32" ht="15" customHeight="1">
      <c r="A68" s="7" t="s">
        <v>793</v>
      </c>
      <c r="B68" s="16" t="s">
        <v>382</v>
      </c>
      <c r="C68" s="18">
        <f>'AEO 2023 Table 49 Raw'!F57</f>
        <v>0.66393199999999997</v>
      </c>
      <c r="D68" s="18">
        <f>'AEO 2023 Table 49 Raw'!G57</f>
        <v>0.67068700000000003</v>
      </c>
      <c r="E68" s="18">
        <f>'AEO 2023 Table 49 Raw'!H57</f>
        <v>0.67880300000000005</v>
      </c>
      <c r="F68" s="18">
        <f>'AEO 2023 Table 49 Raw'!I57</f>
        <v>0.69245299999999999</v>
      </c>
      <c r="G68" s="18">
        <f>'AEO 2023 Table 49 Raw'!J57</f>
        <v>0.71065699999999998</v>
      </c>
      <c r="H68" s="18">
        <f>'AEO 2023 Table 49 Raw'!K57</f>
        <v>0.72716999999999998</v>
      </c>
      <c r="I68" s="18">
        <f>'AEO 2023 Table 49 Raw'!L57</f>
        <v>0.74464799999999998</v>
      </c>
      <c r="J68" s="18">
        <f>'AEO 2023 Table 49 Raw'!M57</f>
        <v>0.760656</v>
      </c>
      <c r="K68" s="18">
        <f>'AEO 2023 Table 49 Raw'!N57</f>
        <v>0.77964599999999995</v>
      </c>
      <c r="L68" s="18">
        <f>'AEO 2023 Table 49 Raw'!O57</f>
        <v>0.80235199999999995</v>
      </c>
      <c r="M68" s="18">
        <f>'AEO 2023 Table 49 Raw'!P57</f>
        <v>0.83257599999999998</v>
      </c>
      <c r="N68" s="18">
        <f>'AEO 2023 Table 49 Raw'!Q57</f>
        <v>0.86914499999999995</v>
      </c>
      <c r="O68" s="18">
        <f>'AEO 2023 Table 49 Raw'!R57</f>
        <v>0.90859400000000001</v>
      </c>
      <c r="P68" s="18">
        <f>'AEO 2023 Table 49 Raw'!S57</f>
        <v>0.945886</v>
      </c>
      <c r="Q68" s="18">
        <f>'AEO 2023 Table 49 Raw'!T57</f>
        <v>0.98561200000000004</v>
      </c>
      <c r="R68" s="18">
        <f>'AEO 2023 Table 49 Raw'!U57</f>
        <v>1.0343070000000001</v>
      </c>
      <c r="S68" s="18">
        <f>'AEO 2023 Table 49 Raw'!V57</f>
        <v>1.0903769999999999</v>
      </c>
      <c r="T68" s="18">
        <f>'AEO 2023 Table 49 Raw'!W57</f>
        <v>1.153419</v>
      </c>
      <c r="U68" s="18">
        <f>'AEO 2023 Table 49 Raw'!X57</f>
        <v>1.225795</v>
      </c>
      <c r="V68" s="18">
        <f>'AEO 2023 Table 49 Raw'!Y57</f>
        <v>1.3056989999999999</v>
      </c>
      <c r="W68" s="18">
        <f>'AEO 2023 Table 49 Raw'!Z57</f>
        <v>1.3922490000000001</v>
      </c>
      <c r="X68" s="18">
        <f>'AEO 2023 Table 49 Raw'!AA57</f>
        <v>1.484488</v>
      </c>
      <c r="Y68" s="18">
        <f>'AEO 2023 Table 49 Raw'!AB57</f>
        <v>1.5809979999999999</v>
      </c>
      <c r="Z68" s="18">
        <f>'AEO 2023 Table 49 Raw'!AC57</f>
        <v>1.6801299999999999</v>
      </c>
      <c r="AA68" s="18">
        <f>'AEO 2023 Table 49 Raw'!AD57</f>
        <v>1.7820590000000001</v>
      </c>
      <c r="AB68" s="18">
        <f>'AEO 2023 Table 49 Raw'!AE57</f>
        <v>1.884468</v>
      </c>
      <c r="AC68" s="18">
        <f>'AEO 2023 Table 49 Raw'!AF57</f>
        <v>1.9861610000000001</v>
      </c>
      <c r="AD68" s="18">
        <f>'AEO 2023 Table 49 Raw'!AG57</f>
        <v>2.0826009999999999</v>
      </c>
      <c r="AE68" s="18">
        <f>'AEO 2023 Table 49 Raw'!AH57</f>
        <v>2.1823290000000002</v>
      </c>
      <c r="AF68" s="30">
        <f>'AEO 2023 Table 49 Raw'!AI57</f>
        <v>4.2999999999999997E-2</v>
      </c>
    </row>
    <row r="69" spans="1:32" ht="15" customHeight="1">
      <c r="A69" s="7" t="s">
        <v>794</v>
      </c>
      <c r="B69" s="16" t="s">
        <v>741</v>
      </c>
      <c r="C69" s="18">
        <f>'AEO 2023 Table 49 Raw'!F58</f>
        <v>0.76294700000000004</v>
      </c>
      <c r="D69" s="18">
        <f>'AEO 2023 Table 49 Raw'!G58</f>
        <v>0.71779700000000002</v>
      </c>
      <c r="E69" s="18">
        <f>'AEO 2023 Table 49 Raw'!H58</f>
        <v>0.67420999999999998</v>
      </c>
      <c r="F69" s="18">
        <f>'AEO 2023 Table 49 Raw'!I58</f>
        <v>0.63435699999999995</v>
      </c>
      <c r="G69" s="18">
        <f>'AEO 2023 Table 49 Raw'!J58</f>
        <v>0.59662400000000004</v>
      </c>
      <c r="H69" s="18">
        <f>'AEO 2023 Table 49 Raw'!K58</f>
        <v>0.55701900000000004</v>
      </c>
      <c r="I69" s="18">
        <f>'AEO 2023 Table 49 Raw'!L58</f>
        <v>0.51948000000000005</v>
      </c>
      <c r="J69" s="18">
        <f>'AEO 2023 Table 49 Raw'!M58</f>
        <v>0.48167900000000002</v>
      </c>
      <c r="K69" s="18">
        <f>'AEO 2023 Table 49 Raw'!N58</f>
        <v>0.44507600000000003</v>
      </c>
      <c r="L69" s="18">
        <f>'AEO 2023 Table 49 Raw'!O58</f>
        <v>0.41159099999999998</v>
      </c>
      <c r="M69" s="18">
        <f>'AEO 2023 Table 49 Raw'!P58</f>
        <v>0.38195299999999999</v>
      </c>
      <c r="N69" s="18">
        <f>'AEO 2023 Table 49 Raw'!Q58</f>
        <v>0.353408</v>
      </c>
      <c r="O69" s="18">
        <f>'AEO 2023 Table 49 Raw'!R58</f>
        <v>0.32573099999999999</v>
      </c>
      <c r="P69" s="18">
        <f>'AEO 2023 Table 49 Raw'!S58</f>
        <v>0.30006699999999997</v>
      </c>
      <c r="Q69" s="18">
        <f>'AEO 2023 Table 49 Raw'!T58</f>
        <v>0.27565400000000001</v>
      </c>
      <c r="R69" s="18">
        <f>'AEO 2023 Table 49 Raw'!U58</f>
        <v>0.25478499999999998</v>
      </c>
      <c r="S69" s="18">
        <f>'AEO 2023 Table 49 Raw'!V58</f>
        <v>0.23588799999999999</v>
      </c>
      <c r="T69" s="18">
        <f>'AEO 2023 Table 49 Raw'!W58</f>
        <v>0.21936</v>
      </c>
      <c r="U69" s="18">
        <f>'AEO 2023 Table 49 Raw'!X58</f>
        <v>0.204011</v>
      </c>
      <c r="V69" s="18">
        <f>'AEO 2023 Table 49 Raw'!Y58</f>
        <v>0.18836</v>
      </c>
      <c r="W69" s="18">
        <f>'AEO 2023 Table 49 Raw'!Z58</f>
        <v>0.17463999999999999</v>
      </c>
      <c r="X69" s="18">
        <f>'AEO 2023 Table 49 Raw'!AA58</f>
        <v>0.158723</v>
      </c>
      <c r="Y69" s="18">
        <f>'AEO 2023 Table 49 Raw'!AB58</f>
        <v>0.14244699999999999</v>
      </c>
      <c r="Z69" s="18">
        <f>'AEO 2023 Table 49 Raw'!AC58</f>
        <v>0.12915199999999999</v>
      </c>
      <c r="AA69" s="18">
        <f>'AEO 2023 Table 49 Raw'!AD58</f>
        <v>0.118099</v>
      </c>
      <c r="AB69" s="18">
        <f>'AEO 2023 Table 49 Raw'!AE58</f>
        <v>0.106783</v>
      </c>
      <c r="AC69" s="18">
        <f>'AEO 2023 Table 49 Raw'!AF58</f>
        <v>9.5460000000000003E-2</v>
      </c>
      <c r="AD69" s="18">
        <f>'AEO 2023 Table 49 Raw'!AG58</f>
        <v>8.5358000000000003E-2</v>
      </c>
      <c r="AE69" s="18">
        <f>'AEO 2023 Table 49 Raw'!AH58</f>
        <v>7.6896000000000006E-2</v>
      </c>
      <c r="AF69" s="30">
        <f>'AEO 2023 Table 49 Raw'!AI58</f>
        <v>-7.9000000000000001E-2</v>
      </c>
    </row>
    <row r="70" spans="1:32" ht="12" customHeight="1">
      <c r="A70" s="7" t="s">
        <v>795</v>
      </c>
      <c r="B70" s="16" t="s">
        <v>743</v>
      </c>
      <c r="C70" s="18">
        <f>'AEO 2023 Table 49 Raw'!F59</f>
        <v>10.430758000000001</v>
      </c>
      <c r="D70" s="18">
        <f>'AEO 2023 Table 49 Raw'!G59</f>
        <v>10.828306</v>
      </c>
      <c r="E70" s="18">
        <f>'AEO 2023 Table 49 Raw'!H59</f>
        <v>11.286505999999999</v>
      </c>
      <c r="F70" s="18">
        <f>'AEO 2023 Table 49 Raw'!I59</f>
        <v>11.871587</v>
      </c>
      <c r="G70" s="18">
        <f>'AEO 2023 Table 49 Raw'!J59</f>
        <v>12.567764</v>
      </c>
      <c r="H70" s="18">
        <f>'AEO 2023 Table 49 Raw'!K59</f>
        <v>13.31671</v>
      </c>
      <c r="I70" s="18">
        <f>'AEO 2023 Table 49 Raw'!L59</f>
        <v>14.132089000000001</v>
      </c>
      <c r="J70" s="18">
        <f>'AEO 2023 Table 49 Raw'!M59</f>
        <v>14.969037999999999</v>
      </c>
      <c r="K70" s="18">
        <f>'AEO 2023 Table 49 Raw'!N59</f>
        <v>15.886168</v>
      </c>
      <c r="L70" s="18">
        <f>'AEO 2023 Table 49 Raw'!O59</f>
        <v>16.907169</v>
      </c>
      <c r="M70" s="18">
        <f>'AEO 2023 Table 49 Raw'!P59</f>
        <v>18.109857999999999</v>
      </c>
      <c r="N70" s="18">
        <f>'AEO 2023 Table 49 Raw'!Q59</f>
        <v>19.412040999999999</v>
      </c>
      <c r="O70" s="18">
        <f>'AEO 2023 Table 49 Raw'!R59</f>
        <v>20.819136</v>
      </c>
      <c r="P70" s="18">
        <f>'AEO 2023 Table 49 Raw'!S59</f>
        <v>22.333103000000001</v>
      </c>
      <c r="Q70" s="18">
        <f>'AEO 2023 Table 49 Raw'!T59</f>
        <v>23.839766999999998</v>
      </c>
      <c r="R70" s="18">
        <f>'AEO 2023 Table 49 Raw'!U59</f>
        <v>25.520502</v>
      </c>
      <c r="S70" s="18">
        <f>'AEO 2023 Table 49 Raw'!V59</f>
        <v>27.246191</v>
      </c>
      <c r="T70" s="18">
        <f>'AEO 2023 Table 49 Raw'!W59</f>
        <v>28.969595000000002</v>
      </c>
      <c r="U70" s="18">
        <f>'AEO 2023 Table 49 Raw'!X59</f>
        <v>30.822426</v>
      </c>
      <c r="V70" s="18">
        <f>'AEO 2023 Table 49 Raw'!Y59</f>
        <v>32.632908</v>
      </c>
      <c r="W70" s="18">
        <f>'AEO 2023 Table 49 Raw'!Z59</f>
        <v>34.439242999999998</v>
      </c>
      <c r="X70" s="18">
        <f>'AEO 2023 Table 49 Raw'!AA59</f>
        <v>36.195014999999998</v>
      </c>
      <c r="Y70" s="18">
        <f>'AEO 2023 Table 49 Raw'!AB59</f>
        <v>37.869453</v>
      </c>
      <c r="Z70" s="18">
        <f>'AEO 2023 Table 49 Raw'!AC59</f>
        <v>39.473038000000003</v>
      </c>
      <c r="AA70" s="18">
        <f>'AEO 2023 Table 49 Raw'!AD59</f>
        <v>41.030662999999997</v>
      </c>
      <c r="AB70" s="18">
        <f>'AEO 2023 Table 49 Raw'!AE59</f>
        <v>42.506256</v>
      </c>
      <c r="AC70" s="18">
        <f>'AEO 2023 Table 49 Raw'!AF59</f>
        <v>43.889240000000001</v>
      </c>
      <c r="AD70" s="18">
        <f>'AEO 2023 Table 49 Raw'!AG59</f>
        <v>45.314704999999996</v>
      </c>
      <c r="AE70" s="18">
        <f>'AEO 2023 Table 49 Raw'!AH59</f>
        <v>46.748733999999999</v>
      </c>
      <c r="AF70" s="30">
        <f>'AEO 2023 Table 49 Raw'!AI59</f>
        <v>5.5E-2</v>
      </c>
    </row>
    <row r="71" spans="1:32" ht="15" customHeight="1">
      <c r="A71" s="7" t="s">
        <v>796</v>
      </c>
      <c r="B71" s="16" t="s">
        <v>745</v>
      </c>
      <c r="C71" s="18">
        <f>'AEO 2023 Table 49 Raw'!F60</f>
        <v>3.7860999999999999E-2</v>
      </c>
      <c r="D71" s="18">
        <f>'AEO 2023 Table 49 Raw'!G60</f>
        <v>4.3709999999999999E-2</v>
      </c>
      <c r="E71" s="18">
        <f>'AEO 2023 Table 49 Raw'!H60</f>
        <v>4.7997999999999999E-2</v>
      </c>
      <c r="F71" s="18">
        <f>'AEO 2023 Table 49 Raw'!I60</f>
        <v>5.1563999999999999E-2</v>
      </c>
      <c r="G71" s="18">
        <f>'AEO 2023 Table 49 Raw'!J60</f>
        <v>5.4260999999999997E-2</v>
      </c>
      <c r="H71" s="18">
        <f>'AEO 2023 Table 49 Raw'!K60</f>
        <v>5.5766000000000003E-2</v>
      </c>
      <c r="I71" s="18">
        <f>'AEO 2023 Table 49 Raw'!L60</f>
        <v>5.6363999999999997E-2</v>
      </c>
      <c r="J71" s="18">
        <f>'AEO 2023 Table 49 Raw'!M60</f>
        <v>5.6127999999999997E-2</v>
      </c>
      <c r="K71" s="18">
        <f>'AEO 2023 Table 49 Raw'!N60</f>
        <v>5.5379999999999999E-2</v>
      </c>
      <c r="L71" s="18">
        <f>'AEO 2023 Table 49 Raw'!O60</f>
        <v>5.4268999999999998E-2</v>
      </c>
      <c r="M71" s="18">
        <f>'AEO 2023 Table 49 Raw'!P60</f>
        <v>5.2969000000000002E-2</v>
      </c>
      <c r="N71" s="18">
        <f>'AEO 2023 Table 49 Raw'!Q60</f>
        <v>5.1353999999999997E-2</v>
      </c>
      <c r="O71" s="18">
        <f>'AEO 2023 Table 49 Raw'!R60</f>
        <v>4.9551999999999999E-2</v>
      </c>
      <c r="P71" s="18">
        <f>'AEO 2023 Table 49 Raw'!S60</f>
        <v>4.7759999999999997E-2</v>
      </c>
      <c r="Q71" s="18">
        <f>'AEO 2023 Table 49 Raw'!T60</f>
        <v>4.5504999999999997E-2</v>
      </c>
      <c r="R71" s="18">
        <f>'AEO 2023 Table 49 Raw'!U60</f>
        <v>4.3230999999999999E-2</v>
      </c>
      <c r="S71" s="18">
        <f>'AEO 2023 Table 49 Raw'!V60</f>
        <v>4.1355999999999997E-2</v>
      </c>
      <c r="T71" s="18">
        <f>'AEO 2023 Table 49 Raw'!W60</f>
        <v>3.9386999999999998E-2</v>
      </c>
      <c r="U71" s="18">
        <f>'AEO 2023 Table 49 Raw'!X60</f>
        <v>3.7150000000000002E-2</v>
      </c>
      <c r="V71" s="18">
        <f>'AEO 2023 Table 49 Raw'!Y60</f>
        <v>3.4993999999999997E-2</v>
      </c>
      <c r="W71" s="18">
        <f>'AEO 2023 Table 49 Raw'!Z60</f>
        <v>3.3027000000000001E-2</v>
      </c>
      <c r="X71" s="18">
        <f>'AEO 2023 Table 49 Raw'!AA60</f>
        <v>3.1154999999999999E-2</v>
      </c>
      <c r="Y71" s="18">
        <f>'AEO 2023 Table 49 Raw'!AB60</f>
        <v>2.9354999999999999E-2</v>
      </c>
      <c r="Z71" s="18">
        <f>'AEO 2023 Table 49 Raw'!AC60</f>
        <v>2.7653E-2</v>
      </c>
      <c r="AA71" s="18">
        <f>'AEO 2023 Table 49 Raw'!AD60</f>
        <v>2.6076999999999999E-2</v>
      </c>
      <c r="AB71" s="18">
        <f>'AEO 2023 Table 49 Raw'!AE60</f>
        <v>2.4584999999999999E-2</v>
      </c>
      <c r="AC71" s="18">
        <f>'AEO 2023 Table 49 Raw'!AF60</f>
        <v>2.3174E-2</v>
      </c>
      <c r="AD71" s="18">
        <f>'AEO 2023 Table 49 Raw'!AG60</f>
        <v>2.1876E-2</v>
      </c>
      <c r="AE71" s="18">
        <f>'AEO 2023 Table 49 Raw'!AH60</f>
        <v>2.0629999999999999E-2</v>
      </c>
      <c r="AF71" s="30">
        <f>'AEO 2023 Table 49 Raw'!AI60</f>
        <v>-2.1000000000000001E-2</v>
      </c>
    </row>
    <row r="72" spans="1:32" ht="15" customHeight="1">
      <c r="A72" s="7" t="s">
        <v>797</v>
      </c>
      <c r="B72" s="16" t="s">
        <v>747</v>
      </c>
      <c r="C72" s="18">
        <f>'AEO 2023 Table 49 Raw'!F61</f>
        <v>0</v>
      </c>
      <c r="D72" s="18">
        <f>'AEO 2023 Table 49 Raw'!G61</f>
        <v>0</v>
      </c>
      <c r="E72" s="18">
        <f>'AEO 2023 Table 49 Raw'!H61</f>
        <v>3.8661000000000001E-2</v>
      </c>
      <c r="F72" s="18">
        <f>'AEO 2023 Table 49 Raw'!I61</f>
        <v>7.6413999999999996E-2</v>
      </c>
      <c r="G72" s="18">
        <f>'AEO 2023 Table 49 Raw'!J61</f>
        <v>0.11343300000000001</v>
      </c>
      <c r="H72" s="18">
        <f>'AEO 2023 Table 49 Raw'!K61</f>
        <v>0.14805499999999999</v>
      </c>
      <c r="I72" s="18">
        <f>'AEO 2023 Table 49 Raw'!L61</f>
        <v>0.18076100000000001</v>
      </c>
      <c r="J72" s="18">
        <f>'AEO 2023 Table 49 Raw'!M61</f>
        <v>0.21062</v>
      </c>
      <c r="K72" s="18">
        <f>'AEO 2023 Table 49 Raw'!N61</f>
        <v>0.23810300000000001</v>
      </c>
      <c r="L72" s="18">
        <f>'AEO 2023 Table 49 Raw'!O61</f>
        <v>0.26388400000000001</v>
      </c>
      <c r="M72" s="18">
        <f>'AEO 2023 Table 49 Raw'!P61</f>
        <v>0.28945799999999999</v>
      </c>
      <c r="N72" s="18">
        <f>'AEO 2023 Table 49 Raw'!Q61</f>
        <v>0.31404100000000001</v>
      </c>
      <c r="O72" s="18">
        <f>'AEO 2023 Table 49 Raw'!R61</f>
        <v>0.33735700000000002</v>
      </c>
      <c r="P72" s="18">
        <f>'AEO 2023 Table 49 Raw'!S61</f>
        <v>0.36081600000000003</v>
      </c>
      <c r="Q72" s="18">
        <f>'AEO 2023 Table 49 Raw'!T61</f>
        <v>0.38390299999999999</v>
      </c>
      <c r="R72" s="18">
        <f>'AEO 2023 Table 49 Raw'!U61</f>
        <v>0.40889700000000001</v>
      </c>
      <c r="S72" s="18">
        <f>'AEO 2023 Table 49 Raw'!V61</f>
        <v>0.435332</v>
      </c>
      <c r="T72" s="18">
        <f>'AEO 2023 Table 49 Raw'!W61</f>
        <v>0.46310400000000002</v>
      </c>
      <c r="U72" s="18">
        <f>'AEO 2023 Table 49 Raw'!X61</f>
        <v>0.49369800000000003</v>
      </c>
      <c r="V72" s="18">
        <f>'AEO 2023 Table 49 Raw'!Y61</f>
        <v>0.52685999999999999</v>
      </c>
      <c r="W72" s="18">
        <f>'AEO 2023 Table 49 Raw'!Z61</f>
        <v>0.56333100000000003</v>
      </c>
      <c r="X72" s="18">
        <f>'AEO 2023 Table 49 Raw'!AA61</f>
        <v>0.60099999999999998</v>
      </c>
      <c r="Y72" s="18">
        <f>'AEO 2023 Table 49 Raw'!AB61</f>
        <v>0.64114800000000005</v>
      </c>
      <c r="Z72" s="18">
        <f>'AEO 2023 Table 49 Raw'!AC61</f>
        <v>0.68338600000000005</v>
      </c>
      <c r="AA72" s="18">
        <f>'AEO 2023 Table 49 Raw'!AD61</f>
        <v>0.72826199999999996</v>
      </c>
      <c r="AB72" s="18">
        <f>'AEO 2023 Table 49 Raw'!AE61</f>
        <v>0.77503500000000003</v>
      </c>
      <c r="AC72" s="18">
        <f>'AEO 2023 Table 49 Raw'!AF61</f>
        <v>0.82349799999999995</v>
      </c>
      <c r="AD72" s="18">
        <f>'AEO 2023 Table 49 Raw'!AG61</f>
        <v>0.87576799999999999</v>
      </c>
      <c r="AE72" s="18">
        <f>'AEO 2023 Table 49 Raw'!AH61</f>
        <v>0.93063399999999996</v>
      </c>
      <c r="AF72" s="30" t="str">
        <f>'AEO 2023 Table 49 Raw'!AI61</f>
        <v>- -</v>
      </c>
    </row>
    <row r="73" spans="1:32" ht="15" customHeight="1">
      <c r="A73" s="7" t="s">
        <v>798</v>
      </c>
      <c r="B73" s="16" t="s">
        <v>749</v>
      </c>
      <c r="C73" s="18">
        <f>'AEO 2023 Table 49 Raw'!F62</f>
        <v>0</v>
      </c>
      <c r="D73" s="18">
        <f>'AEO 2023 Table 49 Raw'!G62</f>
        <v>0</v>
      </c>
      <c r="E73" s="18">
        <f>'AEO 2023 Table 49 Raw'!H62</f>
        <v>4.8370000000000003E-2</v>
      </c>
      <c r="F73" s="18">
        <f>'AEO 2023 Table 49 Raw'!I62</f>
        <v>9.4232999999999997E-2</v>
      </c>
      <c r="G73" s="18">
        <f>'AEO 2023 Table 49 Raw'!J62</f>
        <v>0.13824400000000001</v>
      </c>
      <c r="H73" s="18">
        <f>'AEO 2023 Table 49 Raw'!K62</f>
        <v>0.17905299999999999</v>
      </c>
      <c r="I73" s="18">
        <f>'AEO 2023 Table 49 Raw'!L62</f>
        <v>0.21695200000000001</v>
      </c>
      <c r="J73" s="18">
        <f>'AEO 2023 Table 49 Raw'!M62</f>
        <v>0.25115599999999999</v>
      </c>
      <c r="K73" s="18">
        <f>'AEO 2023 Table 49 Raw'!N62</f>
        <v>0.28272599999999998</v>
      </c>
      <c r="L73" s="18">
        <f>'AEO 2023 Table 49 Raw'!O62</f>
        <v>0.313085</v>
      </c>
      <c r="M73" s="18">
        <f>'AEO 2023 Table 49 Raw'!P62</f>
        <v>0.344219</v>
      </c>
      <c r="N73" s="18">
        <f>'AEO 2023 Table 49 Raw'!Q62</f>
        <v>0.37559399999999998</v>
      </c>
      <c r="O73" s="18">
        <f>'AEO 2023 Table 49 Raw'!R62</f>
        <v>0.40673199999999998</v>
      </c>
      <c r="P73" s="18">
        <f>'AEO 2023 Table 49 Raw'!S62</f>
        <v>0.43945800000000002</v>
      </c>
      <c r="Q73" s="18">
        <f>'AEO 2023 Table 49 Raw'!T62</f>
        <v>0.473408</v>
      </c>
      <c r="R73" s="18">
        <f>'AEO 2023 Table 49 Raw'!U62</f>
        <v>0.511772</v>
      </c>
      <c r="S73" s="18">
        <f>'AEO 2023 Table 49 Raw'!V62</f>
        <v>0.55420800000000003</v>
      </c>
      <c r="T73" s="18">
        <f>'AEO 2023 Table 49 Raw'!W62</f>
        <v>0.60096400000000005</v>
      </c>
      <c r="U73" s="18">
        <f>'AEO 2023 Table 49 Raw'!X62</f>
        <v>0.65425299999999997</v>
      </c>
      <c r="V73" s="18">
        <f>'AEO 2023 Table 49 Raw'!Y62</f>
        <v>0.71394500000000005</v>
      </c>
      <c r="W73" s="18">
        <f>'AEO 2023 Table 49 Raw'!Z62</f>
        <v>0.78086999999999995</v>
      </c>
      <c r="X73" s="18">
        <f>'AEO 2023 Table 49 Raw'!AA62</f>
        <v>0.85239799999999999</v>
      </c>
      <c r="Y73" s="18">
        <f>'AEO 2023 Table 49 Raw'!AB62</f>
        <v>0.930037</v>
      </c>
      <c r="Z73" s="18">
        <f>'AEO 2023 Table 49 Raw'!AC62</f>
        <v>1.013144</v>
      </c>
      <c r="AA73" s="18">
        <f>'AEO 2023 Table 49 Raw'!AD62</f>
        <v>1.1022259999999999</v>
      </c>
      <c r="AB73" s="18">
        <f>'AEO 2023 Table 49 Raw'!AE62</f>
        <v>1.195867</v>
      </c>
      <c r="AC73" s="18">
        <f>'AEO 2023 Table 49 Raw'!AF62</f>
        <v>1.2934749999999999</v>
      </c>
      <c r="AD73" s="18">
        <f>'AEO 2023 Table 49 Raw'!AG62</f>
        <v>1.3978710000000001</v>
      </c>
      <c r="AE73" s="18">
        <f>'AEO 2023 Table 49 Raw'!AH62</f>
        <v>1.5072430000000001</v>
      </c>
      <c r="AF73" s="30" t="str">
        <f>'AEO 2023 Table 49 Raw'!AI62</f>
        <v>- -</v>
      </c>
    </row>
    <row r="74" spans="1:32" ht="15" customHeight="1">
      <c r="A74" s="7" t="s">
        <v>799</v>
      </c>
      <c r="B74" s="16" t="s">
        <v>751</v>
      </c>
      <c r="C74" s="18">
        <f>'AEO 2023 Table 49 Raw'!F63</f>
        <v>0</v>
      </c>
      <c r="D74" s="18">
        <f>'AEO 2023 Table 49 Raw'!G63</f>
        <v>0</v>
      </c>
      <c r="E74" s="18">
        <f>'AEO 2023 Table 49 Raw'!H63</f>
        <v>8.1702999999999998E-2</v>
      </c>
      <c r="F74" s="18">
        <f>'AEO 2023 Table 49 Raw'!I63</f>
        <v>0.16492399999999999</v>
      </c>
      <c r="G74" s="18">
        <f>'AEO 2023 Table 49 Raw'!J63</f>
        <v>0.249639</v>
      </c>
      <c r="H74" s="18">
        <f>'AEO 2023 Table 49 Raw'!K63</f>
        <v>0.33211400000000002</v>
      </c>
      <c r="I74" s="18">
        <f>'AEO 2023 Table 49 Raw'!L63</f>
        <v>0.41172500000000001</v>
      </c>
      <c r="J74" s="18">
        <f>'AEO 2023 Table 49 Raw'!M63</f>
        <v>0.48722900000000002</v>
      </c>
      <c r="K74" s="18">
        <f>'AEO 2023 Table 49 Raw'!N63</f>
        <v>0.55920099999999995</v>
      </c>
      <c r="L74" s="18">
        <f>'AEO 2023 Table 49 Raw'!O63</f>
        <v>0.62911099999999998</v>
      </c>
      <c r="M74" s="18">
        <f>'AEO 2023 Table 49 Raw'!P63</f>
        <v>0.70016299999999998</v>
      </c>
      <c r="N74" s="18">
        <f>'AEO 2023 Table 49 Raw'!Q63</f>
        <v>0.76988800000000002</v>
      </c>
      <c r="O74" s="18">
        <f>'AEO 2023 Table 49 Raw'!R63</f>
        <v>0.837453</v>
      </c>
      <c r="P74" s="18">
        <f>'AEO 2023 Table 49 Raw'!S63</f>
        <v>0.90615100000000004</v>
      </c>
      <c r="Q74" s="18">
        <f>'AEO 2023 Table 49 Raw'!T63</f>
        <v>0.97520799999999996</v>
      </c>
      <c r="R74" s="18">
        <f>'AEO 2023 Table 49 Raw'!U63</f>
        <v>1.050481</v>
      </c>
      <c r="S74" s="18">
        <f>'AEO 2023 Table 49 Raw'!V63</f>
        <v>1.1308</v>
      </c>
      <c r="T74" s="18">
        <f>'AEO 2023 Table 49 Raw'!W63</f>
        <v>1.216048</v>
      </c>
      <c r="U74" s="18">
        <f>'AEO 2023 Table 49 Raw'!X63</f>
        <v>1.310146</v>
      </c>
      <c r="V74" s="18">
        <f>'AEO 2023 Table 49 Raw'!Y63</f>
        <v>1.412428</v>
      </c>
      <c r="W74" s="18">
        <f>'AEO 2023 Table 49 Raw'!Z63</f>
        <v>1.5248949999999999</v>
      </c>
      <c r="X74" s="18">
        <f>'AEO 2023 Table 49 Raw'!AA63</f>
        <v>1.643073</v>
      </c>
      <c r="Y74" s="18">
        <f>'AEO 2023 Table 49 Raw'!AB63</f>
        <v>1.769298</v>
      </c>
      <c r="Z74" s="18">
        <f>'AEO 2023 Table 49 Raw'!AC63</f>
        <v>1.902334</v>
      </c>
      <c r="AA74" s="18">
        <f>'AEO 2023 Table 49 Raw'!AD63</f>
        <v>2.0436429999999999</v>
      </c>
      <c r="AB74" s="18">
        <f>'AEO 2023 Table 49 Raw'!AE63</f>
        <v>2.1911909999999999</v>
      </c>
      <c r="AC74" s="18">
        <f>'AEO 2023 Table 49 Raw'!AF63</f>
        <v>2.34422</v>
      </c>
      <c r="AD74" s="18">
        <f>'AEO 2023 Table 49 Raw'!AG63</f>
        <v>2.5079220000000002</v>
      </c>
      <c r="AE74" s="18">
        <f>'AEO 2023 Table 49 Raw'!AH63</f>
        <v>2.679551</v>
      </c>
      <c r="AF74" s="30" t="str">
        <f>'AEO 2023 Table 49 Raw'!AI63</f>
        <v>- -</v>
      </c>
    </row>
    <row r="75" spans="1:32" ht="15" customHeight="1">
      <c r="A75" s="7" t="s">
        <v>800</v>
      </c>
      <c r="B75" s="16" t="s">
        <v>765</v>
      </c>
      <c r="C75" s="18">
        <f>'AEO 2023 Table 49 Raw'!F64</f>
        <v>969.94104000000004</v>
      </c>
      <c r="D75" s="18">
        <f>'AEO 2023 Table 49 Raw'!G64</f>
        <v>940.81140100000005</v>
      </c>
      <c r="E75" s="18">
        <f>'AEO 2023 Table 49 Raw'!H64</f>
        <v>917.15948500000002</v>
      </c>
      <c r="F75" s="18">
        <f>'AEO 2023 Table 49 Raw'!I64</f>
        <v>901.62683100000004</v>
      </c>
      <c r="G75" s="18">
        <f>'AEO 2023 Table 49 Raw'!J64</f>
        <v>890.986267</v>
      </c>
      <c r="H75" s="18">
        <f>'AEO 2023 Table 49 Raw'!K64</f>
        <v>878.49066200000004</v>
      </c>
      <c r="I75" s="18">
        <f>'AEO 2023 Table 49 Raw'!L64</f>
        <v>867.02545199999997</v>
      </c>
      <c r="J75" s="18">
        <f>'AEO 2023 Table 49 Raw'!M64</f>
        <v>854.45935099999997</v>
      </c>
      <c r="K75" s="18">
        <f>'AEO 2023 Table 49 Raw'!N64</f>
        <v>843.13299600000005</v>
      </c>
      <c r="L75" s="18">
        <f>'AEO 2023 Table 49 Raw'!O64</f>
        <v>833.16625999999997</v>
      </c>
      <c r="M75" s="18">
        <f>'AEO 2023 Table 49 Raw'!P64</f>
        <v>827.27294900000004</v>
      </c>
      <c r="N75" s="18">
        <f>'AEO 2023 Table 49 Raw'!Q64</f>
        <v>820.74218800000006</v>
      </c>
      <c r="O75" s="18">
        <f>'AEO 2023 Table 49 Raw'!R64</f>
        <v>813.97717299999999</v>
      </c>
      <c r="P75" s="18">
        <f>'AEO 2023 Table 49 Raw'!S64</f>
        <v>809.44793700000002</v>
      </c>
      <c r="Q75" s="18">
        <f>'AEO 2023 Table 49 Raw'!T64</f>
        <v>804.86724900000002</v>
      </c>
      <c r="R75" s="18">
        <f>'AEO 2023 Table 49 Raw'!U64</f>
        <v>804.27380400000004</v>
      </c>
      <c r="S75" s="18">
        <f>'AEO 2023 Table 49 Raw'!V64</f>
        <v>803.65301499999998</v>
      </c>
      <c r="T75" s="18">
        <f>'AEO 2023 Table 49 Raw'!W64</f>
        <v>803.74835199999995</v>
      </c>
      <c r="U75" s="18">
        <f>'AEO 2023 Table 49 Raw'!X64</f>
        <v>804.90423599999997</v>
      </c>
      <c r="V75" s="18">
        <f>'AEO 2023 Table 49 Raw'!Y64</f>
        <v>806.42053199999998</v>
      </c>
      <c r="W75" s="18">
        <f>'AEO 2023 Table 49 Raw'!Z64</f>
        <v>809.15692100000001</v>
      </c>
      <c r="X75" s="18">
        <f>'AEO 2023 Table 49 Raw'!AA64</f>
        <v>813.02740500000004</v>
      </c>
      <c r="Y75" s="18">
        <f>'AEO 2023 Table 49 Raw'!AB64</f>
        <v>817.48468000000003</v>
      </c>
      <c r="Z75" s="18">
        <f>'AEO 2023 Table 49 Raw'!AC64</f>
        <v>821.82128899999998</v>
      </c>
      <c r="AA75" s="18">
        <f>'AEO 2023 Table 49 Raw'!AD64</f>
        <v>826.55474900000002</v>
      </c>
      <c r="AB75" s="18">
        <f>'AEO 2023 Table 49 Raw'!AE64</f>
        <v>831.33837900000003</v>
      </c>
      <c r="AC75" s="18">
        <f>'AEO 2023 Table 49 Raw'!AF64</f>
        <v>836.18963599999995</v>
      </c>
      <c r="AD75" s="18">
        <f>'AEO 2023 Table 49 Raw'!AG64</f>
        <v>842.79064900000003</v>
      </c>
      <c r="AE75" s="18">
        <f>'AEO 2023 Table 49 Raw'!AH64</f>
        <v>850.25305200000003</v>
      </c>
      <c r="AF75" s="30">
        <f>'AEO 2023 Table 49 Raw'!AI64</f>
        <v>-5.0000000000000001E-3</v>
      </c>
    </row>
    <row r="76" spans="1:32" ht="15" customHeight="1">
      <c r="B76" s="15" t="s">
        <v>766</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30"/>
    </row>
    <row r="77" spans="1:32" ht="15" customHeight="1">
      <c r="A77" s="7" t="s">
        <v>801</v>
      </c>
      <c r="B77" s="16" t="s">
        <v>736</v>
      </c>
      <c r="C77" s="18">
        <f>'AEO 2023 Table 49 Raw'!F66</f>
        <v>4148.1689450000003</v>
      </c>
      <c r="D77" s="18">
        <f>'AEO 2023 Table 49 Raw'!G66</f>
        <v>4031.2768550000001</v>
      </c>
      <c r="E77" s="18">
        <f>'AEO 2023 Table 49 Raw'!H66</f>
        <v>3923.3715820000002</v>
      </c>
      <c r="F77" s="18">
        <f>'AEO 2023 Table 49 Raw'!I66</f>
        <v>3854.0532229999999</v>
      </c>
      <c r="G77" s="18">
        <f>'AEO 2023 Table 49 Raw'!J66</f>
        <v>3806.7148440000001</v>
      </c>
      <c r="H77" s="18">
        <f>'AEO 2023 Table 49 Raw'!K66</f>
        <v>3750.2373050000001</v>
      </c>
      <c r="I77" s="18">
        <f>'AEO 2023 Table 49 Raw'!L66</f>
        <v>3693.4155270000001</v>
      </c>
      <c r="J77" s="18">
        <f>'AEO 2023 Table 49 Raw'!M66</f>
        <v>3630.9484859999998</v>
      </c>
      <c r="K77" s="18">
        <f>'AEO 2023 Table 49 Raw'!N66</f>
        <v>3571.5920409999999</v>
      </c>
      <c r="L77" s="18">
        <f>'AEO 2023 Table 49 Raw'!O66</f>
        <v>3516.5554200000001</v>
      </c>
      <c r="M77" s="18">
        <f>'AEO 2023 Table 49 Raw'!P66</f>
        <v>3472.7036130000001</v>
      </c>
      <c r="N77" s="18">
        <f>'AEO 2023 Table 49 Raw'!Q66</f>
        <v>3426.9506839999999</v>
      </c>
      <c r="O77" s="18">
        <f>'AEO 2023 Table 49 Raw'!R66</f>
        <v>3378.28125</v>
      </c>
      <c r="P77" s="18">
        <f>'AEO 2023 Table 49 Raw'!S66</f>
        <v>3336.9165039999998</v>
      </c>
      <c r="Q77" s="18">
        <f>'AEO 2023 Table 49 Raw'!T66</f>
        <v>3294.4421390000002</v>
      </c>
      <c r="R77" s="18">
        <f>'AEO 2023 Table 49 Raw'!U66</f>
        <v>3266.608643</v>
      </c>
      <c r="S77" s="18">
        <f>'AEO 2023 Table 49 Raw'!V66</f>
        <v>3244.7055660000001</v>
      </c>
      <c r="T77" s="18">
        <f>'AEO 2023 Table 49 Raw'!W66</f>
        <v>3221.592529</v>
      </c>
      <c r="U77" s="18">
        <f>'AEO 2023 Table 49 Raw'!X66</f>
        <v>3204.0227049999999</v>
      </c>
      <c r="V77" s="18">
        <f>'AEO 2023 Table 49 Raw'!Y66</f>
        <v>3185.608643</v>
      </c>
      <c r="W77" s="18">
        <f>'AEO 2023 Table 49 Raw'!Z66</f>
        <v>3171.5009770000001</v>
      </c>
      <c r="X77" s="18">
        <f>'AEO 2023 Table 49 Raw'!AA66</f>
        <v>3157.0290530000002</v>
      </c>
      <c r="Y77" s="18">
        <f>'AEO 2023 Table 49 Raw'!AB66</f>
        <v>3141.9304200000001</v>
      </c>
      <c r="Z77" s="18">
        <f>'AEO 2023 Table 49 Raw'!AC66</f>
        <v>3125.6206050000001</v>
      </c>
      <c r="AA77" s="18">
        <f>'AEO 2023 Table 49 Raw'!AD66</f>
        <v>3109.5190429999998</v>
      </c>
      <c r="AB77" s="18">
        <f>'AEO 2023 Table 49 Raw'!AE66</f>
        <v>3091.6689449999999</v>
      </c>
      <c r="AC77" s="18">
        <f>'AEO 2023 Table 49 Raw'!AF66</f>
        <v>3072.7773440000001</v>
      </c>
      <c r="AD77" s="18">
        <f>'AEO 2023 Table 49 Raw'!AG66</f>
        <v>3059.4216310000002</v>
      </c>
      <c r="AE77" s="18">
        <f>'AEO 2023 Table 49 Raw'!AH66</f>
        <v>3049.4814449999999</v>
      </c>
      <c r="AF77" s="30">
        <f>'AEO 2023 Table 49 Raw'!AI66</f>
        <v>-1.0999999999999999E-2</v>
      </c>
    </row>
    <row r="78" spans="1:32" ht="15" customHeight="1">
      <c r="A78" s="7" t="s">
        <v>802</v>
      </c>
      <c r="B78" s="16" t="s">
        <v>738</v>
      </c>
      <c r="C78" s="18">
        <f>'AEO 2023 Table 49 Raw'!F67</f>
        <v>3.9627940000000001</v>
      </c>
      <c r="D78" s="18">
        <f>'AEO 2023 Table 49 Raw'!G67</f>
        <v>3.8460070000000002</v>
      </c>
      <c r="E78" s="18">
        <f>'AEO 2023 Table 49 Raw'!H67</f>
        <v>3.804529</v>
      </c>
      <c r="F78" s="18">
        <f>'AEO 2023 Table 49 Raw'!I67</f>
        <v>3.841955</v>
      </c>
      <c r="G78" s="18">
        <f>'AEO 2023 Table 49 Raw'!J67</f>
        <v>3.9621430000000002</v>
      </c>
      <c r="H78" s="18">
        <f>'AEO 2023 Table 49 Raw'!K67</f>
        <v>4.1158770000000002</v>
      </c>
      <c r="I78" s="18">
        <f>'AEO 2023 Table 49 Raw'!L67</f>
        <v>4.2837519999999998</v>
      </c>
      <c r="J78" s="18">
        <f>'AEO 2023 Table 49 Raw'!M67</f>
        <v>4.4468259999999997</v>
      </c>
      <c r="K78" s="18">
        <f>'AEO 2023 Table 49 Raw'!N67</f>
        <v>4.6316410000000001</v>
      </c>
      <c r="L78" s="18">
        <f>'AEO 2023 Table 49 Raw'!O67</f>
        <v>4.8100990000000001</v>
      </c>
      <c r="M78" s="18">
        <f>'AEO 2023 Table 49 Raw'!P67</f>
        <v>4.9843229999999998</v>
      </c>
      <c r="N78" s="18">
        <f>'AEO 2023 Table 49 Raw'!Q67</f>
        <v>5.1373819999999997</v>
      </c>
      <c r="O78" s="18">
        <f>'AEO 2023 Table 49 Raw'!R67</f>
        <v>5.265428</v>
      </c>
      <c r="P78" s="18">
        <f>'AEO 2023 Table 49 Raw'!S67</f>
        <v>5.3822130000000001</v>
      </c>
      <c r="Q78" s="18">
        <f>'AEO 2023 Table 49 Raw'!T67</f>
        <v>5.4628730000000001</v>
      </c>
      <c r="R78" s="18">
        <f>'AEO 2023 Table 49 Raw'!U67</f>
        <v>5.5420579999999999</v>
      </c>
      <c r="S78" s="18">
        <f>'AEO 2023 Table 49 Raw'!V67</f>
        <v>5.6001430000000001</v>
      </c>
      <c r="T78" s="18">
        <f>'AEO 2023 Table 49 Raw'!W67</f>
        <v>5.6377040000000003</v>
      </c>
      <c r="U78" s="18">
        <f>'AEO 2023 Table 49 Raw'!X67</f>
        <v>5.6738970000000002</v>
      </c>
      <c r="V78" s="18">
        <f>'AEO 2023 Table 49 Raw'!Y67</f>
        <v>5.7021569999999997</v>
      </c>
      <c r="W78" s="18">
        <f>'AEO 2023 Table 49 Raw'!Z67</f>
        <v>5.7064909999999998</v>
      </c>
      <c r="X78" s="18">
        <f>'AEO 2023 Table 49 Raw'!AA67</f>
        <v>5.7013220000000002</v>
      </c>
      <c r="Y78" s="18">
        <f>'AEO 2023 Table 49 Raw'!AB67</f>
        <v>5.7074999999999996</v>
      </c>
      <c r="Z78" s="18">
        <f>'AEO 2023 Table 49 Raw'!AC67</f>
        <v>5.7172200000000002</v>
      </c>
      <c r="AA78" s="18">
        <f>'AEO 2023 Table 49 Raw'!AD67</f>
        <v>5.7331320000000003</v>
      </c>
      <c r="AB78" s="18">
        <f>'AEO 2023 Table 49 Raw'!AE67</f>
        <v>5.7496049999999999</v>
      </c>
      <c r="AC78" s="18">
        <f>'AEO 2023 Table 49 Raw'!AF67</f>
        <v>5.7660749999999998</v>
      </c>
      <c r="AD78" s="18">
        <f>'AEO 2023 Table 49 Raw'!AG67</f>
        <v>5.7918760000000002</v>
      </c>
      <c r="AE78" s="18">
        <f>'AEO 2023 Table 49 Raw'!AH67</f>
        <v>5.8238260000000004</v>
      </c>
      <c r="AF78" s="30">
        <f>'AEO 2023 Table 49 Raw'!AI67</f>
        <v>1.4E-2</v>
      </c>
    </row>
    <row r="79" spans="1:32" ht="15" customHeight="1">
      <c r="A79" s="7" t="s">
        <v>803</v>
      </c>
      <c r="B79" s="16" t="s">
        <v>382</v>
      </c>
      <c r="C79" s="18">
        <f>'AEO 2023 Table 49 Raw'!F68</f>
        <v>0.56835999999999998</v>
      </c>
      <c r="D79" s="18">
        <f>'AEO 2023 Table 49 Raw'!G68</f>
        <v>0.60670599999999997</v>
      </c>
      <c r="E79" s="18">
        <f>'AEO 2023 Table 49 Raw'!H68</f>
        <v>0.64312599999999998</v>
      </c>
      <c r="F79" s="18">
        <f>'AEO 2023 Table 49 Raw'!I68</f>
        <v>0.68250599999999995</v>
      </c>
      <c r="G79" s="18">
        <f>'AEO 2023 Table 49 Raw'!J68</f>
        <v>0.72353500000000004</v>
      </c>
      <c r="H79" s="18">
        <f>'AEO 2023 Table 49 Raw'!K68</f>
        <v>0.75692199999999998</v>
      </c>
      <c r="I79" s="18">
        <f>'AEO 2023 Table 49 Raw'!L68</f>
        <v>0.782138</v>
      </c>
      <c r="J79" s="18">
        <f>'AEO 2023 Table 49 Raw'!M68</f>
        <v>0.79613500000000004</v>
      </c>
      <c r="K79" s="18">
        <f>'AEO 2023 Table 49 Raw'!N68</f>
        <v>0.80374400000000001</v>
      </c>
      <c r="L79" s="18">
        <f>'AEO 2023 Table 49 Raw'!O68</f>
        <v>0.80603999999999998</v>
      </c>
      <c r="M79" s="18">
        <f>'AEO 2023 Table 49 Raw'!P68</f>
        <v>0.80596699999999999</v>
      </c>
      <c r="N79" s="18">
        <f>'AEO 2023 Table 49 Raw'!Q68</f>
        <v>0.804809</v>
      </c>
      <c r="O79" s="18">
        <f>'AEO 2023 Table 49 Raw'!R68</f>
        <v>0.80398999999999998</v>
      </c>
      <c r="P79" s="18">
        <f>'AEO 2023 Table 49 Raw'!S68</f>
        <v>0.80492399999999997</v>
      </c>
      <c r="Q79" s="18">
        <f>'AEO 2023 Table 49 Raw'!T68</f>
        <v>0.80324899999999999</v>
      </c>
      <c r="R79" s="18">
        <f>'AEO 2023 Table 49 Raw'!U68</f>
        <v>0.803678</v>
      </c>
      <c r="S79" s="18">
        <f>'AEO 2023 Table 49 Raw'!V68</f>
        <v>0.80220499999999995</v>
      </c>
      <c r="T79" s="18">
        <f>'AEO 2023 Table 49 Raw'!W68</f>
        <v>0.79977500000000001</v>
      </c>
      <c r="U79" s="18">
        <f>'AEO 2023 Table 49 Raw'!X68</f>
        <v>0.79792799999999997</v>
      </c>
      <c r="V79" s="18">
        <f>'AEO 2023 Table 49 Raw'!Y68</f>
        <v>0.79701900000000003</v>
      </c>
      <c r="W79" s="18">
        <f>'AEO 2023 Table 49 Raw'!Z68</f>
        <v>0.79640699999999998</v>
      </c>
      <c r="X79" s="18">
        <f>'AEO 2023 Table 49 Raw'!AA68</f>
        <v>0.79543399999999997</v>
      </c>
      <c r="Y79" s="18">
        <f>'AEO 2023 Table 49 Raw'!AB68</f>
        <v>0.79418699999999998</v>
      </c>
      <c r="Z79" s="18">
        <f>'AEO 2023 Table 49 Raw'!AC68</f>
        <v>0.79286000000000001</v>
      </c>
      <c r="AA79" s="18">
        <f>'AEO 2023 Table 49 Raw'!AD68</f>
        <v>0.79214099999999998</v>
      </c>
      <c r="AB79" s="18">
        <f>'AEO 2023 Table 49 Raw'!AE68</f>
        <v>0.79139000000000004</v>
      </c>
      <c r="AC79" s="18">
        <f>'AEO 2023 Table 49 Raw'!AF68</f>
        <v>0.79042599999999996</v>
      </c>
      <c r="AD79" s="18">
        <f>'AEO 2023 Table 49 Raw'!AG68</f>
        <v>0.78996599999999995</v>
      </c>
      <c r="AE79" s="18">
        <f>'AEO 2023 Table 49 Raw'!AH68</f>
        <v>0.78929800000000006</v>
      </c>
      <c r="AF79" s="30">
        <f>'AEO 2023 Table 49 Raw'!AI68</f>
        <v>1.2E-2</v>
      </c>
    </row>
    <row r="80" spans="1:32" ht="15" customHeight="1">
      <c r="A80" s="7" t="s">
        <v>804</v>
      </c>
      <c r="B80" s="16" t="s">
        <v>741</v>
      </c>
      <c r="C80" s="18">
        <f>'AEO 2023 Table 49 Raw'!F69</f>
        <v>50.280738999999997</v>
      </c>
      <c r="D80" s="18">
        <f>'AEO 2023 Table 49 Raw'!G69</f>
        <v>50.068455</v>
      </c>
      <c r="E80" s="18">
        <f>'AEO 2023 Table 49 Raw'!H69</f>
        <v>49.655692999999999</v>
      </c>
      <c r="F80" s="18">
        <f>'AEO 2023 Table 49 Raw'!I69</f>
        <v>49.359779000000003</v>
      </c>
      <c r="G80" s="18">
        <f>'AEO 2023 Table 49 Raw'!J69</f>
        <v>48.977187999999998</v>
      </c>
      <c r="H80" s="18">
        <f>'AEO 2023 Table 49 Raw'!K69</f>
        <v>48.107246000000004</v>
      </c>
      <c r="I80" s="18">
        <f>'AEO 2023 Table 49 Raw'!L69</f>
        <v>46.838107999999998</v>
      </c>
      <c r="J80" s="18">
        <f>'AEO 2023 Table 49 Raw'!M69</f>
        <v>45.236046000000002</v>
      </c>
      <c r="K80" s="18">
        <f>'AEO 2023 Table 49 Raw'!N69</f>
        <v>43.567093</v>
      </c>
      <c r="L80" s="18">
        <f>'AEO 2023 Table 49 Raw'!O69</f>
        <v>42.027355</v>
      </c>
      <c r="M80" s="18">
        <f>'AEO 2023 Table 49 Raw'!P69</f>
        <v>40.837364000000001</v>
      </c>
      <c r="N80" s="18">
        <f>'AEO 2023 Table 49 Raw'!Q69</f>
        <v>39.986961000000001</v>
      </c>
      <c r="O80" s="18">
        <f>'AEO 2023 Table 49 Raw'!R69</f>
        <v>39.485703000000001</v>
      </c>
      <c r="P80" s="18">
        <f>'AEO 2023 Table 49 Raw'!S69</f>
        <v>39.368915999999999</v>
      </c>
      <c r="Q80" s="18">
        <f>'AEO 2023 Table 49 Raw'!T69</f>
        <v>39.458328000000002</v>
      </c>
      <c r="R80" s="18">
        <f>'AEO 2023 Table 49 Raw'!U69</f>
        <v>39.932766000000001</v>
      </c>
      <c r="S80" s="18">
        <f>'AEO 2023 Table 49 Raw'!V69</f>
        <v>40.665218000000003</v>
      </c>
      <c r="T80" s="18">
        <f>'AEO 2023 Table 49 Raw'!W69</f>
        <v>41.599049000000001</v>
      </c>
      <c r="U80" s="18">
        <f>'AEO 2023 Table 49 Raw'!X69</f>
        <v>42.818123</v>
      </c>
      <c r="V80" s="18">
        <f>'AEO 2023 Table 49 Raw'!Y69</f>
        <v>44.241703000000001</v>
      </c>
      <c r="W80" s="18">
        <f>'AEO 2023 Table 49 Raw'!Z69</f>
        <v>45.859436000000002</v>
      </c>
      <c r="X80" s="18">
        <f>'AEO 2023 Table 49 Raw'!AA69</f>
        <v>47.627850000000002</v>
      </c>
      <c r="Y80" s="18">
        <f>'AEO 2023 Table 49 Raw'!AB69</f>
        <v>49.540225999999997</v>
      </c>
      <c r="Z80" s="18">
        <f>'AEO 2023 Table 49 Raw'!AC69</f>
        <v>51.565514</v>
      </c>
      <c r="AA80" s="18">
        <f>'AEO 2023 Table 49 Raw'!AD69</f>
        <v>53.733218999999998</v>
      </c>
      <c r="AB80" s="18">
        <f>'AEO 2023 Table 49 Raw'!AE69</f>
        <v>56.009075000000003</v>
      </c>
      <c r="AC80" s="18">
        <f>'AEO 2023 Table 49 Raw'!AF69</f>
        <v>58.349373</v>
      </c>
      <c r="AD80" s="18">
        <f>'AEO 2023 Table 49 Raw'!AG69</f>
        <v>60.919922</v>
      </c>
      <c r="AE80" s="18">
        <f>'AEO 2023 Table 49 Raw'!AH69</f>
        <v>63.711185</v>
      </c>
      <c r="AF80" s="30">
        <f>'AEO 2023 Table 49 Raw'!AI69</f>
        <v>8.0000000000000002E-3</v>
      </c>
    </row>
    <row r="81" spans="1:32" ht="15" customHeight="1">
      <c r="A81" s="7" t="s">
        <v>805</v>
      </c>
      <c r="B81" s="16" t="s">
        <v>743</v>
      </c>
      <c r="C81" s="18">
        <f>'AEO 2023 Table 49 Raw'!F70</f>
        <v>0</v>
      </c>
      <c r="D81" s="18">
        <f>'AEO 2023 Table 49 Raw'!G70</f>
        <v>0</v>
      </c>
      <c r="E81" s="18">
        <f>'AEO 2023 Table 49 Raw'!H70</f>
        <v>0</v>
      </c>
      <c r="F81" s="18">
        <f>'AEO 2023 Table 49 Raw'!I70</f>
        <v>0</v>
      </c>
      <c r="G81" s="18">
        <f>'AEO 2023 Table 49 Raw'!J70</f>
        <v>0</v>
      </c>
      <c r="H81" s="18">
        <f>'AEO 2023 Table 49 Raw'!K70</f>
        <v>0</v>
      </c>
      <c r="I81" s="18">
        <f>'AEO 2023 Table 49 Raw'!L70</f>
        <v>0</v>
      </c>
      <c r="J81" s="18">
        <f>'AEO 2023 Table 49 Raw'!M70</f>
        <v>0</v>
      </c>
      <c r="K81" s="18">
        <f>'AEO 2023 Table 49 Raw'!N70</f>
        <v>0</v>
      </c>
      <c r="L81" s="18">
        <f>'AEO 2023 Table 49 Raw'!O70</f>
        <v>0</v>
      </c>
      <c r="M81" s="18">
        <f>'AEO 2023 Table 49 Raw'!P70</f>
        <v>0</v>
      </c>
      <c r="N81" s="18">
        <f>'AEO 2023 Table 49 Raw'!Q70</f>
        <v>0</v>
      </c>
      <c r="O81" s="18">
        <f>'AEO 2023 Table 49 Raw'!R70</f>
        <v>0</v>
      </c>
      <c r="P81" s="18">
        <f>'AEO 2023 Table 49 Raw'!S70</f>
        <v>0</v>
      </c>
      <c r="Q81" s="18">
        <f>'AEO 2023 Table 49 Raw'!T70</f>
        <v>0</v>
      </c>
      <c r="R81" s="18">
        <f>'AEO 2023 Table 49 Raw'!U70</f>
        <v>0</v>
      </c>
      <c r="S81" s="18">
        <f>'AEO 2023 Table 49 Raw'!V70</f>
        <v>0</v>
      </c>
      <c r="T81" s="18">
        <f>'AEO 2023 Table 49 Raw'!W70</f>
        <v>0</v>
      </c>
      <c r="U81" s="18">
        <f>'AEO 2023 Table 49 Raw'!X70</f>
        <v>0</v>
      </c>
      <c r="V81" s="18">
        <f>'AEO 2023 Table 49 Raw'!Y70</f>
        <v>0</v>
      </c>
      <c r="W81" s="18">
        <f>'AEO 2023 Table 49 Raw'!Z70</f>
        <v>0</v>
      </c>
      <c r="X81" s="18">
        <f>'AEO 2023 Table 49 Raw'!AA70</f>
        <v>0</v>
      </c>
      <c r="Y81" s="18">
        <f>'AEO 2023 Table 49 Raw'!AB70</f>
        <v>0</v>
      </c>
      <c r="Z81" s="18">
        <f>'AEO 2023 Table 49 Raw'!AC70</f>
        <v>0</v>
      </c>
      <c r="AA81" s="18">
        <f>'AEO 2023 Table 49 Raw'!AD70</f>
        <v>0</v>
      </c>
      <c r="AB81" s="18">
        <f>'AEO 2023 Table 49 Raw'!AE70</f>
        <v>0</v>
      </c>
      <c r="AC81" s="18">
        <f>'AEO 2023 Table 49 Raw'!AF70</f>
        <v>0</v>
      </c>
      <c r="AD81" s="18">
        <f>'AEO 2023 Table 49 Raw'!AG70</f>
        <v>0</v>
      </c>
      <c r="AE81" s="18">
        <f>'AEO 2023 Table 49 Raw'!AH70</f>
        <v>0</v>
      </c>
      <c r="AF81" s="30" t="str">
        <f>'AEO 2023 Table 49 Raw'!AI70</f>
        <v>- -</v>
      </c>
    </row>
    <row r="82" spans="1:32" ht="15" customHeight="1">
      <c r="A82" s="7" t="s">
        <v>806</v>
      </c>
      <c r="B82" s="16" t="s">
        <v>745</v>
      </c>
      <c r="C82" s="18">
        <f>'AEO 2023 Table 49 Raw'!F71</f>
        <v>4.6922999999999999E-2</v>
      </c>
      <c r="D82" s="18">
        <f>'AEO 2023 Table 49 Raw'!G71</f>
        <v>5.4698999999999998E-2</v>
      </c>
      <c r="E82" s="18">
        <f>'AEO 2023 Table 49 Raw'!H71</f>
        <v>6.1366999999999998E-2</v>
      </c>
      <c r="F82" s="18">
        <f>'AEO 2023 Table 49 Raw'!I71</f>
        <v>6.7617999999999998E-2</v>
      </c>
      <c r="G82" s="18">
        <f>'AEO 2023 Table 49 Raw'!J71</f>
        <v>7.3111999999999996E-2</v>
      </c>
      <c r="H82" s="18">
        <f>'AEO 2023 Table 49 Raw'!K71</f>
        <v>7.7225000000000002E-2</v>
      </c>
      <c r="I82" s="18">
        <f>'AEO 2023 Table 49 Raw'!L71</f>
        <v>8.0045000000000005E-2</v>
      </c>
      <c r="J82" s="18">
        <f>'AEO 2023 Table 49 Raw'!M71</f>
        <v>8.1566E-2</v>
      </c>
      <c r="K82" s="18">
        <f>'AEO 2023 Table 49 Raw'!N71</f>
        <v>8.2086999999999993E-2</v>
      </c>
      <c r="L82" s="18">
        <f>'AEO 2023 Table 49 Raw'!O71</f>
        <v>8.1693000000000002E-2</v>
      </c>
      <c r="M82" s="18">
        <f>'AEO 2023 Table 49 Raw'!P71</f>
        <v>8.0528000000000002E-2</v>
      </c>
      <c r="N82" s="18">
        <f>'AEO 2023 Table 49 Raw'!Q71</f>
        <v>7.8351000000000004E-2</v>
      </c>
      <c r="O82" s="18">
        <f>'AEO 2023 Table 49 Raw'!R71</f>
        <v>7.5394000000000003E-2</v>
      </c>
      <c r="P82" s="18">
        <f>'AEO 2023 Table 49 Raw'!S71</f>
        <v>7.2048000000000001E-2</v>
      </c>
      <c r="Q82" s="18">
        <f>'AEO 2023 Table 49 Raw'!T71</f>
        <v>6.8336999999999995E-2</v>
      </c>
      <c r="R82" s="18">
        <f>'AEO 2023 Table 49 Raw'!U71</f>
        <v>6.4832000000000001E-2</v>
      </c>
      <c r="S82" s="18">
        <f>'AEO 2023 Table 49 Raw'!V71</f>
        <v>6.1281000000000002E-2</v>
      </c>
      <c r="T82" s="18">
        <f>'AEO 2023 Table 49 Raw'!W71</f>
        <v>5.7109E-2</v>
      </c>
      <c r="U82" s="18">
        <f>'AEO 2023 Table 49 Raw'!X71</f>
        <v>5.2908999999999998E-2</v>
      </c>
      <c r="V82" s="18">
        <f>'AEO 2023 Table 49 Raw'!Y71</f>
        <v>4.9218999999999999E-2</v>
      </c>
      <c r="W82" s="18">
        <f>'AEO 2023 Table 49 Raw'!Z71</f>
        <v>4.6171999999999998E-2</v>
      </c>
      <c r="X82" s="18">
        <f>'AEO 2023 Table 49 Raw'!AA71</f>
        <v>4.3128E-2</v>
      </c>
      <c r="Y82" s="18">
        <f>'AEO 2023 Table 49 Raw'!AB71</f>
        <v>4.0410000000000001E-2</v>
      </c>
      <c r="Z82" s="18">
        <f>'AEO 2023 Table 49 Raw'!AC71</f>
        <v>3.7878000000000002E-2</v>
      </c>
      <c r="AA82" s="18">
        <f>'AEO 2023 Table 49 Raw'!AD71</f>
        <v>3.5562999999999997E-2</v>
      </c>
      <c r="AB82" s="18">
        <f>'AEO 2023 Table 49 Raw'!AE71</f>
        <v>3.3422E-2</v>
      </c>
      <c r="AC82" s="18">
        <f>'AEO 2023 Table 49 Raw'!AF71</f>
        <v>3.1433000000000003E-2</v>
      </c>
      <c r="AD82" s="18">
        <f>'AEO 2023 Table 49 Raw'!AG71</f>
        <v>2.9628999999999999E-2</v>
      </c>
      <c r="AE82" s="18">
        <f>'AEO 2023 Table 49 Raw'!AH71</f>
        <v>2.7977999999999999E-2</v>
      </c>
      <c r="AF82" s="30">
        <f>'AEO 2023 Table 49 Raw'!AI71</f>
        <v>-1.7999999999999999E-2</v>
      </c>
    </row>
    <row r="83" spans="1:32" ht="15" customHeight="1">
      <c r="A83" s="7" t="s">
        <v>807</v>
      </c>
      <c r="B83" s="16" t="s">
        <v>747</v>
      </c>
      <c r="C83" s="18">
        <f>'AEO 2023 Table 49 Raw'!F72</f>
        <v>0</v>
      </c>
      <c r="D83" s="18">
        <f>'AEO 2023 Table 49 Raw'!G72</f>
        <v>0</v>
      </c>
      <c r="E83" s="18">
        <f>'AEO 2023 Table 49 Raw'!H72</f>
        <v>9.3968999999999997E-2</v>
      </c>
      <c r="F83" s="18">
        <f>'AEO 2023 Table 49 Raw'!I72</f>
        <v>0.10784000000000001</v>
      </c>
      <c r="G83" s="18">
        <f>'AEO 2023 Table 49 Raw'!J72</f>
        <v>0.12324599999999999</v>
      </c>
      <c r="H83" s="18">
        <f>'AEO 2023 Table 49 Raw'!K72</f>
        <v>0.138739</v>
      </c>
      <c r="I83" s="18">
        <f>'AEO 2023 Table 49 Raw'!L72</f>
        <v>0.154194</v>
      </c>
      <c r="J83" s="18">
        <f>'AEO 2023 Table 49 Raw'!M72</f>
        <v>0.16878799999999999</v>
      </c>
      <c r="K83" s="18">
        <f>'AEO 2023 Table 49 Raw'!N72</f>
        <v>0.18259400000000001</v>
      </c>
      <c r="L83" s="18">
        <f>'AEO 2023 Table 49 Raw'!O72</f>
        <v>0.19550100000000001</v>
      </c>
      <c r="M83" s="18">
        <f>'AEO 2023 Table 49 Raw'!P72</f>
        <v>0.207788</v>
      </c>
      <c r="N83" s="18">
        <f>'AEO 2023 Table 49 Raw'!Q72</f>
        <v>0.21850600000000001</v>
      </c>
      <c r="O83" s="18">
        <f>'AEO 2023 Table 49 Raw'!R72</f>
        <v>0.227493</v>
      </c>
      <c r="P83" s="18">
        <f>'AEO 2023 Table 49 Raw'!S72</f>
        <v>0.235429</v>
      </c>
      <c r="Q83" s="18">
        <f>'AEO 2023 Table 49 Raw'!T72</f>
        <v>0.24181</v>
      </c>
      <c r="R83" s="18">
        <f>'AEO 2023 Table 49 Raw'!U72</f>
        <v>0.24799399999999999</v>
      </c>
      <c r="S83" s="18">
        <f>'AEO 2023 Table 49 Raw'!V72</f>
        <v>0.253774</v>
      </c>
      <c r="T83" s="18">
        <f>'AEO 2023 Table 49 Raw'!W72</f>
        <v>0.25946200000000003</v>
      </c>
      <c r="U83" s="18">
        <f>'AEO 2023 Table 49 Raw'!X72</f>
        <v>0.26647300000000002</v>
      </c>
      <c r="V83" s="18">
        <f>'AEO 2023 Table 49 Raw'!Y72</f>
        <v>0.27532699999999999</v>
      </c>
      <c r="W83" s="18">
        <f>'AEO 2023 Table 49 Raw'!Z72</f>
        <v>0.28709600000000002</v>
      </c>
      <c r="X83" s="18">
        <f>'AEO 2023 Table 49 Raw'!AA72</f>
        <v>0.297709</v>
      </c>
      <c r="Y83" s="18">
        <f>'AEO 2023 Table 49 Raw'!AB72</f>
        <v>0.30827700000000002</v>
      </c>
      <c r="Z83" s="18">
        <f>'AEO 2023 Table 49 Raw'!AC72</f>
        <v>0.32179400000000002</v>
      </c>
      <c r="AA83" s="18">
        <f>'AEO 2023 Table 49 Raw'!AD72</f>
        <v>0.34068999999999999</v>
      </c>
      <c r="AB83" s="18">
        <f>'AEO 2023 Table 49 Raw'!AE72</f>
        <v>0.35961700000000002</v>
      </c>
      <c r="AC83" s="18">
        <f>'AEO 2023 Table 49 Raw'!AF72</f>
        <v>0.38024000000000002</v>
      </c>
      <c r="AD83" s="18">
        <f>'AEO 2023 Table 49 Raw'!AG72</f>
        <v>0.403499</v>
      </c>
      <c r="AE83" s="18">
        <f>'AEO 2023 Table 49 Raw'!AH72</f>
        <v>0.42918600000000001</v>
      </c>
      <c r="AF83" s="30" t="str">
        <f>'AEO 2023 Table 49 Raw'!AI72</f>
        <v>- -</v>
      </c>
    </row>
    <row r="84" spans="1:32" ht="15" customHeight="1">
      <c r="A84" s="7" t="s">
        <v>808</v>
      </c>
      <c r="B84" s="16" t="s">
        <v>749</v>
      </c>
      <c r="C84" s="18">
        <f>'AEO 2023 Table 49 Raw'!F73</f>
        <v>0</v>
      </c>
      <c r="D84" s="18">
        <f>'AEO 2023 Table 49 Raw'!G73</f>
        <v>0</v>
      </c>
      <c r="E84" s="18">
        <f>'AEO 2023 Table 49 Raw'!H73</f>
        <v>0.20038</v>
      </c>
      <c r="F84" s="18">
        <f>'AEO 2023 Table 49 Raw'!I73</f>
        <v>0.227545</v>
      </c>
      <c r="G84" s="18">
        <f>'AEO 2023 Table 49 Raw'!J73</f>
        <v>0.25758599999999998</v>
      </c>
      <c r="H84" s="18">
        <f>'AEO 2023 Table 49 Raw'!K73</f>
        <v>0.287607</v>
      </c>
      <c r="I84" s="18">
        <f>'AEO 2023 Table 49 Raw'!L73</f>
        <v>0.31698300000000001</v>
      </c>
      <c r="J84" s="18">
        <f>'AEO 2023 Table 49 Raw'!M73</f>
        <v>0.34418100000000001</v>
      </c>
      <c r="K84" s="18">
        <f>'AEO 2023 Table 49 Raw'!N73</f>
        <v>0.36947000000000002</v>
      </c>
      <c r="L84" s="18">
        <f>'AEO 2023 Table 49 Raw'!O73</f>
        <v>0.39272800000000002</v>
      </c>
      <c r="M84" s="18">
        <f>'AEO 2023 Table 49 Raw'!P73</f>
        <v>0.41434799999999999</v>
      </c>
      <c r="N84" s="18">
        <f>'AEO 2023 Table 49 Raw'!Q73</f>
        <v>0.43237199999999998</v>
      </c>
      <c r="O84" s="18">
        <f>'AEO 2023 Table 49 Raw'!R73</f>
        <v>0.44650499999999999</v>
      </c>
      <c r="P84" s="18">
        <f>'AEO 2023 Table 49 Raw'!S73</f>
        <v>0.45807900000000001</v>
      </c>
      <c r="Q84" s="18">
        <f>'AEO 2023 Table 49 Raw'!T73</f>
        <v>0.46613700000000002</v>
      </c>
      <c r="R84" s="18">
        <f>'AEO 2023 Table 49 Raw'!U73</f>
        <v>0.47335500000000003</v>
      </c>
      <c r="S84" s="18">
        <f>'AEO 2023 Table 49 Raw'!V73</f>
        <v>0.479375</v>
      </c>
      <c r="T84" s="18">
        <f>'AEO 2023 Table 49 Raw'!W73</f>
        <v>0.48491600000000001</v>
      </c>
      <c r="U84" s="18">
        <f>'AEO 2023 Table 49 Raw'!X73</f>
        <v>0.49279499999999998</v>
      </c>
      <c r="V84" s="18">
        <f>'AEO 2023 Table 49 Raw'!Y73</f>
        <v>0.50410500000000003</v>
      </c>
      <c r="W84" s="18">
        <f>'AEO 2023 Table 49 Raw'!Z73</f>
        <v>0.52083800000000002</v>
      </c>
      <c r="X84" s="18">
        <f>'AEO 2023 Table 49 Raw'!AA73</f>
        <v>0.53412099999999996</v>
      </c>
      <c r="Y84" s="18">
        <f>'AEO 2023 Table 49 Raw'!AB73</f>
        <v>0.54621799999999998</v>
      </c>
      <c r="Z84" s="18">
        <f>'AEO 2023 Table 49 Raw'!AC73</f>
        <v>0.56340500000000004</v>
      </c>
      <c r="AA84" s="18">
        <f>'AEO 2023 Table 49 Raw'!AD73</f>
        <v>0.59040000000000004</v>
      </c>
      <c r="AB84" s="18">
        <f>'AEO 2023 Table 49 Raw'!AE73</f>
        <v>0.61546299999999998</v>
      </c>
      <c r="AC84" s="18">
        <f>'AEO 2023 Table 49 Raw'!AF73</f>
        <v>0.64187399999999994</v>
      </c>
      <c r="AD84" s="18">
        <f>'AEO 2023 Table 49 Raw'!AG73</f>
        <v>0.67086900000000005</v>
      </c>
      <c r="AE84" s="18">
        <f>'AEO 2023 Table 49 Raw'!AH73</f>
        <v>0.70177400000000001</v>
      </c>
      <c r="AF84" s="30" t="str">
        <f>'AEO 2023 Table 49 Raw'!AI73</f>
        <v>- -</v>
      </c>
    </row>
    <row r="85" spans="1:32" ht="15" customHeight="1">
      <c r="A85" s="7" t="s">
        <v>809</v>
      </c>
      <c r="B85" s="16" t="s">
        <v>751</v>
      </c>
      <c r="C85" s="18">
        <f>'AEO 2023 Table 49 Raw'!F74</f>
        <v>0</v>
      </c>
      <c r="D85" s="18">
        <f>'AEO 2023 Table 49 Raw'!G74</f>
        <v>0</v>
      </c>
      <c r="E85" s="18">
        <f>'AEO 2023 Table 49 Raw'!H74</f>
        <v>0.111358</v>
      </c>
      <c r="F85" s="18">
        <f>'AEO 2023 Table 49 Raw'!I74</f>
        <v>0.226552</v>
      </c>
      <c r="G85" s="18">
        <f>'AEO 2023 Table 49 Raw'!J74</f>
        <v>0.34701100000000001</v>
      </c>
      <c r="H85" s="18">
        <f>'AEO 2023 Table 49 Raw'!K74</f>
        <v>0.46850000000000003</v>
      </c>
      <c r="I85" s="18">
        <f>'AEO 2023 Table 49 Raw'!L74</f>
        <v>0.59016000000000002</v>
      </c>
      <c r="J85" s="18">
        <f>'AEO 2023 Table 49 Raw'!M74</f>
        <v>0.70980200000000004</v>
      </c>
      <c r="K85" s="18">
        <f>'AEO 2023 Table 49 Raw'!N74</f>
        <v>0.827546</v>
      </c>
      <c r="L85" s="18">
        <f>'AEO 2023 Table 49 Raw'!O74</f>
        <v>0.94406100000000004</v>
      </c>
      <c r="M85" s="18">
        <f>'AEO 2023 Table 49 Raw'!P74</f>
        <v>1.0617449999999999</v>
      </c>
      <c r="N85" s="18">
        <f>'AEO 2023 Table 49 Raw'!Q74</f>
        <v>1.1749270000000001</v>
      </c>
      <c r="O85" s="18">
        <f>'AEO 2023 Table 49 Raw'!R74</f>
        <v>1.2809429999999999</v>
      </c>
      <c r="P85" s="18">
        <f>'AEO 2023 Table 49 Raw'!S74</f>
        <v>1.3823890000000001</v>
      </c>
      <c r="Q85" s="18">
        <f>'AEO 2023 Table 49 Raw'!T74</f>
        <v>1.4753540000000001</v>
      </c>
      <c r="R85" s="18">
        <f>'AEO 2023 Table 49 Raw'!U74</f>
        <v>1.5660940000000001</v>
      </c>
      <c r="S85" s="18">
        <f>'AEO 2023 Table 49 Raw'!V74</f>
        <v>1.650725</v>
      </c>
      <c r="T85" s="18">
        <f>'AEO 2023 Table 49 Raw'!W74</f>
        <v>1.728137</v>
      </c>
      <c r="U85" s="18">
        <f>'AEO 2023 Table 49 Raw'!X74</f>
        <v>1.804441</v>
      </c>
      <c r="V85" s="18">
        <f>'AEO 2023 Table 49 Raw'!Y74</f>
        <v>1.880045</v>
      </c>
      <c r="W85" s="18">
        <f>'AEO 2023 Table 49 Raw'!Z74</f>
        <v>1.959276</v>
      </c>
      <c r="X85" s="18">
        <f>'AEO 2023 Table 49 Raw'!AA74</f>
        <v>2.0384820000000001</v>
      </c>
      <c r="Y85" s="18">
        <f>'AEO 2023 Table 49 Raw'!AB74</f>
        <v>2.1167880000000001</v>
      </c>
      <c r="Z85" s="18">
        <f>'AEO 2023 Table 49 Raw'!AC74</f>
        <v>2.1974689999999999</v>
      </c>
      <c r="AA85" s="18">
        <f>'AEO 2023 Table 49 Raw'!AD74</f>
        <v>2.2879350000000001</v>
      </c>
      <c r="AB85" s="18">
        <f>'AEO 2023 Table 49 Raw'!AE74</f>
        <v>2.3849619999999998</v>
      </c>
      <c r="AC85" s="18">
        <f>'AEO 2023 Table 49 Raw'!AF74</f>
        <v>2.4892069999999999</v>
      </c>
      <c r="AD85" s="18">
        <f>'AEO 2023 Table 49 Raw'!AG74</f>
        <v>2.6072109999999999</v>
      </c>
      <c r="AE85" s="18">
        <f>'AEO 2023 Table 49 Raw'!AH74</f>
        <v>2.738353</v>
      </c>
      <c r="AF85" s="30" t="str">
        <f>'AEO 2023 Table 49 Raw'!AI74</f>
        <v>- -</v>
      </c>
    </row>
    <row r="86" spans="1:32" ht="15" customHeight="1">
      <c r="A86" s="7" t="s">
        <v>810</v>
      </c>
      <c r="B86" s="16" t="s">
        <v>777</v>
      </c>
      <c r="C86" s="18">
        <f>'AEO 2023 Table 49 Raw'!F75</f>
        <v>4203.0288090000004</v>
      </c>
      <c r="D86" s="18">
        <f>'AEO 2023 Table 49 Raw'!G75</f>
        <v>4085.8522950000001</v>
      </c>
      <c r="E86" s="18">
        <f>'AEO 2023 Table 49 Raw'!H75</f>
        <v>3977.9414059999999</v>
      </c>
      <c r="F86" s="18">
        <f>'AEO 2023 Table 49 Raw'!I75</f>
        <v>3908.5683589999999</v>
      </c>
      <c r="G86" s="18">
        <f>'AEO 2023 Table 49 Raw'!J75</f>
        <v>3861.1779790000001</v>
      </c>
      <c r="H86" s="18">
        <f>'AEO 2023 Table 49 Raw'!K75</f>
        <v>3804.1889649999998</v>
      </c>
      <c r="I86" s="18">
        <f>'AEO 2023 Table 49 Raw'!L75</f>
        <v>3746.460693</v>
      </c>
      <c r="J86" s="18">
        <f>'AEO 2023 Table 49 Raw'!M75</f>
        <v>3682.7314449999999</v>
      </c>
      <c r="K86" s="18">
        <f>'AEO 2023 Table 49 Raw'!N75</f>
        <v>3622.056885</v>
      </c>
      <c r="L86" s="18">
        <f>'AEO 2023 Table 49 Raw'!O75</f>
        <v>3565.8129880000001</v>
      </c>
      <c r="M86" s="18">
        <f>'AEO 2023 Table 49 Raw'!P75</f>
        <v>3521.0964359999998</v>
      </c>
      <c r="N86" s="18">
        <f>'AEO 2023 Table 49 Raw'!Q75</f>
        <v>3474.783203</v>
      </c>
      <c r="O86" s="18">
        <f>'AEO 2023 Table 49 Raw'!R75</f>
        <v>3425.866211</v>
      </c>
      <c r="P86" s="18">
        <f>'AEO 2023 Table 49 Raw'!S75</f>
        <v>3384.6201169999999</v>
      </c>
      <c r="Q86" s="18">
        <f>'AEO 2023 Table 49 Raw'!T75</f>
        <v>3342.4174800000001</v>
      </c>
      <c r="R86" s="18">
        <f>'AEO 2023 Table 49 Raw'!U75</f>
        <v>3315.2402339999999</v>
      </c>
      <c r="S86" s="18">
        <f>'AEO 2023 Table 49 Raw'!V75</f>
        <v>3294.218018</v>
      </c>
      <c r="T86" s="18">
        <f>'AEO 2023 Table 49 Raw'!W75</f>
        <v>3272.1579590000001</v>
      </c>
      <c r="U86" s="18">
        <f>'AEO 2023 Table 49 Raw'!X75</f>
        <v>3255.9282229999999</v>
      </c>
      <c r="V86" s="18">
        <f>'AEO 2023 Table 49 Raw'!Y75</f>
        <v>3239.0588379999999</v>
      </c>
      <c r="W86" s="18">
        <f>'AEO 2023 Table 49 Raw'!Z75</f>
        <v>3226.6770019999999</v>
      </c>
      <c r="X86" s="18">
        <f>'AEO 2023 Table 49 Raw'!AA75</f>
        <v>3214.0676269999999</v>
      </c>
      <c r="Y86" s="18">
        <f>'AEO 2023 Table 49 Raw'!AB75</f>
        <v>3200.9846189999998</v>
      </c>
      <c r="Z86" s="18">
        <f>'AEO 2023 Table 49 Raw'!AC75</f>
        <v>3186.8178710000002</v>
      </c>
      <c r="AA86" s="18">
        <f>'AEO 2023 Table 49 Raw'!AD75</f>
        <v>3173.03125</v>
      </c>
      <c r="AB86" s="18">
        <f>'AEO 2023 Table 49 Raw'!AE75</f>
        <v>3157.6115719999998</v>
      </c>
      <c r="AC86" s="18">
        <f>'AEO 2023 Table 49 Raw'!AF75</f>
        <v>3141.225586</v>
      </c>
      <c r="AD86" s="18">
        <f>'AEO 2023 Table 49 Raw'!AG75</f>
        <v>3130.6340329999998</v>
      </c>
      <c r="AE86" s="18">
        <f>'AEO 2023 Table 49 Raw'!AH75</f>
        <v>3123.702393</v>
      </c>
      <c r="AF86" s="30">
        <f>'AEO 2023 Table 49 Raw'!AI75</f>
        <v>-1.0999999999999999E-2</v>
      </c>
    </row>
    <row r="87" spans="1:32" ht="15" customHeight="1">
      <c r="B87" s="15" t="s">
        <v>811</v>
      </c>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30"/>
    </row>
    <row r="88" spans="1:32" ht="15" customHeight="1">
      <c r="A88" s="7" t="s">
        <v>812</v>
      </c>
      <c r="B88" s="16" t="s">
        <v>736</v>
      </c>
      <c r="C88" s="18">
        <f>'AEO 2023 Table 49 Raw'!F77</f>
        <v>5249.9169920000004</v>
      </c>
      <c r="D88" s="18">
        <f>'AEO 2023 Table 49 Raw'!G77</f>
        <v>5094.5859380000002</v>
      </c>
      <c r="E88" s="18">
        <f>'AEO 2023 Table 49 Raw'!H77</f>
        <v>4954.8515619999998</v>
      </c>
      <c r="F88" s="18">
        <f>'AEO 2023 Table 49 Raw'!I77</f>
        <v>4862.6987300000001</v>
      </c>
      <c r="G88" s="18">
        <f>'AEO 2023 Table 49 Raw'!J77</f>
        <v>4796.2695309999999</v>
      </c>
      <c r="H88" s="18">
        <f>'AEO 2023 Table 49 Raw'!K77</f>
        <v>4717.8774409999996</v>
      </c>
      <c r="I88" s="18">
        <f>'AEO 2023 Table 49 Raw'!L77</f>
        <v>4640.3652339999999</v>
      </c>
      <c r="J88" s="18">
        <f>'AEO 2023 Table 49 Raw'!M77</f>
        <v>4557.6166990000002</v>
      </c>
      <c r="K88" s="18">
        <f>'AEO 2023 Table 49 Raw'!N77</f>
        <v>4481.7353519999997</v>
      </c>
      <c r="L88" s="18">
        <f>'AEO 2023 Table 49 Raw'!O77</f>
        <v>4413.7387699999999</v>
      </c>
      <c r="M88" s="18">
        <f>'AEO 2023 Table 49 Raw'!P77</f>
        <v>4361.8056640000004</v>
      </c>
      <c r="N88" s="18">
        <f>'AEO 2023 Table 49 Raw'!Q77</f>
        <v>4308.2617190000001</v>
      </c>
      <c r="O88" s="18">
        <f>'AEO 2023 Table 49 Raw'!R77</f>
        <v>4252.0986329999996</v>
      </c>
      <c r="P88" s="18">
        <f>'AEO 2023 Table 49 Raw'!S77</f>
        <v>4205.8251950000003</v>
      </c>
      <c r="Q88" s="18">
        <f>'AEO 2023 Table 49 Raw'!T77</f>
        <v>4158.4414059999999</v>
      </c>
      <c r="R88" s="18">
        <f>'AEO 2023 Table 49 Raw'!U77</f>
        <v>4129.2504879999997</v>
      </c>
      <c r="S88" s="18">
        <f>'AEO 2023 Table 49 Raw'!V77</f>
        <v>4106.8349609999996</v>
      </c>
      <c r="T88" s="18">
        <f>'AEO 2023 Table 49 Raw'!W77</f>
        <v>4083.4311520000001</v>
      </c>
      <c r="U88" s="18">
        <f>'AEO 2023 Table 49 Raw'!X77</f>
        <v>4067.608154</v>
      </c>
      <c r="V88" s="18">
        <f>'AEO 2023 Table 49 Raw'!Y77</f>
        <v>4051.3776859999998</v>
      </c>
      <c r="W88" s="18">
        <f>'AEO 2023 Table 49 Raw'!Z77</f>
        <v>4040.8857419999999</v>
      </c>
      <c r="X88" s="18">
        <f>'AEO 2023 Table 49 Raw'!AA77</f>
        <v>4031.2490229999999</v>
      </c>
      <c r="Y88" s="18">
        <f>'AEO 2023 Table 49 Raw'!AB77</f>
        <v>4021.6232909999999</v>
      </c>
      <c r="Z88" s="18">
        <f>'AEO 2023 Table 49 Raw'!AC77</f>
        <v>4011.3183589999999</v>
      </c>
      <c r="AA88" s="18">
        <f>'AEO 2023 Table 49 Raw'!AD77</f>
        <v>4002.3701169999999</v>
      </c>
      <c r="AB88" s="18">
        <f>'AEO 2023 Table 49 Raw'!AE77</f>
        <v>3992.2924800000001</v>
      </c>
      <c r="AC88" s="18">
        <f>'AEO 2023 Table 49 Raw'!AF77</f>
        <v>3981.5913089999999</v>
      </c>
      <c r="AD88" s="18">
        <f>'AEO 2023 Table 49 Raw'!AG77</f>
        <v>3978.1057129999999</v>
      </c>
      <c r="AE88" s="18">
        <f>'AEO 2023 Table 49 Raw'!AH77</f>
        <v>3979.0385740000002</v>
      </c>
      <c r="AF88" s="30">
        <f>'AEO 2023 Table 49 Raw'!AI77</f>
        <v>-0.01</v>
      </c>
    </row>
    <row r="89" spans="1:32" ht="15" customHeight="1">
      <c r="A89" s="7" t="s">
        <v>813</v>
      </c>
      <c r="B89" s="16" t="s">
        <v>738</v>
      </c>
      <c r="C89" s="18">
        <f>'AEO 2023 Table 49 Raw'!F78</f>
        <v>562.38818400000002</v>
      </c>
      <c r="D89" s="18">
        <f>'AEO 2023 Table 49 Raw'!G78</f>
        <v>555.801514</v>
      </c>
      <c r="E89" s="18">
        <f>'AEO 2023 Table 49 Raw'!H78</f>
        <v>552.26074200000005</v>
      </c>
      <c r="F89" s="18">
        <f>'AEO 2023 Table 49 Raw'!I78</f>
        <v>551.68633999999997</v>
      </c>
      <c r="G89" s="18">
        <f>'AEO 2023 Table 49 Raw'!J78</f>
        <v>552.55212400000005</v>
      </c>
      <c r="H89" s="18">
        <f>'AEO 2023 Table 49 Raw'!K78</f>
        <v>550.61614999999995</v>
      </c>
      <c r="I89" s="18">
        <f>'AEO 2023 Table 49 Raw'!L78</f>
        <v>548.34570299999996</v>
      </c>
      <c r="J89" s="18">
        <f>'AEO 2023 Table 49 Raw'!M78</f>
        <v>545.48895300000004</v>
      </c>
      <c r="K89" s="18">
        <f>'AEO 2023 Table 49 Raw'!N78</f>
        <v>543.67315699999995</v>
      </c>
      <c r="L89" s="18">
        <f>'AEO 2023 Table 49 Raw'!O78</f>
        <v>542.65777600000001</v>
      </c>
      <c r="M89" s="18">
        <f>'AEO 2023 Table 49 Raw'!P78</f>
        <v>544.31243900000004</v>
      </c>
      <c r="N89" s="18">
        <f>'AEO 2023 Table 49 Raw'!Q78</f>
        <v>545.60974099999999</v>
      </c>
      <c r="O89" s="18">
        <f>'AEO 2023 Table 49 Raw'!R78</f>
        <v>546.66473399999995</v>
      </c>
      <c r="P89" s="18">
        <f>'AEO 2023 Table 49 Raw'!S78</f>
        <v>548.660889</v>
      </c>
      <c r="Q89" s="18">
        <f>'AEO 2023 Table 49 Raw'!T78</f>
        <v>549.95959500000004</v>
      </c>
      <c r="R89" s="18">
        <f>'AEO 2023 Table 49 Raw'!U78</f>
        <v>553.48419200000001</v>
      </c>
      <c r="S89" s="18">
        <f>'AEO 2023 Table 49 Raw'!V78</f>
        <v>556.13909899999999</v>
      </c>
      <c r="T89" s="18">
        <f>'AEO 2023 Table 49 Raw'!W78</f>
        <v>558.78949</v>
      </c>
      <c r="U89" s="18">
        <f>'AEO 2023 Table 49 Raw'!X78</f>
        <v>561.62091099999998</v>
      </c>
      <c r="V89" s="18">
        <f>'AEO 2023 Table 49 Raw'!Y78</f>
        <v>565.66882299999997</v>
      </c>
      <c r="W89" s="18">
        <f>'AEO 2023 Table 49 Raw'!Z78</f>
        <v>570.327271</v>
      </c>
      <c r="X89" s="18">
        <f>'AEO 2023 Table 49 Raw'!AA78</f>
        <v>574.83325200000002</v>
      </c>
      <c r="Y89" s="18">
        <f>'AEO 2023 Table 49 Raw'!AB78</f>
        <v>579.18627900000001</v>
      </c>
      <c r="Z89" s="18">
        <f>'AEO 2023 Table 49 Raw'!AC78</f>
        <v>583.32092299999999</v>
      </c>
      <c r="AA89" s="18">
        <f>'AEO 2023 Table 49 Raw'!AD78</f>
        <v>587.94250499999998</v>
      </c>
      <c r="AB89" s="18">
        <f>'AEO 2023 Table 49 Raw'!AE78</f>
        <v>592.51135299999999</v>
      </c>
      <c r="AC89" s="18">
        <f>'AEO 2023 Table 49 Raw'!AF78</f>
        <v>596.90911900000003</v>
      </c>
      <c r="AD89" s="18">
        <f>'AEO 2023 Table 49 Raw'!AG78</f>
        <v>602.21044900000004</v>
      </c>
      <c r="AE89" s="18">
        <f>'AEO 2023 Table 49 Raw'!AH78</f>
        <v>607.98480199999995</v>
      </c>
      <c r="AF89" s="30">
        <f>'AEO 2023 Table 49 Raw'!AI78</f>
        <v>3.0000000000000001E-3</v>
      </c>
    </row>
    <row r="90" spans="1:32" ht="12" customHeight="1">
      <c r="A90" s="7" t="s">
        <v>814</v>
      </c>
      <c r="B90" s="16" t="s">
        <v>382</v>
      </c>
      <c r="C90" s="18">
        <f>'AEO 2023 Table 49 Raw'!F79</f>
        <v>1.2411490000000001</v>
      </c>
      <c r="D90" s="18">
        <f>'AEO 2023 Table 49 Raw'!G79</f>
        <v>1.34948</v>
      </c>
      <c r="E90" s="18">
        <f>'AEO 2023 Table 49 Raw'!H79</f>
        <v>1.456639</v>
      </c>
      <c r="F90" s="18">
        <f>'AEO 2023 Table 49 Raw'!I79</f>
        <v>1.567971</v>
      </c>
      <c r="G90" s="18">
        <f>'AEO 2023 Table 49 Raw'!J79</f>
        <v>1.681467</v>
      </c>
      <c r="H90" s="18">
        <f>'AEO 2023 Table 49 Raw'!K79</f>
        <v>1.7794460000000001</v>
      </c>
      <c r="I90" s="18">
        <f>'AEO 2023 Table 49 Raw'!L79</f>
        <v>1.86659</v>
      </c>
      <c r="J90" s="18">
        <f>'AEO 2023 Table 49 Raw'!M79</f>
        <v>1.9382360000000001</v>
      </c>
      <c r="K90" s="18">
        <f>'AEO 2023 Table 49 Raw'!N79</f>
        <v>2.005061</v>
      </c>
      <c r="L90" s="18">
        <f>'AEO 2023 Table 49 Raw'!O79</f>
        <v>2.0700889999999998</v>
      </c>
      <c r="M90" s="18">
        <f>'AEO 2023 Table 49 Raw'!P79</f>
        <v>2.1416400000000002</v>
      </c>
      <c r="N90" s="18">
        <f>'AEO 2023 Table 49 Raw'!Q79</f>
        <v>2.2180689999999998</v>
      </c>
      <c r="O90" s="18">
        <f>'AEO 2023 Table 49 Raw'!R79</f>
        <v>2.2961619999999998</v>
      </c>
      <c r="P90" s="18">
        <f>'AEO 2023 Table 49 Raw'!S79</f>
        <v>2.3744969999999999</v>
      </c>
      <c r="Q90" s="18">
        <f>'AEO 2023 Table 49 Raw'!T79</f>
        <v>2.4530400000000001</v>
      </c>
      <c r="R90" s="18">
        <f>'AEO 2023 Table 49 Raw'!U79</f>
        <v>2.5472969999999999</v>
      </c>
      <c r="S90" s="18">
        <f>'AEO 2023 Table 49 Raw'!V79</f>
        <v>2.6510910000000001</v>
      </c>
      <c r="T90" s="18">
        <f>'AEO 2023 Table 49 Raw'!W79</f>
        <v>2.765018</v>
      </c>
      <c r="U90" s="18">
        <f>'AEO 2023 Table 49 Raw'!X79</f>
        <v>2.8953329999999999</v>
      </c>
      <c r="V90" s="18">
        <f>'AEO 2023 Table 49 Raw'!Y79</f>
        <v>3.0399590000000001</v>
      </c>
      <c r="W90" s="18">
        <f>'AEO 2023 Table 49 Raw'!Z79</f>
        <v>3.1981799999999998</v>
      </c>
      <c r="X90" s="18">
        <f>'AEO 2023 Table 49 Raw'!AA79</f>
        <v>3.3673670000000002</v>
      </c>
      <c r="Y90" s="18">
        <f>'AEO 2023 Table 49 Raw'!AB79</f>
        <v>3.5440170000000002</v>
      </c>
      <c r="Z90" s="18">
        <f>'AEO 2023 Table 49 Raw'!AC79</f>
        <v>3.7288239999999999</v>
      </c>
      <c r="AA90" s="18">
        <f>'AEO 2023 Table 49 Raw'!AD79</f>
        <v>3.9246300000000001</v>
      </c>
      <c r="AB90" s="18">
        <f>'AEO 2023 Table 49 Raw'!AE79</f>
        <v>4.1269479999999996</v>
      </c>
      <c r="AC90" s="18">
        <f>'AEO 2023 Table 49 Raw'!AF79</f>
        <v>4.3333190000000004</v>
      </c>
      <c r="AD90" s="18">
        <f>'AEO 2023 Table 49 Raw'!AG79</f>
        <v>4.5414009999999996</v>
      </c>
      <c r="AE90" s="18">
        <f>'AEO 2023 Table 49 Raw'!AH79</f>
        <v>4.7579419999999999</v>
      </c>
      <c r="AF90" s="30">
        <f>'AEO 2023 Table 49 Raw'!AI79</f>
        <v>4.9000000000000002E-2</v>
      </c>
    </row>
    <row r="91" spans="1:32" ht="15" customHeight="1">
      <c r="A91" s="7" t="s">
        <v>815</v>
      </c>
      <c r="B91" s="16" t="s">
        <v>741</v>
      </c>
      <c r="C91" s="18">
        <f>'AEO 2023 Table 49 Raw'!F80</f>
        <v>51.236542</v>
      </c>
      <c r="D91" s="18">
        <f>'AEO 2023 Table 49 Raw'!G80</f>
        <v>50.962176999999997</v>
      </c>
      <c r="E91" s="18">
        <f>'AEO 2023 Table 49 Raw'!H80</f>
        <v>50.491249000000003</v>
      </c>
      <c r="F91" s="18">
        <f>'AEO 2023 Table 49 Raw'!I80</f>
        <v>50.142643</v>
      </c>
      <c r="G91" s="18">
        <f>'AEO 2023 Table 49 Raw'!J80</f>
        <v>49.710509999999999</v>
      </c>
      <c r="H91" s="18">
        <f>'AEO 2023 Table 49 Raw'!K80</f>
        <v>48.789504999999998</v>
      </c>
      <c r="I91" s="18">
        <f>'AEO 2023 Table 49 Raw'!L80</f>
        <v>47.472079999999998</v>
      </c>
      <c r="J91" s="18">
        <f>'AEO 2023 Table 49 Raw'!M80</f>
        <v>45.822308</v>
      </c>
      <c r="K91" s="18">
        <f>'AEO 2023 Table 49 Raw'!N80</f>
        <v>44.107993999999998</v>
      </c>
      <c r="L91" s="18">
        <f>'AEO 2023 Table 49 Raw'!O80</f>
        <v>42.526989</v>
      </c>
      <c r="M91" s="18">
        <f>'AEO 2023 Table 49 Raw'!P80</f>
        <v>41.300410999999997</v>
      </c>
      <c r="N91" s="18">
        <f>'AEO 2023 Table 49 Raw'!Q80</f>
        <v>40.414501000000001</v>
      </c>
      <c r="O91" s="18">
        <f>'AEO 2023 Table 49 Raw'!R80</f>
        <v>39.878418000000003</v>
      </c>
      <c r="P91" s="18">
        <f>'AEO 2023 Table 49 Raw'!S80</f>
        <v>39.728603</v>
      </c>
      <c r="Q91" s="18">
        <f>'AEO 2023 Table 49 Raw'!T80</f>
        <v>39.786152000000001</v>
      </c>
      <c r="R91" s="18">
        <f>'AEO 2023 Table 49 Raw'!U80</f>
        <v>40.232017999999997</v>
      </c>
      <c r="S91" s="18">
        <f>'AEO 2023 Table 49 Raw'!V80</f>
        <v>40.938454</v>
      </c>
      <c r="T91" s="18">
        <f>'AEO 2023 Table 49 Raw'!W80</f>
        <v>41.849299999999999</v>
      </c>
      <c r="U91" s="18">
        <f>'AEO 2023 Table 49 Raw'!X80</f>
        <v>43.046658000000001</v>
      </c>
      <c r="V91" s="18">
        <f>'AEO 2023 Table 49 Raw'!Y80</f>
        <v>44.449615000000001</v>
      </c>
      <c r="W91" s="18">
        <f>'AEO 2023 Table 49 Raw'!Z80</f>
        <v>46.05003</v>
      </c>
      <c r="X91" s="18">
        <f>'AEO 2023 Table 49 Raw'!AA80</f>
        <v>47.799937999999997</v>
      </c>
      <c r="Y91" s="18">
        <f>'AEO 2023 Table 49 Raw'!AB80</f>
        <v>49.694374000000003</v>
      </c>
      <c r="Z91" s="18">
        <f>'AEO 2023 Table 49 Raw'!AC80</f>
        <v>51.705215000000003</v>
      </c>
      <c r="AA91" s="18">
        <f>'AEO 2023 Table 49 Raw'!AD80</f>
        <v>53.860950000000003</v>
      </c>
      <c r="AB91" s="18">
        <f>'AEO 2023 Table 49 Raw'!AE80</f>
        <v>56.124836000000002</v>
      </c>
      <c r="AC91" s="18">
        <f>'AEO 2023 Table 49 Raw'!AF80</f>
        <v>58.452976</v>
      </c>
      <c r="AD91" s="18">
        <f>'AEO 2023 Table 49 Raw'!AG80</f>
        <v>61.01247</v>
      </c>
      <c r="AE91" s="18">
        <f>'AEO 2023 Table 49 Raw'!AH80</f>
        <v>63.794086</v>
      </c>
      <c r="AF91" s="30">
        <f>'AEO 2023 Table 49 Raw'!AI80</f>
        <v>8.0000000000000002E-3</v>
      </c>
    </row>
    <row r="92" spans="1:32" ht="15" customHeight="1">
      <c r="A92" s="7" t="s">
        <v>816</v>
      </c>
      <c r="B92" s="16" t="s">
        <v>743</v>
      </c>
      <c r="C92" s="18">
        <f>'AEO 2023 Table 49 Raw'!F81</f>
        <v>56.734439999999999</v>
      </c>
      <c r="D92" s="18">
        <f>'AEO 2023 Table 49 Raw'!G81</f>
        <v>55.975769</v>
      </c>
      <c r="E92" s="18">
        <f>'AEO 2023 Table 49 Raw'!H81</f>
        <v>55.439964000000003</v>
      </c>
      <c r="F92" s="18">
        <f>'AEO 2023 Table 49 Raw'!I81</f>
        <v>55.137214999999998</v>
      </c>
      <c r="G92" s="18">
        <f>'AEO 2023 Table 49 Raw'!J81</f>
        <v>54.952826999999999</v>
      </c>
      <c r="H92" s="18">
        <f>'AEO 2023 Table 49 Raw'!K81</f>
        <v>54.689785000000001</v>
      </c>
      <c r="I92" s="18">
        <f>'AEO 2023 Table 49 Raw'!L81</f>
        <v>54.542090999999999</v>
      </c>
      <c r="J92" s="18">
        <f>'AEO 2023 Table 49 Raw'!M81</f>
        <v>54.520401</v>
      </c>
      <c r="K92" s="18">
        <f>'AEO 2023 Table 49 Raw'!N81</f>
        <v>54.774734000000002</v>
      </c>
      <c r="L92" s="18">
        <f>'AEO 2023 Table 49 Raw'!O81</f>
        <v>55.323501999999998</v>
      </c>
      <c r="M92" s="18">
        <f>'AEO 2023 Table 49 Raw'!P81</f>
        <v>56.253174000000001</v>
      </c>
      <c r="N92" s="18">
        <f>'AEO 2023 Table 49 Raw'!Q81</f>
        <v>57.262343999999999</v>
      </c>
      <c r="O92" s="18">
        <f>'AEO 2023 Table 49 Raw'!R81</f>
        <v>58.166153000000001</v>
      </c>
      <c r="P92" s="18">
        <f>'AEO 2023 Table 49 Raw'!S81</f>
        <v>59.091793000000003</v>
      </c>
      <c r="Q92" s="18">
        <f>'AEO 2023 Table 49 Raw'!T81</f>
        <v>59.826087999999999</v>
      </c>
      <c r="R92" s="18">
        <f>'AEO 2023 Table 49 Raw'!U81</f>
        <v>60.787384000000003</v>
      </c>
      <c r="S92" s="18">
        <f>'AEO 2023 Table 49 Raw'!V81</f>
        <v>61.617919999999998</v>
      </c>
      <c r="T92" s="18">
        <f>'AEO 2023 Table 49 Raw'!W81</f>
        <v>62.409126000000001</v>
      </c>
      <c r="U92" s="18">
        <f>'AEO 2023 Table 49 Raw'!X81</f>
        <v>63.484912999999999</v>
      </c>
      <c r="V92" s="18">
        <f>'AEO 2023 Table 49 Raw'!Y81</f>
        <v>64.687957999999995</v>
      </c>
      <c r="W92" s="18">
        <f>'AEO 2023 Table 49 Raw'!Z81</f>
        <v>66.075584000000006</v>
      </c>
      <c r="X92" s="18">
        <f>'AEO 2023 Table 49 Raw'!AA81</f>
        <v>67.603133999999997</v>
      </c>
      <c r="Y92" s="18">
        <f>'AEO 2023 Table 49 Raw'!AB81</f>
        <v>69.225548000000003</v>
      </c>
      <c r="Z92" s="18">
        <f>'AEO 2023 Table 49 Raw'!AC81</f>
        <v>70.865425000000002</v>
      </c>
      <c r="AA92" s="18">
        <f>'AEO 2023 Table 49 Raw'!AD81</f>
        <v>72.564635999999993</v>
      </c>
      <c r="AB92" s="18">
        <f>'AEO 2023 Table 49 Raw'!AE81</f>
        <v>74.241989000000004</v>
      </c>
      <c r="AC92" s="18">
        <f>'AEO 2023 Table 49 Raw'!AF81</f>
        <v>75.862365999999994</v>
      </c>
      <c r="AD92" s="18">
        <f>'AEO 2023 Table 49 Raw'!AG81</f>
        <v>77.550551999999996</v>
      </c>
      <c r="AE92" s="18">
        <f>'AEO 2023 Table 49 Raw'!AH81</f>
        <v>79.267166000000003</v>
      </c>
      <c r="AF92" s="30">
        <f>'AEO 2023 Table 49 Raw'!AI81</f>
        <v>1.2E-2</v>
      </c>
    </row>
    <row r="93" spans="1:32" ht="15" customHeight="1">
      <c r="A93" s="7" t="s">
        <v>817</v>
      </c>
      <c r="B93" s="16" t="s">
        <v>745</v>
      </c>
      <c r="C93" s="18">
        <f>'AEO 2023 Table 49 Raw'!F82</f>
        <v>8.9421E-2</v>
      </c>
      <c r="D93" s="18">
        <f>'AEO 2023 Table 49 Raw'!G82</f>
        <v>0.102626</v>
      </c>
      <c r="E93" s="18">
        <f>'AEO 2023 Table 49 Raw'!H82</f>
        <v>0.113247</v>
      </c>
      <c r="F93" s="18">
        <f>'AEO 2023 Table 49 Raw'!I82</f>
        <v>0.12280199999999999</v>
      </c>
      <c r="G93" s="18">
        <f>'AEO 2023 Table 49 Raw'!J82</f>
        <v>0.13078600000000001</v>
      </c>
      <c r="H93" s="18">
        <f>'AEO 2023 Table 49 Raw'!K82</f>
        <v>0.13623199999999999</v>
      </c>
      <c r="I93" s="18">
        <f>'AEO 2023 Table 49 Raw'!L82</f>
        <v>0.139515</v>
      </c>
      <c r="J93" s="18">
        <f>'AEO 2023 Table 49 Raw'!M82</f>
        <v>0.140596</v>
      </c>
      <c r="K93" s="18">
        <f>'AEO 2023 Table 49 Raw'!N82</f>
        <v>0.14011799999999999</v>
      </c>
      <c r="L93" s="18">
        <f>'AEO 2023 Table 49 Raw'!O82</f>
        <v>0.13838400000000001</v>
      </c>
      <c r="M93" s="18">
        <f>'AEO 2023 Table 49 Raw'!P82</f>
        <v>0.135714</v>
      </c>
      <c r="N93" s="18">
        <f>'AEO 2023 Table 49 Raw'!Q82</f>
        <v>0.13156100000000001</v>
      </c>
      <c r="O93" s="18">
        <f>'AEO 2023 Table 49 Raw'!R82</f>
        <v>0.12640100000000001</v>
      </c>
      <c r="P93" s="18">
        <f>'AEO 2023 Table 49 Raw'!S82</f>
        <v>0.12095</v>
      </c>
      <c r="Q93" s="18">
        <f>'AEO 2023 Table 49 Raw'!T82</f>
        <v>0.114736</v>
      </c>
      <c r="R93" s="18">
        <f>'AEO 2023 Table 49 Raw'!U82</f>
        <v>0.108764</v>
      </c>
      <c r="S93" s="18">
        <f>'AEO 2023 Table 49 Raw'!V82</f>
        <v>0.103186</v>
      </c>
      <c r="T93" s="18">
        <f>'AEO 2023 Table 49 Raw'!W82</f>
        <v>9.6922999999999995E-2</v>
      </c>
      <c r="U93" s="18">
        <f>'AEO 2023 Table 49 Raw'!X82</f>
        <v>9.0437000000000003E-2</v>
      </c>
      <c r="V93" s="18">
        <f>'AEO 2023 Table 49 Raw'!Y82</f>
        <v>8.4582000000000004E-2</v>
      </c>
      <c r="W93" s="18">
        <f>'AEO 2023 Table 49 Raw'!Z82</f>
        <v>7.9557000000000003E-2</v>
      </c>
      <c r="X93" s="18">
        <f>'AEO 2023 Table 49 Raw'!AA82</f>
        <v>7.4632000000000004E-2</v>
      </c>
      <c r="Y93" s="18">
        <f>'AEO 2023 Table 49 Raw'!AB82</f>
        <v>7.0045999999999997E-2</v>
      </c>
      <c r="Z93" s="18">
        <f>'AEO 2023 Table 49 Raw'!AC82</f>
        <v>6.5727999999999995E-2</v>
      </c>
      <c r="AA93" s="18">
        <f>'AEO 2023 Table 49 Raw'!AD82</f>
        <v>6.1776999999999999E-2</v>
      </c>
      <c r="AB93" s="18">
        <f>'AEO 2023 Table 49 Raw'!AE82</f>
        <v>5.8103000000000002E-2</v>
      </c>
      <c r="AC93" s="18">
        <f>'AEO 2023 Table 49 Raw'!AF82</f>
        <v>5.4674E-2</v>
      </c>
      <c r="AD93" s="18">
        <f>'AEO 2023 Table 49 Raw'!AG82</f>
        <v>5.1552000000000001E-2</v>
      </c>
      <c r="AE93" s="18">
        <f>'AEO 2023 Table 49 Raw'!AH82</f>
        <v>4.8641999999999998E-2</v>
      </c>
      <c r="AF93" s="30">
        <f>'AEO 2023 Table 49 Raw'!AI82</f>
        <v>-2.1999999999999999E-2</v>
      </c>
    </row>
    <row r="94" spans="1:32" ht="15" customHeight="1">
      <c r="A94" s="7" t="s">
        <v>818</v>
      </c>
      <c r="B94" s="16" t="s">
        <v>747</v>
      </c>
      <c r="C94" s="18">
        <f>'AEO 2023 Table 49 Raw'!F83</f>
        <v>0</v>
      </c>
      <c r="D94" s="18">
        <f>'AEO 2023 Table 49 Raw'!G83</f>
        <v>3.1223000000000001E-2</v>
      </c>
      <c r="E94" s="18">
        <f>'AEO 2023 Table 49 Raw'!H83</f>
        <v>0.19468199999999999</v>
      </c>
      <c r="F94" s="18">
        <f>'AEO 2023 Table 49 Raw'!I83</f>
        <v>0.27852399999999999</v>
      </c>
      <c r="G94" s="18">
        <f>'AEO 2023 Table 49 Raw'!J83</f>
        <v>0.36315700000000001</v>
      </c>
      <c r="H94" s="18">
        <f>'AEO 2023 Table 49 Raw'!K83</f>
        <v>0.443772</v>
      </c>
      <c r="I94" s="18">
        <f>'AEO 2023 Table 49 Raw'!L83</f>
        <v>0.52136499999999997</v>
      </c>
      <c r="J94" s="18">
        <f>'AEO 2023 Table 49 Raw'!M83</f>
        <v>0.59411199999999997</v>
      </c>
      <c r="K94" s="18">
        <f>'AEO 2023 Table 49 Raw'!N83</f>
        <v>0.663184</v>
      </c>
      <c r="L94" s="18">
        <f>'AEO 2023 Table 49 Raw'!O83</f>
        <v>0.72962499999999997</v>
      </c>
      <c r="M94" s="18">
        <f>'AEO 2023 Table 49 Raw'!P83</f>
        <v>0.79639599999999999</v>
      </c>
      <c r="N94" s="18">
        <f>'AEO 2023 Table 49 Raw'!Q83</f>
        <v>0.86107999999999996</v>
      </c>
      <c r="O94" s="18">
        <f>'AEO 2023 Table 49 Raw'!R83</f>
        <v>0.92327000000000004</v>
      </c>
      <c r="P94" s="18">
        <f>'AEO 2023 Table 49 Raw'!S83</f>
        <v>0.98654799999999998</v>
      </c>
      <c r="Q94" s="18">
        <f>'AEO 2023 Table 49 Raw'!T83</f>
        <v>1.0495829999999999</v>
      </c>
      <c r="R94" s="18">
        <f>'AEO 2023 Table 49 Raw'!U83</f>
        <v>1.118633</v>
      </c>
      <c r="S94" s="18">
        <f>'AEO 2023 Table 49 Raw'!V83</f>
        <v>1.1928430000000001</v>
      </c>
      <c r="T94" s="18">
        <f>'AEO 2023 Table 49 Raw'!W83</f>
        <v>1.2726649999999999</v>
      </c>
      <c r="U94" s="18">
        <f>'AEO 2023 Table 49 Raw'!X83</f>
        <v>1.363113</v>
      </c>
      <c r="V94" s="18">
        <f>'AEO 2023 Table 49 Raw'!Y83</f>
        <v>1.464269</v>
      </c>
      <c r="W94" s="18">
        <f>'AEO 2023 Table 49 Raw'!Z83</f>
        <v>1.5777429999999999</v>
      </c>
      <c r="X94" s="18">
        <f>'AEO 2023 Table 49 Raw'!AA83</f>
        <v>1.6956990000000001</v>
      </c>
      <c r="Y94" s="18">
        <f>'AEO 2023 Table 49 Raw'!AB83</f>
        <v>1.819596</v>
      </c>
      <c r="Z94" s="18">
        <f>'AEO 2023 Table 49 Raw'!AC83</f>
        <v>1.952555</v>
      </c>
      <c r="AA94" s="18">
        <f>'AEO 2023 Table 49 Raw'!AD83</f>
        <v>2.0971549999999999</v>
      </c>
      <c r="AB94" s="18">
        <f>'AEO 2023 Table 49 Raw'!AE83</f>
        <v>2.2459030000000002</v>
      </c>
      <c r="AC94" s="18">
        <f>'AEO 2023 Table 49 Raw'!AF83</f>
        <v>2.3994059999999999</v>
      </c>
      <c r="AD94" s="18">
        <f>'AEO 2023 Table 49 Raw'!AG83</f>
        <v>2.561833</v>
      </c>
      <c r="AE94" s="18">
        <f>'AEO 2023 Table 49 Raw'!AH83</f>
        <v>2.7309640000000002</v>
      </c>
      <c r="AF94" s="30" t="str">
        <f>'AEO 2023 Table 49 Raw'!AI83</f>
        <v>- -</v>
      </c>
    </row>
    <row r="95" spans="1:32" ht="12" customHeight="1">
      <c r="A95" s="7" t="s">
        <v>819</v>
      </c>
      <c r="B95" s="16" t="s">
        <v>749</v>
      </c>
      <c r="C95" s="18">
        <f>'AEO 2023 Table 49 Raw'!F84</f>
        <v>0</v>
      </c>
      <c r="D95" s="18">
        <f>'AEO 2023 Table 49 Raw'!G84</f>
        <v>3.7399000000000002E-2</v>
      </c>
      <c r="E95" s="18">
        <f>'AEO 2023 Table 49 Raw'!H84</f>
        <v>0.32291300000000001</v>
      </c>
      <c r="F95" s="18">
        <f>'AEO 2023 Table 49 Raw'!I84</f>
        <v>0.433558</v>
      </c>
      <c r="G95" s="18">
        <f>'AEO 2023 Table 49 Raw'!J84</f>
        <v>0.54477500000000001</v>
      </c>
      <c r="H95" s="18">
        <f>'AEO 2023 Table 49 Raw'!K84</f>
        <v>0.650644</v>
      </c>
      <c r="I95" s="18">
        <f>'AEO 2023 Table 49 Raw'!L84</f>
        <v>0.75134400000000001</v>
      </c>
      <c r="J95" s="18">
        <f>'AEO 2023 Table 49 Raw'!M84</f>
        <v>0.84477599999999997</v>
      </c>
      <c r="K95" s="18">
        <f>'AEO 2023 Table 49 Raw'!N84</f>
        <v>0.933338</v>
      </c>
      <c r="L95" s="18">
        <f>'AEO 2023 Table 49 Raw'!O84</f>
        <v>1.0193179999999999</v>
      </c>
      <c r="M95" s="18">
        <f>'AEO 2023 Table 49 Raw'!P84</f>
        <v>1.106617</v>
      </c>
      <c r="N95" s="18">
        <f>'AEO 2023 Table 49 Raw'!Q84</f>
        <v>1.192067</v>
      </c>
      <c r="O95" s="18">
        <f>'AEO 2023 Table 49 Raw'!R84</f>
        <v>1.274824</v>
      </c>
      <c r="P95" s="18">
        <f>'AEO 2023 Table 49 Raw'!S84</f>
        <v>1.359926</v>
      </c>
      <c r="Q95" s="18">
        <f>'AEO 2023 Table 49 Raw'!T84</f>
        <v>1.4457869999999999</v>
      </c>
      <c r="R95" s="18">
        <f>'AEO 2023 Table 49 Raw'!U84</f>
        <v>1.5416810000000001</v>
      </c>
      <c r="S95" s="18">
        <f>'AEO 2023 Table 49 Raw'!V84</f>
        <v>1.6468430000000001</v>
      </c>
      <c r="T95" s="18">
        <f>'AEO 2023 Table 49 Raw'!W84</f>
        <v>1.7627539999999999</v>
      </c>
      <c r="U95" s="18">
        <f>'AEO 2023 Table 49 Raw'!X84</f>
        <v>1.897227</v>
      </c>
      <c r="V95" s="18">
        <f>'AEO 2023 Table 49 Raw'!Y84</f>
        <v>2.0511330000000001</v>
      </c>
      <c r="W95" s="18">
        <f>'AEO 2023 Table 49 Raw'!Z84</f>
        <v>2.2268560000000002</v>
      </c>
      <c r="X95" s="18">
        <f>'AEO 2023 Table 49 Raw'!AA84</f>
        <v>2.41065</v>
      </c>
      <c r="Y95" s="18">
        <f>'AEO 2023 Table 49 Raw'!AB84</f>
        <v>2.604946</v>
      </c>
      <c r="Z95" s="18">
        <f>'AEO 2023 Table 49 Raw'!AC84</f>
        <v>2.816163</v>
      </c>
      <c r="AA95" s="18">
        <f>'AEO 2023 Table 49 Raw'!AD84</f>
        <v>3.0489739999999999</v>
      </c>
      <c r="AB95" s="18">
        <f>'AEO 2023 Table 49 Raw'!AE84</f>
        <v>3.2880760000000002</v>
      </c>
      <c r="AC95" s="18">
        <f>'AEO 2023 Table 49 Raw'!AF84</f>
        <v>3.5348269999999999</v>
      </c>
      <c r="AD95" s="18">
        <f>'AEO 2023 Table 49 Raw'!AG84</f>
        <v>3.7946209999999998</v>
      </c>
      <c r="AE95" s="18">
        <f>'AEO 2023 Table 49 Raw'!AH84</f>
        <v>4.0636669999999997</v>
      </c>
      <c r="AF95" s="30" t="str">
        <f>'AEO 2023 Table 49 Raw'!AI84</f>
        <v>- -</v>
      </c>
    </row>
    <row r="96" spans="1:32" ht="15" customHeight="1">
      <c r="A96" s="7" t="s">
        <v>820</v>
      </c>
      <c r="B96" s="16" t="s">
        <v>751</v>
      </c>
      <c r="C96" s="18">
        <f>'AEO 2023 Table 49 Raw'!F85</f>
        <v>0</v>
      </c>
      <c r="D96" s="18">
        <f>'AEO 2023 Table 49 Raw'!G85</f>
        <v>0</v>
      </c>
      <c r="E96" s="18">
        <f>'AEO 2023 Table 49 Raw'!H85</f>
        <v>0.193074</v>
      </c>
      <c r="F96" s="18">
        <f>'AEO 2023 Table 49 Raw'!I85</f>
        <v>0.39150400000000002</v>
      </c>
      <c r="G96" s="18">
        <f>'AEO 2023 Table 49 Raw'!J85</f>
        <v>0.596692</v>
      </c>
      <c r="H96" s="18">
        <f>'AEO 2023 Table 49 Raw'!K85</f>
        <v>0.80067200000000005</v>
      </c>
      <c r="I96" s="18">
        <f>'AEO 2023 Table 49 Raw'!L85</f>
        <v>1.001957</v>
      </c>
      <c r="J96" s="18">
        <f>'AEO 2023 Table 49 Raw'!M85</f>
        <v>1.197117</v>
      </c>
      <c r="K96" s="18">
        <f>'AEO 2023 Table 49 Raw'!N85</f>
        <v>1.386846</v>
      </c>
      <c r="L96" s="18">
        <f>'AEO 2023 Table 49 Raw'!O85</f>
        <v>1.5732839999999999</v>
      </c>
      <c r="M96" s="18">
        <f>'AEO 2023 Table 49 Raw'!P85</f>
        <v>1.762032</v>
      </c>
      <c r="N96" s="18">
        <f>'AEO 2023 Table 49 Raw'!Q85</f>
        <v>1.94495</v>
      </c>
      <c r="O96" s="18">
        <f>'AEO 2023 Table 49 Raw'!R85</f>
        <v>2.1185429999999998</v>
      </c>
      <c r="P96" s="18">
        <f>'AEO 2023 Table 49 Raw'!S85</f>
        <v>2.2886959999999998</v>
      </c>
      <c r="Q96" s="18">
        <f>'AEO 2023 Table 49 Raw'!T85</f>
        <v>2.4507270000000001</v>
      </c>
      <c r="R96" s="18">
        <f>'AEO 2023 Table 49 Raw'!U85</f>
        <v>2.6167479999999999</v>
      </c>
      <c r="S96" s="18">
        <f>'AEO 2023 Table 49 Raw'!V85</f>
        <v>2.7817050000000001</v>
      </c>
      <c r="T96" s="18">
        <f>'AEO 2023 Table 49 Raw'!W85</f>
        <v>2.9443709999999998</v>
      </c>
      <c r="U96" s="18">
        <f>'AEO 2023 Table 49 Raw'!X85</f>
        <v>3.114779</v>
      </c>
      <c r="V96" s="18">
        <f>'AEO 2023 Table 49 Raw'!Y85</f>
        <v>3.2926709999999999</v>
      </c>
      <c r="W96" s="18">
        <f>'AEO 2023 Table 49 Raw'!Z85</f>
        <v>3.4843730000000002</v>
      </c>
      <c r="X96" s="18">
        <f>'AEO 2023 Table 49 Raw'!AA85</f>
        <v>3.681759</v>
      </c>
      <c r="Y96" s="18">
        <f>'AEO 2023 Table 49 Raw'!AB85</f>
        <v>3.8862909999999999</v>
      </c>
      <c r="Z96" s="18">
        <f>'AEO 2023 Table 49 Raw'!AC85</f>
        <v>4.100009</v>
      </c>
      <c r="AA96" s="18">
        <f>'AEO 2023 Table 49 Raw'!AD85</f>
        <v>4.3317829999999997</v>
      </c>
      <c r="AB96" s="18">
        <f>'AEO 2023 Table 49 Raw'!AE85</f>
        <v>4.5763559999999996</v>
      </c>
      <c r="AC96" s="18">
        <f>'AEO 2023 Table 49 Raw'!AF85</f>
        <v>4.8336259999999998</v>
      </c>
      <c r="AD96" s="18">
        <f>'AEO 2023 Table 49 Raw'!AG85</f>
        <v>5.1153269999999997</v>
      </c>
      <c r="AE96" s="18">
        <f>'AEO 2023 Table 49 Raw'!AH85</f>
        <v>5.4180919999999997</v>
      </c>
      <c r="AF96" s="30" t="str">
        <f>'AEO 2023 Table 49 Raw'!AI85</f>
        <v>- -</v>
      </c>
    </row>
    <row r="97" spans="1:32" ht="12" customHeight="1">
      <c r="A97" s="7" t="s">
        <v>821</v>
      </c>
      <c r="B97" s="15" t="s">
        <v>822</v>
      </c>
      <c r="C97" s="18">
        <f>'AEO 2023 Table 49 Raw'!F86</f>
        <v>5921.6083980000003</v>
      </c>
      <c r="D97" s="18">
        <f>'AEO 2023 Table 49 Raw'!G86</f>
        <v>5758.8452150000003</v>
      </c>
      <c r="E97" s="18">
        <f>'AEO 2023 Table 49 Raw'!H86</f>
        <v>5615.3242190000001</v>
      </c>
      <c r="F97" s="18">
        <f>'AEO 2023 Table 49 Raw'!I86</f>
        <v>5522.4580079999996</v>
      </c>
      <c r="G97" s="18">
        <f>'AEO 2023 Table 49 Raw'!J86</f>
        <v>5456.8017579999996</v>
      </c>
      <c r="H97" s="18">
        <f>'AEO 2023 Table 49 Raw'!K86</f>
        <v>5375.7822269999997</v>
      </c>
      <c r="I97" s="18">
        <f>'AEO 2023 Table 49 Raw'!L86</f>
        <v>5295.0068359999996</v>
      </c>
      <c r="J97" s="18">
        <f>'AEO 2023 Table 49 Raw'!M86</f>
        <v>5208.1630859999996</v>
      </c>
      <c r="K97" s="18">
        <f>'AEO 2023 Table 49 Raw'!N86</f>
        <v>5129.4169920000004</v>
      </c>
      <c r="L97" s="18">
        <f>'AEO 2023 Table 49 Raw'!O86</f>
        <v>5059.7763670000004</v>
      </c>
      <c r="M97" s="18">
        <f>'AEO 2023 Table 49 Raw'!P86</f>
        <v>5009.6118159999996</v>
      </c>
      <c r="N97" s="18">
        <f>'AEO 2023 Table 49 Raw'!Q86</f>
        <v>4957.8979490000002</v>
      </c>
      <c r="O97" s="18">
        <f>'AEO 2023 Table 49 Raw'!R86</f>
        <v>4903.5493159999996</v>
      </c>
      <c r="P97" s="18">
        <f>'AEO 2023 Table 49 Raw'!S86</f>
        <v>4860.435547</v>
      </c>
      <c r="Q97" s="18">
        <f>'AEO 2023 Table 49 Raw'!T86</f>
        <v>4815.5268550000001</v>
      </c>
      <c r="R97" s="18">
        <f>'AEO 2023 Table 49 Raw'!U86</f>
        <v>4791.6865230000003</v>
      </c>
      <c r="S97" s="18">
        <f>'AEO 2023 Table 49 Raw'!V86</f>
        <v>4773.90625</v>
      </c>
      <c r="T97" s="18">
        <f>'AEO 2023 Table 49 Raw'!W86</f>
        <v>4755.3193359999996</v>
      </c>
      <c r="U97" s="18">
        <f>'AEO 2023 Table 49 Raw'!X86</f>
        <v>4745.1240230000003</v>
      </c>
      <c r="V97" s="18">
        <f>'AEO 2023 Table 49 Raw'!Y86</f>
        <v>4736.1157229999999</v>
      </c>
      <c r="W97" s="18">
        <f>'AEO 2023 Table 49 Raw'!Z86</f>
        <v>4733.9067379999997</v>
      </c>
      <c r="X97" s="18">
        <f>'AEO 2023 Table 49 Raw'!AA86</f>
        <v>4732.7128910000001</v>
      </c>
      <c r="Y97" s="18">
        <f>'AEO 2023 Table 49 Raw'!AB86</f>
        <v>4731.6552730000003</v>
      </c>
      <c r="Z97" s="18">
        <f>'AEO 2023 Table 49 Raw'!AC86</f>
        <v>4729.8740230000003</v>
      </c>
      <c r="AA97" s="18">
        <f>'AEO 2023 Table 49 Raw'!AD86</f>
        <v>4730.2001950000003</v>
      </c>
      <c r="AB97" s="18">
        <f>'AEO 2023 Table 49 Raw'!AE86</f>
        <v>4729.46875</v>
      </c>
      <c r="AC97" s="18">
        <f>'AEO 2023 Table 49 Raw'!AF86</f>
        <v>4727.9702150000003</v>
      </c>
      <c r="AD97" s="18">
        <f>'AEO 2023 Table 49 Raw'!AG86</f>
        <v>4734.9438479999999</v>
      </c>
      <c r="AE97" s="18">
        <f>'AEO 2023 Table 49 Raw'!AH86</f>
        <v>4747.1030270000001</v>
      </c>
      <c r="AF97" s="30">
        <f>'AEO 2023 Table 49 Raw'!AI86</f>
        <v>-8.0000000000000002E-3</v>
      </c>
    </row>
    <row r="98" spans="1:32" ht="15" customHeight="1">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c r="AE98" s="18"/>
      <c r="AF98" s="30"/>
    </row>
    <row r="99" spans="1:32" ht="15" customHeight="1">
      <c r="B99" s="15" t="s">
        <v>823</v>
      </c>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c r="AE99" s="18"/>
      <c r="AF99" s="30"/>
    </row>
    <row r="100" spans="1:32" ht="15" customHeight="1">
      <c r="B100" s="15" t="s">
        <v>734</v>
      </c>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30"/>
    </row>
    <row r="101" spans="1:32" ht="15" customHeight="1">
      <c r="A101" s="7" t="s">
        <v>824</v>
      </c>
      <c r="B101" s="16" t="s">
        <v>736</v>
      </c>
      <c r="C101" s="18">
        <f>'AEO 2023 Table 49 Raw'!F89</f>
        <v>14.990826999999999</v>
      </c>
      <c r="D101" s="18">
        <f>'AEO 2023 Table 49 Raw'!G89</f>
        <v>15.195835000000001</v>
      </c>
      <c r="E101" s="18">
        <f>'AEO 2023 Table 49 Raw'!H89</f>
        <v>15.453761999999999</v>
      </c>
      <c r="F101" s="18">
        <f>'AEO 2023 Table 49 Raw'!I89</f>
        <v>15.764835</v>
      </c>
      <c r="G101" s="18">
        <f>'AEO 2023 Table 49 Raw'!J89</f>
        <v>16.103656999999998</v>
      </c>
      <c r="H101" s="18">
        <f>'AEO 2023 Table 49 Raw'!K89</f>
        <v>16.460249000000001</v>
      </c>
      <c r="I101" s="18">
        <f>'AEO 2023 Table 49 Raw'!L89</f>
        <v>16.807583000000001</v>
      </c>
      <c r="J101" s="18">
        <f>'AEO 2023 Table 49 Raw'!M89</f>
        <v>17.144188</v>
      </c>
      <c r="K101" s="18">
        <f>'AEO 2023 Table 49 Raw'!N89</f>
        <v>17.457806000000001</v>
      </c>
      <c r="L101" s="18">
        <f>'AEO 2023 Table 49 Raw'!O89</f>
        <v>17.746956000000001</v>
      </c>
      <c r="M101" s="18">
        <f>'AEO 2023 Table 49 Raw'!P89</f>
        <v>18.018951000000001</v>
      </c>
      <c r="N101" s="18">
        <f>'AEO 2023 Table 49 Raw'!Q89</f>
        <v>18.272202</v>
      </c>
      <c r="O101" s="18">
        <f>'AEO 2023 Table 49 Raw'!R89</f>
        <v>18.49737</v>
      </c>
      <c r="P101" s="18">
        <f>'AEO 2023 Table 49 Raw'!S89</f>
        <v>18.698295999999999</v>
      </c>
      <c r="Q101" s="18">
        <f>'AEO 2023 Table 49 Raw'!T89</f>
        <v>18.881610999999999</v>
      </c>
      <c r="R101" s="18">
        <f>'AEO 2023 Table 49 Raw'!U89</f>
        <v>19.048977000000001</v>
      </c>
      <c r="S101" s="18">
        <f>'AEO 2023 Table 49 Raw'!V89</f>
        <v>19.200341999999999</v>
      </c>
      <c r="T101" s="18">
        <f>'AEO 2023 Table 49 Raw'!W89</f>
        <v>19.331123000000002</v>
      </c>
      <c r="U101" s="18">
        <f>'AEO 2023 Table 49 Raw'!X89</f>
        <v>19.443902999999999</v>
      </c>
      <c r="V101" s="18">
        <f>'AEO 2023 Table 49 Raw'!Y89</f>
        <v>19.542442000000001</v>
      </c>
      <c r="W101" s="18">
        <f>'AEO 2023 Table 49 Raw'!Z89</f>
        <v>19.624690999999999</v>
      </c>
      <c r="X101" s="18">
        <f>'AEO 2023 Table 49 Raw'!AA89</f>
        <v>19.687042000000002</v>
      </c>
      <c r="Y101" s="18">
        <f>'AEO 2023 Table 49 Raw'!AB89</f>
        <v>19.732797999999999</v>
      </c>
      <c r="Z101" s="18">
        <f>'AEO 2023 Table 49 Raw'!AC89</f>
        <v>19.765715</v>
      </c>
      <c r="AA101" s="18">
        <f>'AEO 2023 Table 49 Raw'!AD89</f>
        <v>19.789014999999999</v>
      </c>
      <c r="AB101" s="18">
        <f>'AEO 2023 Table 49 Raw'!AE89</f>
        <v>19.803076000000001</v>
      </c>
      <c r="AC101" s="18">
        <f>'AEO 2023 Table 49 Raw'!AF89</f>
        <v>19.809339999999999</v>
      </c>
      <c r="AD101" s="18">
        <f>'AEO 2023 Table 49 Raw'!AG89</f>
        <v>19.811682000000001</v>
      </c>
      <c r="AE101" s="18">
        <f>'AEO 2023 Table 49 Raw'!AH89</f>
        <v>19.811537000000001</v>
      </c>
      <c r="AF101" s="30">
        <f>'AEO 2023 Table 49 Raw'!AI89</f>
        <v>0.01</v>
      </c>
    </row>
    <row r="102" spans="1:32" ht="15" customHeight="1">
      <c r="A102" s="7" t="s">
        <v>825</v>
      </c>
      <c r="B102" s="16" t="s">
        <v>738</v>
      </c>
      <c r="C102" s="18">
        <f>'AEO 2023 Table 49 Raw'!F90</f>
        <v>10.726827</v>
      </c>
      <c r="D102" s="18">
        <f>'AEO 2023 Table 49 Raw'!G90</f>
        <v>11.005366</v>
      </c>
      <c r="E102" s="18">
        <f>'AEO 2023 Table 49 Raw'!H90</f>
        <v>11.295146000000001</v>
      </c>
      <c r="F102" s="18">
        <f>'AEO 2023 Table 49 Raw'!I90</f>
        <v>11.596507000000001</v>
      </c>
      <c r="G102" s="18">
        <f>'AEO 2023 Table 49 Raw'!J90</f>
        <v>11.891500000000001</v>
      </c>
      <c r="H102" s="18">
        <f>'AEO 2023 Table 49 Raw'!K90</f>
        <v>12.183458</v>
      </c>
      <c r="I102" s="18">
        <f>'AEO 2023 Table 49 Raw'!L90</f>
        <v>12.456664</v>
      </c>
      <c r="J102" s="18">
        <f>'AEO 2023 Table 49 Raw'!M90</f>
        <v>12.71387</v>
      </c>
      <c r="K102" s="18">
        <f>'AEO 2023 Table 49 Raw'!N90</f>
        <v>12.949475</v>
      </c>
      <c r="L102" s="18">
        <f>'AEO 2023 Table 49 Raw'!O90</f>
        <v>13.167376000000001</v>
      </c>
      <c r="M102" s="18">
        <f>'AEO 2023 Table 49 Raw'!P90</f>
        <v>13.364095000000001</v>
      </c>
      <c r="N102" s="18">
        <f>'AEO 2023 Table 49 Raw'!Q90</f>
        <v>13.539407000000001</v>
      </c>
      <c r="O102" s="18">
        <f>'AEO 2023 Table 49 Raw'!R90</f>
        <v>13.695525999999999</v>
      </c>
      <c r="P102" s="18">
        <f>'AEO 2023 Table 49 Raw'!S90</f>
        <v>13.836619000000001</v>
      </c>
      <c r="Q102" s="18">
        <f>'AEO 2023 Table 49 Raw'!T90</f>
        <v>13.962876</v>
      </c>
      <c r="R102" s="18">
        <f>'AEO 2023 Table 49 Raw'!U90</f>
        <v>14.077448</v>
      </c>
      <c r="S102" s="18">
        <f>'AEO 2023 Table 49 Raw'!V90</f>
        <v>14.185199000000001</v>
      </c>
      <c r="T102" s="18">
        <f>'AEO 2023 Table 49 Raw'!W90</f>
        <v>14.290082999999999</v>
      </c>
      <c r="U102" s="18">
        <f>'AEO 2023 Table 49 Raw'!X90</f>
        <v>14.388892999999999</v>
      </c>
      <c r="V102" s="18">
        <f>'AEO 2023 Table 49 Raw'!Y90</f>
        <v>14.442099000000001</v>
      </c>
      <c r="W102" s="18">
        <f>'AEO 2023 Table 49 Raw'!Z90</f>
        <v>14.491308</v>
      </c>
      <c r="X102" s="18">
        <f>'AEO 2023 Table 49 Raw'!AA90</f>
        <v>14.538304</v>
      </c>
      <c r="Y102" s="18">
        <f>'AEO 2023 Table 49 Raw'!AB90</f>
        <v>14.576364</v>
      </c>
      <c r="Z102" s="18">
        <f>'AEO 2023 Table 49 Raw'!AC90</f>
        <v>14.611788000000001</v>
      </c>
      <c r="AA102" s="18">
        <f>'AEO 2023 Table 49 Raw'!AD90</f>
        <v>14.644666000000001</v>
      </c>
      <c r="AB102" s="18">
        <f>'AEO 2023 Table 49 Raw'!AE90</f>
        <v>14.676098</v>
      </c>
      <c r="AC102" s="18">
        <f>'AEO 2023 Table 49 Raw'!AF90</f>
        <v>14.708055</v>
      </c>
      <c r="AD102" s="18">
        <f>'AEO 2023 Table 49 Raw'!AG90</f>
        <v>14.740869999999999</v>
      </c>
      <c r="AE102" s="18">
        <f>'AEO 2023 Table 49 Raw'!AH90</f>
        <v>14.772921</v>
      </c>
      <c r="AF102" s="30">
        <f>'AEO 2023 Table 49 Raw'!AI90</f>
        <v>1.0999999999999999E-2</v>
      </c>
    </row>
    <row r="103" spans="1:32" ht="15" customHeight="1">
      <c r="A103" s="7" t="s">
        <v>826</v>
      </c>
      <c r="B103" s="16" t="s">
        <v>382</v>
      </c>
      <c r="C103" s="18">
        <f>'AEO 2023 Table 49 Raw'!F91</f>
        <v>8.2871159999999993</v>
      </c>
      <c r="D103" s="18">
        <f>'AEO 2023 Table 49 Raw'!G91</f>
        <v>12.031981</v>
      </c>
      <c r="E103" s="18">
        <f>'AEO 2023 Table 49 Raw'!H91</f>
        <v>12.360588999999999</v>
      </c>
      <c r="F103" s="18">
        <f>'AEO 2023 Table 49 Raw'!I91</f>
        <v>12.523303</v>
      </c>
      <c r="G103" s="18">
        <f>'AEO 2023 Table 49 Raw'!J91</f>
        <v>12.634840000000001</v>
      </c>
      <c r="H103" s="18">
        <f>'AEO 2023 Table 49 Raw'!K91</f>
        <v>12.74039</v>
      </c>
      <c r="I103" s="18">
        <f>'AEO 2023 Table 49 Raw'!L91</f>
        <v>12.832022</v>
      </c>
      <c r="J103" s="18">
        <f>'AEO 2023 Table 49 Raw'!M91</f>
        <v>12.931651</v>
      </c>
      <c r="K103" s="18">
        <f>'AEO 2023 Table 49 Raw'!N91</f>
        <v>13.04673</v>
      </c>
      <c r="L103" s="18">
        <f>'AEO 2023 Table 49 Raw'!O91</f>
        <v>13.172309</v>
      </c>
      <c r="M103" s="18">
        <f>'AEO 2023 Table 49 Raw'!P91</f>
        <v>13.306245000000001</v>
      </c>
      <c r="N103" s="18">
        <f>'AEO 2023 Table 49 Raw'!Q91</f>
        <v>13.439323</v>
      </c>
      <c r="O103" s="18">
        <f>'AEO 2023 Table 49 Raw'!R91</f>
        <v>13.563253</v>
      </c>
      <c r="P103" s="18">
        <f>'AEO 2023 Table 49 Raw'!S91</f>
        <v>13.672013</v>
      </c>
      <c r="Q103" s="18">
        <f>'AEO 2023 Table 49 Raw'!T91</f>
        <v>13.766769999999999</v>
      </c>
      <c r="R103" s="18">
        <f>'AEO 2023 Table 49 Raw'!U91</f>
        <v>13.849815</v>
      </c>
      <c r="S103" s="18">
        <f>'AEO 2023 Table 49 Raw'!V91</f>
        <v>13.922634</v>
      </c>
      <c r="T103" s="18">
        <f>'AEO 2023 Table 49 Raw'!W91</f>
        <v>13.986432000000001</v>
      </c>
      <c r="U103" s="18">
        <f>'AEO 2023 Table 49 Raw'!X91</f>
        <v>14.041862</v>
      </c>
      <c r="V103" s="18">
        <f>'AEO 2023 Table 49 Raw'!Y91</f>
        <v>14.089687</v>
      </c>
      <c r="W103" s="18">
        <f>'AEO 2023 Table 49 Raw'!Z91</f>
        <v>14.130868</v>
      </c>
      <c r="X103" s="18">
        <f>'AEO 2023 Table 49 Raw'!AA91</f>
        <v>14.166186</v>
      </c>
      <c r="Y103" s="18">
        <f>'AEO 2023 Table 49 Raw'!AB91</f>
        <v>14.198964</v>
      </c>
      <c r="Z103" s="18">
        <f>'AEO 2023 Table 49 Raw'!AC91</f>
        <v>14.22842</v>
      </c>
      <c r="AA103" s="18">
        <f>'AEO 2023 Table 49 Raw'!AD91</f>
        <v>14.254268</v>
      </c>
      <c r="AB103" s="18">
        <f>'AEO 2023 Table 49 Raw'!AE91</f>
        <v>14.276505</v>
      </c>
      <c r="AC103" s="18">
        <f>'AEO 2023 Table 49 Raw'!AF91</f>
        <v>14.295197</v>
      </c>
      <c r="AD103" s="18">
        <f>'AEO 2023 Table 49 Raw'!AG91</f>
        <v>14.310687</v>
      </c>
      <c r="AE103" s="18">
        <f>'AEO 2023 Table 49 Raw'!AH91</f>
        <v>14.323290999999999</v>
      </c>
      <c r="AF103" s="30">
        <f>'AEO 2023 Table 49 Raw'!AI91</f>
        <v>0.02</v>
      </c>
    </row>
    <row r="104" spans="1:32" ht="15" customHeight="1">
      <c r="A104" s="7" t="s">
        <v>827</v>
      </c>
      <c r="B104" s="16" t="s">
        <v>741</v>
      </c>
      <c r="C104" s="18">
        <f>'AEO 2023 Table 49 Raw'!F92</f>
        <v>10.037064000000001</v>
      </c>
      <c r="D104" s="18">
        <f>'AEO 2023 Table 49 Raw'!G92</f>
        <v>10.038249</v>
      </c>
      <c r="E104" s="18">
        <f>'AEO 2023 Table 49 Raw'!H92</f>
        <v>10.039481</v>
      </c>
      <c r="F104" s="18">
        <f>'AEO 2023 Table 49 Raw'!I92</f>
        <v>10.040761</v>
      </c>
      <c r="G104" s="18">
        <f>'AEO 2023 Table 49 Raw'!J92</f>
        <v>10.042078999999999</v>
      </c>
      <c r="H104" s="18">
        <f>'AEO 2023 Table 49 Raw'!K92</f>
        <v>10.043437000000001</v>
      </c>
      <c r="I104" s="18">
        <f>'AEO 2023 Table 49 Raw'!L92</f>
        <v>10.044829</v>
      </c>
      <c r="J104" s="18">
        <f>'AEO 2023 Table 49 Raw'!M92</f>
        <v>10.046252000000001</v>
      </c>
      <c r="K104" s="18">
        <f>'AEO 2023 Table 49 Raw'!N92</f>
        <v>10.047701999999999</v>
      </c>
      <c r="L104" s="18">
        <f>'AEO 2023 Table 49 Raw'!O92</f>
        <v>10.049175999999999</v>
      </c>
      <c r="M104" s="18">
        <f>'AEO 2023 Table 49 Raw'!P92</f>
        <v>10.050672</v>
      </c>
      <c r="N104" s="18">
        <f>'AEO 2023 Table 49 Raw'!Q92</f>
        <v>10.057157</v>
      </c>
      <c r="O104" s="18">
        <f>'AEO 2023 Table 49 Raw'!R92</f>
        <v>10.07352</v>
      </c>
      <c r="P104" s="18">
        <f>'AEO 2023 Table 49 Raw'!S92</f>
        <v>10.105247</v>
      </c>
      <c r="Q104" s="18">
        <f>'AEO 2023 Table 49 Raw'!T92</f>
        <v>10.140972</v>
      </c>
      <c r="R104" s="18">
        <f>'AEO 2023 Table 49 Raw'!U92</f>
        <v>10.185603</v>
      </c>
      <c r="S104" s="18">
        <f>'AEO 2023 Table 49 Raw'!V92</f>
        <v>10.231821</v>
      </c>
      <c r="T104" s="18">
        <f>'AEO 2023 Table 49 Raw'!W92</f>
        <v>10.26587</v>
      </c>
      <c r="U104" s="18">
        <f>'AEO 2023 Table 49 Raw'!X92</f>
        <v>10.275093999999999</v>
      </c>
      <c r="V104" s="18">
        <f>'AEO 2023 Table 49 Raw'!Y92</f>
        <v>10.25789</v>
      </c>
      <c r="W104" s="18">
        <f>'AEO 2023 Table 49 Raw'!Z92</f>
        <v>10.216538</v>
      </c>
      <c r="X104" s="18">
        <f>'AEO 2023 Table 49 Raw'!AA92</f>
        <v>10.161301999999999</v>
      </c>
      <c r="Y104" s="18">
        <f>'AEO 2023 Table 49 Raw'!AB92</f>
        <v>10.092756</v>
      </c>
      <c r="Z104" s="18">
        <f>'AEO 2023 Table 49 Raw'!AC92</f>
        <v>10.027177</v>
      </c>
      <c r="AA104" s="18">
        <f>'AEO 2023 Table 49 Raw'!AD92</f>
        <v>9.9940409999999993</v>
      </c>
      <c r="AB104" s="18">
        <f>'AEO 2023 Table 49 Raw'!AE92</f>
        <v>10.014453</v>
      </c>
      <c r="AC104" s="18">
        <f>'AEO 2023 Table 49 Raw'!AF92</f>
        <v>10.061934000000001</v>
      </c>
      <c r="AD104" s="18">
        <f>'AEO 2023 Table 49 Raw'!AG92</f>
        <v>10.114000000000001</v>
      </c>
      <c r="AE104" s="18">
        <f>'AEO 2023 Table 49 Raw'!AH92</f>
        <v>10.188726000000001</v>
      </c>
      <c r="AF104" s="30">
        <f>'AEO 2023 Table 49 Raw'!AI92</f>
        <v>1E-3</v>
      </c>
    </row>
    <row r="105" spans="1:32" ht="15" customHeight="1">
      <c r="A105" s="7" t="s">
        <v>828</v>
      </c>
      <c r="B105" s="16" t="s">
        <v>743</v>
      </c>
      <c r="C105" s="18">
        <f>'AEO 2023 Table 49 Raw'!F93</f>
        <v>10.330606</v>
      </c>
      <c r="D105" s="18">
        <f>'AEO 2023 Table 49 Raw'!G93</f>
        <v>10.473398</v>
      </c>
      <c r="E105" s="18">
        <f>'AEO 2023 Table 49 Raw'!H93</f>
        <v>10.635232999999999</v>
      </c>
      <c r="F105" s="18">
        <f>'AEO 2023 Table 49 Raw'!I93</f>
        <v>10.811537</v>
      </c>
      <c r="G105" s="18">
        <f>'AEO 2023 Table 49 Raw'!J93</f>
        <v>10.992823</v>
      </c>
      <c r="H105" s="18">
        <f>'AEO 2023 Table 49 Raw'!K93</f>
        <v>11.179570999999999</v>
      </c>
      <c r="I105" s="18">
        <f>'AEO 2023 Table 49 Raw'!L93</f>
        <v>11.358347</v>
      </c>
      <c r="J105" s="18">
        <f>'AEO 2023 Table 49 Raw'!M93</f>
        <v>11.530927999999999</v>
      </c>
      <c r="K105" s="18">
        <f>'AEO 2023 Table 49 Raw'!N93</f>
        <v>11.697601000000001</v>
      </c>
      <c r="L105" s="18">
        <f>'AEO 2023 Table 49 Raw'!O93</f>
        <v>11.859797</v>
      </c>
      <c r="M105" s="18">
        <f>'AEO 2023 Table 49 Raw'!P93</f>
        <v>12.017756</v>
      </c>
      <c r="N105" s="18">
        <f>'AEO 2023 Table 49 Raw'!Q93</f>
        <v>12.173800999999999</v>
      </c>
      <c r="O105" s="18">
        <f>'AEO 2023 Table 49 Raw'!R93</f>
        <v>12.336893</v>
      </c>
      <c r="P105" s="18">
        <f>'AEO 2023 Table 49 Raw'!S93</f>
        <v>12.507586</v>
      </c>
      <c r="Q105" s="18">
        <f>'AEO 2023 Table 49 Raw'!T93</f>
        <v>12.68805</v>
      </c>
      <c r="R105" s="18">
        <f>'AEO 2023 Table 49 Raw'!U93</f>
        <v>12.874475</v>
      </c>
      <c r="S105" s="18">
        <f>'AEO 2023 Table 49 Raw'!V93</f>
        <v>13.077565</v>
      </c>
      <c r="T105" s="18">
        <f>'AEO 2023 Table 49 Raw'!W93</f>
        <v>13.287155</v>
      </c>
      <c r="U105" s="18">
        <f>'AEO 2023 Table 49 Raw'!X93</f>
        <v>13.497173</v>
      </c>
      <c r="V105" s="18">
        <f>'AEO 2023 Table 49 Raw'!Y93</f>
        <v>13.658909</v>
      </c>
      <c r="W105" s="18">
        <f>'AEO 2023 Table 49 Raw'!Z93</f>
        <v>13.800933000000001</v>
      </c>
      <c r="X105" s="18">
        <f>'AEO 2023 Table 49 Raw'!AA93</f>
        <v>13.916017</v>
      </c>
      <c r="Y105" s="18">
        <f>'AEO 2023 Table 49 Raw'!AB93</f>
        <v>14.006437999999999</v>
      </c>
      <c r="Z105" s="18">
        <f>'AEO 2023 Table 49 Raw'!AC93</f>
        <v>14.081751000000001</v>
      </c>
      <c r="AA105" s="18">
        <f>'AEO 2023 Table 49 Raw'!AD93</f>
        <v>14.147543000000001</v>
      </c>
      <c r="AB105" s="18">
        <f>'AEO 2023 Table 49 Raw'!AE93</f>
        <v>14.206153</v>
      </c>
      <c r="AC105" s="18">
        <f>'AEO 2023 Table 49 Raw'!AF93</f>
        <v>14.260489</v>
      </c>
      <c r="AD105" s="18">
        <f>'AEO 2023 Table 49 Raw'!AG93</f>
        <v>14.31892</v>
      </c>
      <c r="AE105" s="18">
        <f>'AEO 2023 Table 49 Raw'!AH93</f>
        <v>14.378976</v>
      </c>
      <c r="AF105" s="30">
        <f>'AEO 2023 Table 49 Raw'!AI93</f>
        <v>1.2E-2</v>
      </c>
    </row>
    <row r="106" spans="1:32" ht="15" customHeight="1">
      <c r="A106" s="7" t="s">
        <v>829</v>
      </c>
      <c r="B106" s="16" t="s">
        <v>745</v>
      </c>
      <c r="C106" s="18">
        <f>'AEO 2023 Table 49 Raw'!F94</f>
        <v>24.120540999999999</v>
      </c>
      <c r="D106" s="18">
        <f>'AEO 2023 Table 49 Raw'!G94</f>
        <v>24.120649</v>
      </c>
      <c r="E106" s="18">
        <f>'AEO 2023 Table 49 Raw'!H94</f>
        <v>24.120832</v>
      </c>
      <c r="F106" s="18">
        <f>'AEO 2023 Table 49 Raw'!I94</f>
        <v>24.121075000000001</v>
      </c>
      <c r="G106" s="18">
        <f>'AEO 2023 Table 49 Raw'!J94</f>
        <v>24.121359000000002</v>
      </c>
      <c r="H106" s="18">
        <f>'AEO 2023 Table 49 Raw'!K94</f>
        <v>24.121646999999999</v>
      </c>
      <c r="I106" s="18">
        <f>'AEO 2023 Table 49 Raw'!L94</f>
        <v>24.12191</v>
      </c>
      <c r="J106" s="18">
        <f>'AEO 2023 Table 49 Raw'!M94</f>
        <v>24.1206</v>
      </c>
      <c r="K106" s="18">
        <f>'AEO 2023 Table 49 Raw'!N94</f>
        <v>24.120342000000001</v>
      </c>
      <c r="L106" s="18">
        <f>'AEO 2023 Table 49 Raw'!O94</f>
        <v>24.12031</v>
      </c>
      <c r="M106" s="18">
        <f>'AEO 2023 Table 49 Raw'!P94</f>
        <v>24.120283000000001</v>
      </c>
      <c r="N106" s="18">
        <f>'AEO 2023 Table 49 Raw'!Q94</f>
        <v>24.116168999999999</v>
      </c>
      <c r="O106" s="18">
        <f>'AEO 2023 Table 49 Raw'!R94</f>
        <v>24.116142</v>
      </c>
      <c r="P106" s="18">
        <f>'AEO 2023 Table 49 Raw'!S94</f>
        <v>24.116114</v>
      </c>
      <c r="Q106" s="18">
        <f>'AEO 2023 Table 49 Raw'!T94</f>
        <v>24.116087</v>
      </c>
      <c r="R106" s="18">
        <f>'AEO 2023 Table 49 Raw'!U94</f>
        <v>24.116057999999999</v>
      </c>
      <c r="S106" s="18">
        <f>'AEO 2023 Table 49 Raw'!V94</f>
        <v>24.116029999999999</v>
      </c>
      <c r="T106" s="18">
        <f>'AEO 2023 Table 49 Raw'!W94</f>
        <v>24.116001000000001</v>
      </c>
      <c r="U106" s="18">
        <f>'AEO 2023 Table 49 Raw'!X94</f>
        <v>24.121918000000001</v>
      </c>
      <c r="V106" s="18">
        <f>'AEO 2023 Table 49 Raw'!Y94</f>
        <v>24.121894999999999</v>
      </c>
      <c r="W106" s="18">
        <f>'AEO 2023 Table 49 Raw'!Z94</f>
        <v>24.121870000000001</v>
      </c>
      <c r="X106" s="18">
        <f>'AEO 2023 Table 49 Raw'!AA94</f>
        <v>24.121849000000001</v>
      </c>
      <c r="Y106" s="18">
        <f>'AEO 2023 Table 49 Raw'!AB94</f>
        <v>24.121849000000001</v>
      </c>
      <c r="Z106" s="18">
        <f>'AEO 2023 Table 49 Raw'!AC94</f>
        <v>24.121849000000001</v>
      </c>
      <c r="AA106" s="18">
        <f>'AEO 2023 Table 49 Raw'!AD94</f>
        <v>24.121849000000001</v>
      </c>
      <c r="AB106" s="18">
        <f>'AEO 2023 Table 49 Raw'!AE94</f>
        <v>24.121849000000001</v>
      </c>
      <c r="AC106" s="18">
        <f>'AEO 2023 Table 49 Raw'!AF94</f>
        <v>24.121849000000001</v>
      </c>
      <c r="AD106" s="18">
        <f>'AEO 2023 Table 49 Raw'!AG94</f>
        <v>24.121849000000001</v>
      </c>
      <c r="AE106" s="18">
        <f>'AEO 2023 Table 49 Raw'!AH94</f>
        <v>24.121849000000001</v>
      </c>
      <c r="AF106" s="30">
        <f>'AEO 2023 Table 49 Raw'!AI94</f>
        <v>0</v>
      </c>
    </row>
    <row r="107" spans="1:32" ht="15" customHeight="1">
      <c r="A107" s="7" t="s">
        <v>830</v>
      </c>
      <c r="B107" s="16" t="s">
        <v>747</v>
      </c>
      <c r="C107" s="18">
        <f>'AEO 2023 Table 49 Raw'!F95</f>
        <v>0</v>
      </c>
      <c r="D107" s="18">
        <f>'AEO 2023 Table 49 Raw'!G95</f>
        <v>23.149602999999999</v>
      </c>
      <c r="E107" s="18">
        <f>'AEO 2023 Table 49 Raw'!H95</f>
        <v>23.472764999999999</v>
      </c>
      <c r="F107" s="18">
        <f>'AEO 2023 Table 49 Raw'!I95</f>
        <v>23.715693000000002</v>
      </c>
      <c r="G107" s="18">
        <f>'AEO 2023 Table 49 Raw'!J95</f>
        <v>23.940075</v>
      </c>
      <c r="H107" s="18">
        <f>'AEO 2023 Table 49 Raw'!K95</f>
        <v>24.190411000000001</v>
      </c>
      <c r="I107" s="18">
        <f>'AEO 2023 Table 49 Raw'!L95</f>
        <v>24.446352000000001</v>
      </c>
      <c r="J107" s="18">
        <f>'AEO 2023 Table 49 Raw'!M95</f>
        <v>24.748117000000001</v>
      </c>
      <c r="K107" s="18">
        <f>'AEO 2023 Table 49 Raw'!N95</f>
        <v>25.091992999999999</v>
      </c>
      <c r="L107" s="18">
        <f>'AEO 2023 Table 49 Raw'!O95</f>
        <v>25.473272000000001</v>
      </c>
      <c r="M107" s="18">
        <f>'AEO 2023 Table 49 Raw'!P95</f>
        <v>25.884830000000001</v>
      </c>
      <c r="N107" s="18">
        <f>'AEO 2023 Table 49 Raw'!Q95</f>
        <v>26.288961</v>
      </c>
      <c r="O107" s="18">
        <f>'AEO 2023 Table 49 Raw'!R95</f>
        <v>26.659797999999999</v>
      </c>
      <c r="P107" s="18">
        <f>'AEO 2023 Table 49 Raw'!S95</f>
        <v>26.990131000000002</v>
      </c>
      <c r="Q107" s="18">
        <f>'AEO 2023 Table 49 Raw'!T95</f>
        <v>27.284669999999998</v>
      </c>
      <c r="R107" s="18">
        <f>'AEO 2023 Table 49 Raw'!U95</f>
        <v>27.544640000000001</v>
      </c>
      <c r="S107" s="18">
        <f>'AEO 2023 Table 49 Raw'!V95</f>
        <v>27.771345</v>
      </c>
      <c r="T107" s="18">
        <f>'AEO 2023 Table 49 Raw'!W95</f>
        <v>27.966187000000001</v>
      </c>
      <c r="U107" s="18">
        <f>'AEO 2023 Table 49 Raw'!X95</f>
        <v>28.130445000000002</v>
      </c>
      <c r="V107" s="18">
        <f>'AEO 2023 Table 49 Raw'!Y95</f>
        <v>28.266403</v>
      </c>
      <c r="W107" s="18">
        <f>'AEO 2023 Table 49 Raw'!Z95</f>
        <v>28.382709999999999</v>
      </c>
      <c r="X107" s="18">
        <f>'AEO 2023 Table 49 Raw'!AA95</f>
        <v>28.481961999999999</v>
      </c>
      <c r="Y107" s="18">
        <f>'AEO 2023 Table 49 Raw'!AB95</f>
        <v>28.566258999999999</v>
      </c>
      <c r="Z107" s="18">
        <f>'AEO 2023 Table 49 Raw'!AC95</f>
        <v>28.638152999999999</v>
      </c>
      <c r="AA107" s="18">
        <f>'AEO 2023 Table 49 Raw'!AD95</f>
        <v>28.706033999999999</v>
      </c>
      <c r="AB107" s="18">
        <f>'AEO 2023 Table 49 Raw'!AE95</f>
        <v>28.767852999999999</v>
      </c>
      <c r="AC107" s="18">
        <f>'AEO 2023 Table 49 Raw'!AF95</f>
        <v>28.822959999999998</v>
      </c>
      <c r="AD107" s="18">
        <f>'AEO 2023 Table 49 Raw'!AG95</f>
        <v>28.87105</v>
      </c>
      <c r="AE107" s="18">
        <f>'AEO 2023 Table 49 Raw'!AH95</f>
        <v>28.912033000000001</v>
      </c>
      <c r="AF107" s="30" t="str">
        <f>'AEO 2023 Table 49 Raw'!AI95</f>
        <v>- -</v>
      </c>
    </row>
    <row r="108" spans="1:32" ht="15" customHeight="1">
      <c r="A108" s="7" t="s">
        <v>831</v>
      </c>
      <c r="B108" s="16" t="s">
        <v>749</v>
      </c>
      <c r="C108" s="18">
        <f>'AEO 2023 Table 49 Raw'!F96</f>
        <v>0</v>
      </c>
      <c r="D108" s="18">
        <f>'AEO 2023 Table 49 Raw'!G96</f>
        <v>18.966135000000001</v>
      </c>
      <c r="E108" s="18">
        <f>'AEO 2023 Table 49 Raw'!H96</f>
        <v>19.092039</v>
      </c>
      <c r="F108" s="18">
        <f>'AEO 2023 Table 49 Raw'!I96</f>
        <v>19.214801999999999</v>
      </c>
      <c r="G108" s="18">
        <f>'AEO 2023 Table 49 Raw'!J96</f>
        <v>19.305622</v>
      </c>
      <c r="H108" s="18">
        <f>'AEO 2023 Table 49 Raw'!K96</f>
        <v>19.397898000000001</v>
      </c>
      <c r="I108" s="18">
        <f>'AEO 2023 Table 49 Raw'!L96</f>
        <v>19.482711999999999</v>
      </c>
      <c r="J108" s="18">
        <f>'AEO 2023 Table 49 Raw'!M96</f>
        <v>19.577449999999999</v>
      </c>
      <c r="K108" s="18">
        <f>'AEO 2023 Table 49 Raw'!N96</f>
        <v>19.683924000000001</v>
      </c>
      <c r="L108" s="18">
        <f>'AEO 2023 Table 49 Raw'!O96</f>
        <v>19.801506</v>
      </c>
      <c r="M108" s="18">
        <f>'AEO 2023 Table 49 Raw'!P96</f>
        <v>19.927548999999999</v>
      </c>
      <c r="N108" s="18">
        <f>'AEO 2023 Table 49 Raw'!Q96</f>
        <v>20.055523000000001</v>
      </c>
      <c r="O108" s="18">
        <f>'AEO 2023 Table 49 Raw'!R96</f>
        <v>20.178999000000001</v>
      </c>
      <c r="P108" s="18">
        <f>'AEO 2023 Table 49 Raw'!S96</f>
        <v>20.292757000000002</v>
      </c>
      <c r="Q108" s="18">
        <f>'AEO 2023 Table 49 Raw'!T96</f>
        <v>20.398233000000001</v>
      </c>
      <c r="R108" s="18">
        <f>'AEO 2023 Table 49 Raw'!U96</f>
        <v>20.494122000000001</v>
      </c>
      <c r="S108" s="18">
        <f>'AEO 2023 Table 49 Raw'!V96</f>
        <v>20.578828999999999</v>
      </c>
      <c r="T108" s="18">
        <f>'AEO 2023 Table 49 Raw'!W96</f>
        <v>20.651620999999999</v>
      </c>
      <c r="U108" s="18">
        <f>'AEO 2023 Table 49 Raw'!X96</f>
        <v>20.712885</v>
      </c>
      <c r="V108" s="18">
        <f>'AEO 2023 Table 49 Raw'!Y96</f>
        <v>20.763338000000001</v>
      </c>
      <c r="W108" s="18">
        <f>'AEO 2023 Table 49 Raw'!Z96</f>
        <v>20.805949999999999</v>
      </c>
      <c r="X108" s="18">
        <f>'AEO 2023 Table 49 Raw'!AA96</f>
        <v>20.841664999999999</v>
      </c>
      <c r="Y108" s="18">
        <f>'AEO 2023 Table 49 Raw'!AB96</f>
        <v>20.871314999999999</v>
      </c>
      <c r="Z108" s="18">
        <f>'AEO 2023 Table 49 Raw'!AC96</f>
        <v>20.895990000000001</v>
      </c>
      <c r="AA108" s="18">
        <f>'AEO 2023 Table 49 Raw'!AD96</f>
        <v>20.918527999999998</v>
      </c>
      <c r="AB108" s="18">
        <f>'AEO 2023 Table 49 Raw'!AE96</f>
        <v>20.938431000000001</v>
      </c>
      <c r="AC108" s="18">
        <f>'AEO 2023 Table 49 Raw'!AF96</f>
        <v>20.955587000000001</v>
      </c>
      <c r="AD108" s="18">
        <f>'AEO 2023 Table 49 Raw'!AG96</f>
        <v>20.970182000000001</v>
      </c>
      <c r="AE108" s="18">
        <f>'AEO 2023 Table 49 Raw'!AH96</f>
        <v>20.982382000000001</v>
      </c>
      <c r="AF108" s="30" t="str">
        <f>'AEO 2023 Table 49 Raw'!AI96</f>
        <v>- -</v>
      </c>
    </row>
    <row r="109" spans="1:32" ht="15" customHeight="1">
      <c r="A109" s="7" t="s">
        <v>832</v>
      </c>
      <c r="B109" s="16" t="s">
        <v>751</v>
      </c>
      <c r="C109" s="18">
        <f>'AEO 2023 Table 49 Raw'!F97</f>
        <v>0</v>
      </c>
      <c r="D109" s="18">
        <f>'AEO 2023 Table 49 Raw'!G97</f>
        <v>0</v>
      </c>
      <c r="E109" s="18">
        <f>'AEO 2023 Table 49 Raw'!H97</f>
        <v>18.589188</v>
      </c>
      <c r="F109" s="18">
        <f>'AEO 2023 Table 49 Raw'!I97</f>
        <v>17.308316999999999</v>
      </c>
      <c r="G109" s="18">
        <f>'AEO 2023 Table 49 Raw'!J97</f>
        <v>16.941782</v>
      </c>
      <c r="H109" s="18">
        <f>'AEO 2023 Table 49 Raw'!K97</f>
        <v>16.756969000000002</v>
      </c>
      <c r="I109" s="18">
        <f>'AEO 2023 Table 49 Raw'!L97</f>
        <v>16.642426</v>
      </c>
      <c r="J109" s="18">
        <f>'AEO 2023 Table 49 Raw'!M97</f>
        <v>16.563610000000001</v>
      </c>
      <c r="K109" s="18">
        <f>'AEO 2023 Table 49 Raw'!N97</f>
        <v>16.506260000000001</v>
      </c>
      <c r="L109" s="18">
        <f>'AEO 2023 Table 49 Raw'!O97</f>
        <v>16.462553</v>
      </c>
      <c r="M109" s="18">
        <f>'AEO 2023 Table 49 Raw'!P97</f>
        <v>16.427906</v>
      </c>
      <c r="N109" s="18">
        <f>'AEO 2023 Table 49 Raw'!Q97</f>
        <v>16.400134999999999</v>
      </c>
      <c r="O109" s="18">
        <f>'AEO 2023 Table 49 Raw'!R97</f>
        <v>16.378022999999999</v>
      </c>
      <c r="P109" s="18">
        <f>'AEO 2023 Table 49 Raw'!S97</f>
        <v>16.360289000000002</v>
      </c>
      <c r="Q109" s="18">
        <f>'AEO 2023 Table 49 Raw'!T97</f>
        <v>16.346004000000001</v>
      </c>
      <c r="R109" s="18">
        <f>'AEO 2023 Table 49 Raw'!U97</f>
        <v>16.334526</v>
      </c>
      <c r="S109" s="18">
        <f>'AEO 2023 Table 49 Raw'!V97</f>
        <v>16.325377</v>
      </c>
      <c r="T109" s="18">
        <f>'AEO 2023 Table 49 Raw'!W97</f>
        <v>16.318187999999999</v>
      </c>
      <c r="U109" s="18">
        <f>'AEO 2023 Table 49 Raw'!X97</f>
        <v>16.312683</v>
      </c>
      <c r="V109" s="18">
        <f>'AEO 2023 Table 49 Raw'!Y97</f>
        <v>16.308593999999999</v>
      </c>
      <c r="W109" s="18">
        <f>'AEO 2023 Table 49 Raw'!Z97</f>
        <v>16.305630000000001</v>
      </c>
      <c r="X109" s="18">
        <f>'AEO 2023 Table 49 Raw'!AA97</f>
        <v>16.300325000000001</v>
      </c>
      <c r="Y109" s="18">
        <f>'AEO 2023 Table 49 Raw'!AB97</f>
        <v>16.295318999999999</v>
      </c>
      <c r="Z109" s="18">
        <f>'AEO 2023 Table 49 Raw'!AC97</f>
        <v>16.291018000000001</v>
      </c>
      <c r="AA109" s="18">
        <f>'AEO 2023 Table 49 Raw'!AD97</f>
        <v>16.287289000000001</v>
      </c>
      <c r="AB109" s="18">
        <f>'AEO 2023 Table 49 Raw'!AE97</f>
        <v>16.278582</v>
      </c>
      <c r="AC109" s="18">
        <f>'AEO 2023 Table 49 Raw'!AF97</f>
        <v>16.271843000000001</v>
      </c>
      <c r="AD109" s="18">
        <f>'AEO 2023 Table 49 Raw'!AG97</f>
        <v>16.266584000000002</v>
      </c>
      <c r="AE109" s="18">
        <f>'AEO 2023 Table 49 Raw'!AH97</f>
        <v>16.262445</v>
      </c>
      <c r="AF109" s="30" t="str">
        <f>'AEO 2023 Table 49 Raw'!AI97</f>
        <v>- -</v>
      </c>
    </row>
    <row r="110" spans="1:32" ht="15" customHeight="1">
      <c r="A110" s="7" t="s">
        <v>833</v>
      </c>
      <c r="B110" s="16" t="s">
        <v>834</v>
      </c>
      <c r="C110" s="18">
        <f>'AEO 2023 Table 49 Raw'!F98</f>
        <v>13.701715</v>
      </c>
      <c r="D110" s="18">
        <f>'AEO 2023 Table 49 Raw'!G98</f>
        <v>13.874705000000001</v>
      </c>
      <c r="E110" s="18">
        <f>'AEO 2023 Table 49 Raw'!H98</f>
        <v>14.09103</v>
      </c>
      <c r="F110" s="18">
        <f>'AEO 2023 Table 49 Raw'!I98</f>
        <v>14.350107</v>
      </c>
      <c r="G110" s="18">
        <f>'AEO 2023 Table 49 Raw'!J98</f>
        <v>14.627439000000001</v>
      </c>
      <c r="H110" s="18">
        <f>'AEO 2023 Table 49 Raw'!K98</f>
        <v>14.917809</v>
      </c>
      <c r="I110" s="18">
        <f>'AEO 2023 Table 49 Raw'!L98</f>
        <v>15.198219</v>
      </c>
      <c r="J110" s="18">
        <f>'AEO 2023 Table 49 Raw'!M98</f>
        <v>15.468105</v>
      </c>
      <c r="K110" s="18">
        <f>'AEO 2023 Table 49 Raw'!N98</f>
        <v>15.718248000000001</v>
      </c>
      <c r="L110" s="18">
        <f>'AEO 2023 Table 49 Raw'!O98</f>
        <v>15.950189</v>
      </c>
      <c r="M110" s="18">
        <f>'AEO 2023 Table 49 Raw'!P98</f>
        <v>16.164223</v>
      </c>
      <c r="N110" s="18">
        <f>'AEO 2023 Table 49 Raw'!Q98</f>
        <v>16.358761000000001</v>
      </c>
      <c r="O110" s="18">
        <f>'AEO 2023 Table 49 Raw'!R98</f>
        <v>16.530821</v>
      </c>
      <c r="P110" s="18">
        <f>'AEO 2023 Table 49 Raw'!S98</f>
        <v>16.684151</v>
      </c>
      <c r="Q110" s="18">
        <f>'AEO 2023 Table 49 Raw'!T98</f>
        <v>16.821214999999999</v>
      </c>
      <c r="R110" s="18">
        <f>'AEO 2023 Table 49 Raw'!U98</f>
        <v>16.944859000000001</v>
      </c>
      <c r="S110" s="18">
        <f>'AEO 2023 Table 49 Raw'!V98</f>
        <v>17.058762000000002</v>
      </c>
      <c r="T110" s="18">
        <f>'AEO 2023 Table 49 Raw'!W98</f>
        <v>17.163989999999998</v>
      </c>
      <c r="U110" s="18">
        <f>'AEO 2023 Table 49 Raw'!X98</f>
        <v>17.259305999999999</v>
      </c>
      <c r="V110" s="18">
        <f>'AEO 2023 Table 49 Raw'!Y98</f>
        <v>17.324244</v>
      </c>
      <c r="W110" s="18">
        <f>'AEO 2023 Table 49 Raw'!Z98</f>
        <v>17.380686000000001</v>
      </c>
      <c r="X110" s="18">
        <f>'AEO 2023 Table 49 Raw'!AA98</f>
        <v>17.429478</v>
      </c>
      <c r="Y110" s="18">
        <f>'AEO 2023 Table 49 Raw'!AB98</f>
        <v>17.467466000000002</v>
      </c>
      <c r="Z110" s="18">
        <f>'AEO 2023 Table 49 Raw'!AC98</f>
        <v>17.499217999999999</v>
      </c>
      <c r="AA110" s="18">
        <f>'AEO 2023 Table 49 Raw'!AD98</f>
        <v>17.525841</v>
      </c>
      <c r="AB110" s="18">
        <f>'AEO 2023 Table 49 Raw'!AE98</f>
        <v>17.548109</v>
      </c>
      <c r="AC110" s="18">
        <f>'AEO 2023 Table 49 Raw'!AF98</f>
        <v>17.567924000000001</v>
      </c>
      <c r="AD110" s="18">
        <f>'AEO 2023 Table 49 Raw'!AG98</f>
        <v>17.586690999999998</v>
      </c>
      <c r="AE110" s="18">
        <f>'AEO 2023 Table 49 Raw'!AH98</f>
        <v>17.603672</v>
      </c>
      <c r="AF110" s="30">
        <f>'AEO 2023 Table 49 Raw'!AI98</f>
        <v>8.9999999999999993E-3</v>
      </c>
    </row>
    <row r="111" spans="1:32" ht="15" customHeight="1">
      <c r="B111" s="15" t="s">
        <v>754</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30"/>
    </row>
    <row r="112" spans="1:32" ht="15" customHeight="1">
      <c r="A112" s="7" t="s">
        <v>835</v>
      </c>
      <c r="B112" s="16" t="s">
        <v>736</v>
      </c>
      <c r="C112" s="18">
        <f>'AEO 2023 Table 49 Raw'!F100</f>
        <v>9.1881959999999996</v>
      </c>
      <c r="D112" s="18">
        <f>'AEO 2023 Table 49 Raw'!G100</f>
        <v>9.3360979999999998</v>
      </c>
      <c r="E112" s="18">
        <f>'AEO 2023 Table 49 Raw'!H100</f>
        <v>9.4993839999999992</v>
      </c>
      <c r="F112" s="18">
        <f>'AEO 2023 Table 49 Raw'!I100</f>
        <v>9.6925690000000007</v>
      </c>
      <c r="G112" s="18">
        <f>'AEO 2023 Table 49 Raw'!J100</f>
        <v>9.913354</v>
      </c>
      <c r="H112" s="18">
        <f>'AEO 2023 Table 49 Raw'!K100</f>
        <v>10.152265999999999</v>
      </c>
      <c r="I112" s="18">
        <f>'AEO 2023 Table 49 Raw'!L100</f>
        <v>10.389875</v>
      </c>
      <c r="J112" s="18">
        <f>'AEO 2023 Table 49 Raw'!M100</f>
        <v>10.634052000000001</v>
      </c>
      <c r="K112" s="18">
        <f>'AEO 2023 Table 49 Raw'!N100</f>
        <v>10.877926</v>
      </c>
      <c r="L112" s="18">
        <f>'AEO 2023 Table 49 Raw'!O100</f>
        <v>11.121212</v>
      </c>
      <c r="M112" s="18">
        <f>'AEO 2023 Table 49 Raw'!P100</f>
        <v>11.358387</v>
      </c>
      <c r="N112" s="18">
        <f>'AEO 2023 Table 49 Raw'!Q100</f>
        <v>11.582022</v>
      </c>
      <c r="O112" s="18">
        <f>'AEO 2023 Table 49 Raw'!R100</f>
        <v>11.788220000000001</v>
      </c>
      <c r="P112" s="18">
        <f>'AEO 2023 Table 49 Raw'!S100</f>
        <v>11.976482000000001</v>
      </c>
      <c r="Q112" s="18">
        <f>'AEO 2023 Table 49 Raw'!T100</f>
        <v>12.14776</v>
      </c>
      <c r="R112" s="18">
        <f>'AEO 2023 Table 49 Raw'!U100</f>
        <v>12.304593000000001</v>
      </c>
      <c r="S112" s="18">
        <f>'AEO 2023 Table 49 Raw'!V100</f>
        <v>12.450073</v>
      </c>
      <c r="T112" s="18">
        <f>'AEO 2023 Table 49 Raw'!W100</f>
        <v>12.585081000000001</v>
      </c>
      <c r="U112" s="18">
        <f>'AEO 2023 Table 49 Raw'!X100</f>
        <v>12.70984</v>
      </c>
      <c r="V112" s="18">
        <f>'AEO 2023 Table 49 Raw'!Y100</f>
        <v>12.825391</v>
      </c>
      <c r="W112" s="18">
        <f>'AEO 2023 Table 49 Raw'!Z100</f>
        <v>12.930717</v>
      </c>
      <c r="X112" s="18">
        <f>'AEO 2023 Table 49 Raw'!AA100</f>
        <v>13.021278000000001</v>
      </c>
      <c r="Y112" s="18">
        <f>'AEO 2023 Table 49 Raw'!AB100</f>
        <v>13.098618999999999</v>
      </c>
      <c r="Z112" s="18">
        <f>'AEO 2023 Table 49 Raw'!AC100</f>
        <v>13.167104999999999</v>
      </c>
      <c r="AA112" s="18">
        <f>'AEO 2023 Table 49 Raw'!AD100</f>
        <v>13.230903</v>
      </c>
      <c r="AB112" s="18">
        <f>'AEO 2023 Table 49 Raw'!AE100</f>
        <v>13.288655</v>
      </c>
      <c r="AC112" s="18">
        <f>'AEO 2023 Table 49 Raw'!AF100</f>
        <v>13.341359000000001</v>
      </c>
      <c r="AD112" s="18">
        <f>'AEO 2023 Table 49 Raw'!AG100</f>
        <v>13.391953000000001</v>
      </c>
      <c r="AE112" s="18">
        <f>'AEO 2023 Table 49 Raw'!AH100</f>
        <v>13.441268000000001</v>
      </c>
      <c r="AF112" s="30">
        <f>'AEO 2023 Table 49 Raw'!AI100</f>
        <v>1.4E-2</v>
      </c>
    </row>
    <row r="113" spans="1:32" ht="12" customHeight="1">
      <c r="A113" s="7" t="s">
        <v>836</v>
      </c>
      <c r="B113" s="16" t="s">
        <v>738</v>
      </c>
      <c r="C113" s="18">
        <f>'AEO 2023 Table 49 Raw'!F101</f>
        <v>6.7468120000000003</v>
      </c>
      <c r="D113" s="18">
        <f>'AEO 2023 Table 49 Raw'!G101</f>
        <v>6.8059729999999998</v>
      </c>
      <c r="E113" s="18">
        <f>'AEO 2023 Table 49 Raw'!H101</f>
        <v>6.873291</v>
      </c>
      <c r="F113" s="18">
        <f>'AEO 2023 Table 49 Raw'!I101</f>
        <v>6.9574809999999996</v>
      </c>
      <c r="G113" s="18">
        <f>'AEO 2023 Table 49 Raw'!J101</f>
        <v>7.0568479999999996</v>
      </c>
      <c r="H113" s="18">
        <f>'AEO 2023 Table 49 Raw'!K101</f>
        <v>7.1691409999999998</v>
      </c>
      <c r="I113" s="18">
        <f>'AEO 2023 Table 49 Raw'!L101</f>
        <v>7.2814930000000002</v>
      </c>
      <c r="J113" s="18">
        <f>'AEO 2023 Table 49 Raw'!M101</f>
        <v>7.3995740000000003</v>
      </c>
      <c r="K113" s="18">
        <f>'AEO 2023 Table 49 Raw'!N101</f>
        <v>7.5210590000000002</v>
      </c>
      <c r="L113" s="18">
        <f>'AEO 2023 Table 49 Raw'!O101</f>
        <v>7.6459349999999997</v>
      </c>
      <c r="M113" s="18">
        <f>'AEO 2023 Table 49 Raw'!P101</f>
        <v>7.7708170000000001</v>
      </c>
      <c r="N113" s="18">
        <f>'AEO 2023 Table 49 Raw'!Q101</f>
        <v>7.8944700000000001</v>
      </c>
      <c r="O113" s="18">
        <f>'AEO 2023 Table 49 Raw'!R101</f>
        <v>8.0109539999999999</v>
      </c>
      <c r="P113" s="18">
        <f>'AEO 2023 Table 49 Raw'!S101</f>
        <v>8.1219750000000008</v>
      </c>
      <c r="Q113" s="18">
        <f>'AEO 2023 Table 49 Raw'!T101</f>
        <v>8.2289169999999991</v>
      </c>
      <c r="R113" s="18">
        <f>'AEO 2023 Table 49 Raw'!U101</f>
        <v>8.3291719999999998</v>
      </c>
      <c r="S113" s="18">
        <f>'AEO 2023 Table 49 Raw'!V101</f>
        <v>8.4281629999999996</v>
      </c>
      <c r="T113" s="18">
        <f>'AEO 2023 Table 49 Raw'!W101</f>
        <v>8.5185870000000001</v>
      </c>
      <c r="U113" s="18">
        <f>'AEO 2023 Table 49 Raw'!X101</f>
        <v>8.6068610000000003</v>
      </c>
      <c r="V113" s="18">
        <f>'AEO 2023 Table 49 Raw'!Y101</f>
        <v>8.6880790000000001</v>
      </c>
      <c r="W113" s="18">
        <f>'AEO 2023 Table 49 Raw'!Z101</f>
        <v>8.7629099999999998</v>
      </c>
      <c r="X113" s="18">
        <f>'AEO 2023 Table 49 Raw'!AA101</f>
        <v>8.8294060000000005</v>
      </c>
      <c r="Y113" s="18">
        <f>'AEO 2023 Table 49 Raw'!AB101</f>
        <v>8.8887710000000002</v>
      </c>
      <c r="Z113" s="18">
        <f>'AEO 2023 Table 49 Raw'!AC101</f>
        <v>8.9441930000000003</v>
      </c>
      <c r="AA113" s="18">
        <f>'AEO 2023 Table 49 Raw'!AD101</f>
        <v>8.9965679999999999</v>
      </c>
      <c r="AB113" s="18">
        <f>'AEO 2023 Table 49 Raw'!AE101</f>
        <v>9.0463989999999992</v>
      </c>
      <c r="AC113" s="18">
        <f>'AEO 2023 Table 49 Raw'!AF101</f>
        <v>9.0921070000000004</v>
      </c>
      <c r="AD113" s="18">
        <f>'AEO 2023 Table 49 Raw'!AG101</f>
        <v>9.1344960000000004</v>
      </c>
      <c r="AE113" s="18">
        <f>'AEO 2023 Table 49 Raw'!AH101</f>
        <v>9.1756949999999993</v>
      </c>
      <c r="AF113" s="30">
        <f>'AEO 2023 Table 49 Raw'!AI101</f>
        <v>1.0999999999999999E-2</v>
      </c>
    </row>
    <row r="114" spans="1:32" ht="15" customHeight="1">
      <c r="A114" s="7" t="s">
        <v>837</v>
      </c>
      <c r="B114" s="16" t="s">
        <v>382</v>
      </c>
      <c r="C114" s="18">
        <f>'AEO 2023 Table 49 Raw'!F102</f>
        <v>6.6715020000000003</v>
      </c>
      <c r="D114" s="18">
        <f>'AEO 2023 Table 49 Raw'!G102</f>
        <v>6.7379670000000003</v>
      </c>
      <c r="E114" s="18">
        <f>'AEO 2023 Table 49 Raw'!H102</f>
        <v>6.8133189999999999</v>
      </c>
      <c r="F114" s="18">
        <f>'AEO 2023 Table 49 Raw'!I102</f>
        <v>6.9043219999999996</v>
      </c>
      <c r="G114" s="18">
        <f>'AEO 2023 Table 49 Raw'!J102</f>
        <v>7.014678</v>
      </c>
      <c r="H114" s="18">
        <f>'AEO 2023 Table 49 Raw'!K102</f>
        <v>7.1440590000000004</v>
      </c>
      <c r="I114" s="18">
        <f>'AEO 2023 Table 49 Raw'!L102</f>
        <v>7.2798879999999997</v>
      </c>
      <c r="J114" s="18">
        <f>'AEO 2023 Table 49 Raw'!M102</f>
        <v>7.4298159999999998</v>
      </c>
      <c r="K114" s="18">
        <f>'AEO 2023 Table 49 Raw'!N102</f>
        <v>7.5880369999999999</v>
      </c>
      <c r="L114" s="18">
        <f>'AEO 2023 Table 49 Raw'!O102</f>
        <v>7.754562</v>
      </c>
      <c r="M114" s="18">
        <f>'AEO 2023 Table 49 Raw'!P102</f>
        <v>7.9247709999999998</v>
      </c>
      <c r="N114" s="18">
        <f>'AEO 2023 Table 49 Raw'!Q102</f>
        <v>8.0899739999999998</v>
      </c>
      <c r="O114" s="18">
        <f>'AEO 2023 Table 49 Raw'!R102</f>
        <v>8.243411</v>
      </c>
      <c r="P114" s="18">
        <f>'AEO 2023 Table 49 Raw'!S102</f>
        <v>8.3951379999999993</v>
      </c>
      <c r="Q114" s="18">
        <f>'AEO 2023 Table 49 Raw'!T102</f>
        <v>8.5370089999999994</v>
      </c>
      <c r="R114" s="18">
        <f>'AEO 2023 Table 49 Raw'!U102</f>
        <v>8.6666539999999994</v>
      </c>
      <c r="S114" s="18">
        <f>'AEO 2023 Table 49 Raw'!V102</f>
        <v>8.7836040000000004</v>
      </c>
      <c r="T114" s="18">
        <f>'AEO 2023 Table 49 Raw'!W102</f>
        <v>8.8865029999999994</v>
      </c>
      <c r="U114" s="18">
        <f>'AEO 2023 Table 49 Raw'!X102</f>
        <v>8.9737419999999997</v>
      </c>
      <c r="V114" s="18">
        <f>'AEO 2023 Table 49 Raw'!Y102</f>
        <v>9.0449629999999992</v>
      </c>
      <c r="W114" s="18">
        <f>'AEO 2023 Table 49 Raw'!Z102</f>
        <v>9.1032170000000008</v>
      </c>
      <c r="X114" s="18">
        <f>'AEO 2023 Table 49 Raw'!AA102</f>
        <v>9.1507470000000009</v>
      </c>
      <c r="Y114" s="18">
        <f>'AEO 2023 Table 49 Raw'!AB102</f>
        <v>9.1891639999999999</v>
      </c>
      <c r="Z114" s="18">
        <f>'AEO 2023 Table 49 Raw'!AC102</f>
        <v>9.2199039999999997</v>
      </c>
      <c r="AA114" s="18">
        <f>'AEO 2023 Table 49 Raw'!AD102</f>
        <v>9.2445839999999997</v>
      </c>
      <c r="AB114" s="18">
        <f>'AEO 2023 Table 49 Raw'!AE102</f>
        <v>9.2646040000000003</v>
      </c>
      <c r="AC114" s="18">
        <f>'AEO 2023 Table 49 Raw'!AF102</f>
        <v>9.2811260000000004</v>
      </c>
      <c r="AD114" s="18">
        <f>'AEO 2023 Table 49 Raw'!AG102</f>
        <v>9.3066549999999992</v>
      </c>
      <c r="AE114" s="18">
        <f>'AEO 2023 Table 49 Raw'!AH102</f>
        <v>9.3273050000000008</v>
      </c>
      <c r="AF114" s="30">
        <f>'AEO 2023 Table 49 Raw'!AI102</f>
        <v>1.2E-2</v>
      </c>
    </row>
    <row r="115" spans="1:32" ht="15" customHeight="1">
      <c r="A115" s="7" t="s">
        <v>838</v>
      </c>
      <c r="B115" s="16" t="s">
        <v>741</v>
      </c>
      <c r="C115" s="18">
        <f>'AEO 2023 Table 49 Raw'!F103</f>
        <v>6.6810460000000003</v>
      </c>
      <c r="D115" s="18">
        <f>'AEO 2023 Table 49 Raw'!G103</f>
        <v>6.7347700000000001</v>
      </c>
      <c r="E115" s="18">
        <f>'AEO 2023 Table 49 Raw'!H103</f>
        <v>6.7912619999999997</v>
      </c>
      <c r="F115" s="18">
        <f>'AEO 2023 Table 49 Raw'!I103</f>
        <v>6.8525619999999998</v>
      </c>
      <c r="G115" s="18">
        <f>'AEO 2023 Table 49 Raw'!J103</f>
        <v>6.9165469999999996</v>
      </c>
      <c r="H115" s="18">
        <f>'AEO 2023 Table 49 Raw'!K103</f>
        <v>6.9814170000000004</v>
      </c>
      <c r="I115" s="18">
        <f>'AEO 2023 Table 49 Raw'!L103</f>
        <v>7.0393889999999999</v>
      </c>
      <c r="J115" s="18">
        <f>'AEO 2023 Table 49 Raw'!M103</f>
        <v>7.0962230000000002</v>
      </c>
      <c r="K115" s="18">
        <f>'AEO 2023 Table 49 Raw'!N103</f>
        <v>7.1518350000000002</v>
      </c>
      <c r="L115" s="18">
        <f>'AEO 2023 Table 49 Raw'!O103</f>
        <v>7.2026159999999999</v>
      </c>
      <c r="M115" s="18">
        <f>'AEO 2023 Table 49 Raw'!P103</f>
        <v>7.2466290000000004</v>
      </c>
      <c r="N115" s="18">
        <f>'AEO 2023 Table 49 Raw'!Q103</f>
        <v>7.2856579999999997</v>
      </c>
      <c r="O115" s="18">
        <f>'AEO 2023 Table 49 Raw'!R103</f>
        <v>7.3224910000000003</v>
      </c>
      <c r="P115" s="18">
        <f>'AEO 2023 Table 49 Raw'!S103</f>
        <v>7.3556160000000004</v>
      </c>
      <c r="Q115" s="18">
        <f>'AEO 2023 Table 49 Raw'!T103</f>
        <v>7.3862129999999997</v>
      </c>
      <c r="R115" s="18">
        <f>'AEO 2023 Table 49 Raw'!U103</f>
        <v>7.4103599999999998</v>
      </c>
      <c r="S115" s="18">
        <f>'AEO 2023 Table 49 Raw'!V103</f>
        <v>7.4297750000000002</v>
      </c>
      <c r="T115" s="18">
        <f>'AEO 2023 Table 49 Raw'!W103</f>
        <v>7.4391299999999996</v>
      </c>
      <c r="U115" s="18">
        <f>'AEO 2023 Table 49 Raw'!X103</f>
        <v>7.442882</v>
      </c>
      <c r="V115" s="18">
        <f>'AEO 2023 Table 49 Raw'!Y103</f>
        <v>7.4515510000000003</v>
      </c>
      <c r="W115" s="18">
        <f>'AEO 2023 Table 49 Raw'!Z103</f>
        <v>7.4542679999999999</v>
      </c>
      <c r="X115" s="18">
        <f>'AEO 2023 Table 49 Raw'!AA103</f>
        <v>7.4803759999999997</v>
      </c>
      <c r="Y115" s="18">
        <f>'AEO 2023 Table 49 Raw'!AB103</f>
        <v>7.5229039999999996</v>
      </c>
      <c r="Z115" s="18">
        <f>'AEO 2023 Table 49 Raw'!AC103</f>
        <v>7.5534239999999997</v>
      </c>
      <c r="AA115" s="18">
        <f>'AEO 2023 Table 49 Raw'!AD103</f>
        <v>7.5750149999999996</v>
      </c>
      <c r="AB115" s="18">
        <f>'AEO 2023 Table 49 Raw'!AE103</f>
        <v>7.614058</v>
      </c>
      <c r="AC115" s="18">
        <f>'AEO 2023 Table 49 Raw'!AF103</f>
        <v>7.6656029999999999</v>
      </c>
      <c r="AD115" s="18">
        <f>'AEO 2023 Table 49 Raw'!AG103</f>
        <v>7.7196670000000003</v>
      </c>
      <c r="AE115" s="18">
        <f>'AEO 2023 Table 49 Raw'!AH103</f>
        <v>7.767271</v>
      </c>
      <c r="AF115" s="30">
        <f>'AEO 2023 Table 49 Raw'!AI103</f>
        <v>5.0000000000000001E-3</v>
      </c>
    </row>
    <row r="116" spans="1:32" ht="15" customHeight="1">
      <c r="A116" s="7" t="s">
        <v>839</v>
      </c>
      <c r="B116" s="16" t="s">
        <v>743</v>
      </c>
      <c r="C116" s="18">
        <f>'AEO 2023 Table 49 Raw'!F104</f>
        <v>6.8776599999999997</v>
      </c>
      <c r="D116" s="18">
        <f>'AEO 2023 Table 49 Raw'!G104</f>
        <v>6.9464769999999998</v>
      </c>
      <c r="E116" s="18">
        <f>'AEO 2023 Table 49 Raw'!H104</f>
        <v>7.0316939999999999</v>
      </c>
      <c r="F116" s="18">
        <f>'AEO 2023 Table 49 Raw'!I104</f>
        <v>7.1393779999999998</v>
      </c>
      <c r="G116" s="18">
        <f>'AEO 2023 Table 49 Raw'!J104</f>
        <v>7.2710100000000004</v>
      </c>
      <c r="H116" s="18">
        <f>'AEO 2023 Table 49 Raw'!K104</f>
        <v>7.4228050000000003</v>
      </c>
      <c r="I116" s="18">
        <f>'AEO 2023 Table 49 Raw'!L104</f>
        <v>7.5675879999999998</v>
      </c>
      <c r="J116" s="18">
        <f>'AEO 2023 Table 49 Raw'!M104</f>
        <v>7.7185959999999998</v>
      </c>
      <c r="K116" s="18">
        <f>'AEO 2023 Table 49 Raw'!N104</f>
        <v>7.868862</v>
      </c>
      <c r="L116" s="18">
        <f>'AEO 2023 Table 49 Raw'!O104</f>
        <v>8.0213760000000001</v>
      </c>
      <c r="M116" s="18">
        <f>'AEO 2023 Table 49 Raw'!P104</f>
        <v>8.1704209999999993</v>
      </c>
      <c r="N116" s="18">
        <f>'AEO 2023 Table 49 Raw'!Q104</f>
        <v>8.3122059999999998</v>
      </c>
      <c r="O116" s="18">
        <f>'AEO 2023 Table 49 Raw'!R104</f>
        <v>8.4322219999999994</v>
      </c>
      <c r="P116" s="18">
        <f>'AEO 2023 Table 49 Raw'!S104</f>
        <v>8.5384259999999994</v>
      </c>
      <c r="Q116" s="18">
        <f>'AEO 2023 Table 49 Raw'!T104</f>
        <v>8.6339450000000006</v>
      </c>
      <c r="R116" s="18">
        <f>'AEO 2023 Table 49 Raw'!U104</f>
        <v>8.7155539999999991</v>
      </c>
      <c r="S116" s="18">
        <f>'AEO 2023 Table 49 Raw'!V104</f>
        <v>8.7864950000000004</v>
      </c>
      <c r="T116" s="18">
        <f>'AEO 2023 Table 49 Raw'!W104</f>
        <v>8.8488640000000007</v>
      </c>
      <c r="U116" s="18">
        <f>'AEO 2023 Table 49 Raw'!X104</f>
        <v>8.8984299999999994</v>
      </c>
      <c r="V116" s="18">
        <f>'AEO 2023 Table 49 Raw'!Y104</f>
        <v>8.9431840000000005</v>
      </c>
      <c r="W116" s="18">
        <f>'AEO 2023 Table 49 Raw'!Z104</f>
        <v>8.9809140000000003</v>
      </c>
      <c r="X116" s="18">
        <f>'AEO 2023 Table 49 Raw'!AA104</f>
        <v>9.0129999999999999</v>
      </c>
      <c r="Y116" s="18">
        <f>'AEO 2023 Table 49 Raw'!AB104</f>
        <v>9.0410540000000008</v>
      </c>
      <c r="Z116" s="18">
        <f>'AEO 2023 Table 49 Raw'!AC104</f>
        <v>9.0654760000000003</v>
      </c>
      <c r="AA116" s="18">
        <f>'AEO 2023 Table 49 Raw'!AD104</f>
        <v>9.0876669999999997</v>
      </c>
      <c r="AB116" s="18">
        <f>'AEO 2023 Table 49 Raw'!AE104</f>
        <v>9.1082640000000001</v>
      </c>
      <c r="AC116" s="18">
        <f>'AEO 2023 Table 49 Raw'!AF104</f>
        <v>9.1278100000000002</v>
      </c>
      <c r="AD116" s="18">
        <f>'AEO 2023 Table 49 Raw'!AG104</f>
        <v>9.1450809999999993</v>
      </c>
      <c r="AE116" s="18">
        <f>'AEO 2023 Table 49 Raw'!AH104</f>
        <v>9.1601099999999995</v>
      </c>
      <c r="AF116" s="30">
        <f>'AEO 2023 Table 49 Raw'!AI104</f>
        <v>0.01</v>
      </c>
    </row>
    <row r="117" spans="1:32" ht="15" customHeight="1">
      <c r="A117" s="7" t="s">
        <v>840</v>
      </c>
      <c r="B117" s="16" t="s">
        <v>745</v>
      </c>
      <c r="C117" s="18">
        <f>'AEO 2023 Table 49 Raw'!F105</f>
        <v>17.408874999999998</v>
      </c>
      <c r="D117" s="18">
        <f>'AEO 2023 Table 49 Raw'!G105</f>
        <v>17.423165999999998</v>
      </c>
      <c r="E117" s="18">
        <f>'AEO 2023 Table 49 Raw'!H105</f>
        <v>17.482942999999999</v>
      </c>
      <c r="F117" s="18">
        <f>'AEO 2023 Table 49 Raw'!I105</f>
        <v>17.581129000000001</v>
      </c>
      <c r="G117" s="18">
        <f>'AEO 2023 Table 49 Raw'!J105</f>
        <v>17.712309000000001</v>
      </c>
      <c r="H117" s="18">
        <f>'AEO 2023 Table 49 Raw'!K105</f>
        <v>17.8626</v>
      </c>
      <c r="I117" s="18">
        <f>'AEO 2023 Table 49 Raw'!L105</f>
        <v>18.002521999999999</v>
      </c>
      <c r="J117" s="18">
        <f>'AEO 2023 Table 49 Raw'!M105</f>
        <v>18.150670999999999</v>
      </c>
      <c r="K117" s="18">
        <f>'AEO 2023 Table 49 Raw'!N105</f>
        <v>18.300470000000001</v>
      </c>
      <c r="L117" s="18">
        <f>'AEO 2023 Table 49 Raw'!O105</f>
        <v>18.449529999999999</v>
      </c>
      <c r="M117" s="18">
        <f>'AEO 2023 Table 49 Raw'!P105</f>
        <v>18.594228999999999</v>
      </c>
      <c r="N117" s="18">
        <f>'AEO 2023 Table 49 Raw'!Q105</f>
        <v>18.726381</v>
      </c>
      <c r="O117" s="18">
        <f>'AEO 2023 Table 49 Raw'!R105</f>
        <v>18.804873000000001</v>
      </c>
      <c r="P117" s="18">
        <f>'AEO 2023 Table 49 Raw'!S105</f>
        <v>18.890383</v>
      </c>
      <c r="Q117" s="18">
        <f>'AEO 2023 Table 49 Raw'!T105</f>
        <v>18.995626000000001</v>
      </c>
      <c r="R117" s="18">
        <f>'AEO 2023 Table 49 Raw'!U105</f>
        <v>19.084696000000001</v>
      </c>
      <c r="S117" s="18">
        <f>'AEO 2023 Table 49 Raw'!V105</f>
        <v>19.140737999999999</v>
      </c>
      <c r="T117" s="18">
        <f>'AEO 2023 Table 49 Raw'!W105</f>
        <v>19.18825</v>
      </c>
      <c r="U117" s="18">
        <f>'AEO 2023 Table 49 Raw'!X105</f>
        <v>19.252804000000001</v>
      </c>
      <c r="V117" s="18">
        <f>'AEO 2023 Table 49 Raw'!Y105</f>
        <v>19.303322000000001</v>
      </c>
      <c r="W117" s="18">
        <f>'AEO 2023 Table 49 Raw'!Z105</f>
        <v>19.341737999999999</v>
      </c>
      <c r="X117" s="18">
        <f>'AEO 2023 Table 49 Raw'!AA105</f>
        <v>19.371510000000001</v>
      </c>
      <c r="Y117" s="18">
        <f>'AEO 2023 Table 49 Raw'!AB105</f>
        <v>19.394907</v>
      </c>
      <c r="Z117" s="18">
        <f>'AEO 2023 Table 49 Raw'!AC105</f>
        <v>19.411966</v>
      </c>
      <c r="AA117" s="18">
        <f>'AEO 2023 Table 49 Raw'!AD105</f>
        <v>19.423490999999999</v>
      </c>
      <c r="AB117" s="18">
        <f>'AEO 2023 Table 49 Raw'!AE105</f>
        <v>19.433184000000001</v>
      </c>
      <c r="AC117" s="18">
        <f>'AEO 2023 Table 49 Raw'!AF105</f>
        <v>19.439589000000002</v>
      </c>
      <c r="AD117" s="18">
        <f>'AEO 2023 Table 49 Raw'!AG105</f>
        <v>19.397735999999998</v>
      </c>
      <c r="AE117" s="18">
        <f>'AEO 2023 Table 49 Raw'!AH105</f>
        <v>19.397739000000001</v>
      </c>
      <c r="AF117" s="30">
        <f>'AEO 2023 Table 49 Raw'!AI105</f>
        <v>4.0000000000000001E-3</v>
      </c>
    </row>
    <row r="118" spans="1:32" ht="15" customHeight="1">
      <c r="A118" s="7" t="s">
        <v>841</v>
      </c>
      <c r="B118" s="16" t="s">
        <v>747</v>
      </c>
      <c r="C118" s="18">
        <f>'AEO 2023 Table 49 Raw'!F106</f>
        <v>0</v>
      </c>
      <c r="D118" s="18">
        <f>'AEO 2023 Table 49 Raw'!G106</f>
        <v>0</v>
      </c>
      <c r="E118" s="18">
        <f>'AEO 2023 Table 49 Raw'!H106</f>
        <v>14.554</v>
      </c>
      <c r="F118" s="18">
        <f>'AEO 2023 Table 49 Raw'!I106</f>
        <v>14.824313999999999</v>
      </c>
      <c r="G118" s="18">
        <f>'AEO 2023 Table 49 Raw'!J106</f>
        <v>15.014953999999999</v>
      </c>
      <c r="H118" s="18">
        <f>'AEO 2023 Table 49 Raw'!K106</f>
        <v>15.212344999999999</v>
      </c>
      <c r="I118" s="18">
        <f>'AEO 2023 Table 49 Raw'!L106</f>
        <v>15.390496000000001</v>
      </c>
      <c r="J118" s="18">
        <f>'AEO 2023 Table 49 Raw'!M106</f>
        <v>15.579511999999999</v>
      </c>
      <c r="K118" s="18">
        <f>'AEO 2023 Table 49 Raw'!N106</f>
        <v>15.770977999999999</v>
      </c>
      <c r="L118" s="18">
        <f>'AEO 2023 Table 49 Raw'!O106</f>
        <v>15.972148000000001</v>
      </c>
      <c r="M118" s="18">
        <f>'AEO 2023 Table 49 Raw'!P106</f>
        <v>16.189619</v>
      </c>
      <c r="N118" s="18">
        <f>'AEO 2023 Table 49 Raw'!Q106</f>
        <v>16.420777999999999</v>
      </c>
      <c r="O118" s="18">
        <f>'AEO 2023 Table 49 Raw'!R106</f>
        <v>16.650421000000001</v>
      </c>
      <c r="P118" s="18">
        <f>'AEO 2023 Table 49 Raw'!S106</f>
        <v>16.858395000000002</v>
      </c>
      <c r="Q118" s="18">
        <f>'AEO 2023 Table 49 Raw'!T106</f>
        <v>17.062218000000001</v>
      </c>
      <c r="R118" s="18">
        <f>'AEO 2023 Table 49 Raw'!U106</f>
        <v>17.254933999999999</v>
      </c>
      <c r="S118" s="18">
        <f>'AEO 2023 Table 49 Raw'!V106</f>
        <v>17.42662</v>
      </c>
      <c r="T118" s="18">
        <f>'AEO 2023 Table 49 Raw'!W106</f>
        <v>17.578842000000002</v>
      </c>
      <c r="U118" s="18">
        <f>'AEO 2023 Table 49 Raw'!X106</f>
        <v>17.711262000000001</v>
      </c>
      <c r="V118" s="18">
        <f>'AEO 2023 Table 49 Raw'!Y106</f>
        <v>17.824017000000001</v>
      </c>
      <c r="W118" s="18">
        <f>'AEO 2023 Table 49 Raw'!Z106</f>
        <v>17.918346</v>
      </c>
      <c r="X118" s="18">
        <f>'AEO 2023 Table 49 Raw'!AA106</f>
        <v>18.007669</v>
      </c>
      <c r="Y118" s="18">
        <f>'AEO 2023 Table 49 Raw'!AB106</f>
        <v>18.082498999999999</v>
      </c>
      <c r="Z118" s="18">
        <f>'AEO 2023 Table 49 Raw'!AC106</f>
        <v>18.145136000000001</v>
      </c>
      <c r="AA118" s="18">
        <f>'AEO 2023 Table 49 Raw'!AD106</f>
        <v>18.197275000000001</v>
      </c>
      <c r="AB118" s="18">
        <f>'AEO 2023 Table 49 Raw'!AE106</f>
        <v>18.241306000000002</v>
      </c>
      <c r="AC118" s="18">
        <f>'AEO 2023 Table 49 Raw'!AF106</f>
        <v>18.278448000000001</v>
      </c>
      <c r="AD118" s="18">
        <f>'AEO 2023 Table 49 Raw'!AG106</f>
        <v>18.293972</v>
      </c>
      <c r="AE118" s="18">
        <f>'AEO 2023 Table 49 Raw'!AH106</f>
        <v>18.307734</v>
      </c>
      <c r="AF118" s="30" t="str">
        <f>'AEO 2023 Table 49 Raw'!AI106</f>
        <v>- -</v>
      </c>
    </row>
    <row r="119" spans="1:32" ht="15" customHeight="1">
      <c r="A119" s="7" t="s">
        <v>842</v>
      </c>
      <c r="B119" s="16" t="s">
        <v>749</v>
      </c>
      <c r="C119" s="18">
        <f>'AEO 2023 Table 49 Raw'!F107</f>
        <v>0</v>
      </c>
      <c r="D119" s="18">
        <f>'AEO 2023 Table 49 Raw'!G107</f>
        <v>0</v>
      </c>
      <c r="E119" s="18">
        <f>'AEO 2023 Table 49 Raw'!H107</f>
        <v>10.500056000000001</v>
      </c>
      <c r="F119" s="18">
        <f>'AEO 2023 Table 49 Raw'!I107</f>
        <v>10.663458</v>
      </c>
      <c r="G119" s="18">
        <f>'AEO 2023 Table 49 Raw'!J107</f>
        <v>10.770956</v>
      </c>
      <c r="H119" s="18">
        <f>'AEO 2023 Table 49 Raw'!K107</f>
        <v>10.877931</v>
      </c>
      <c r="I119" s="18">
        <f>'AEO 2023 Table 49 Raw'!L107</f>
        <v>10.974544</v>
      </c>
      <c r="J119" s="18">
        <f>'AEO 2023 Table 49 Raw'!M107</f>
        <v>11.080019</v>
      </c>
      <c r="K119" s="18">
        <f>'AEO 2023 Table 49 Raw'!N107</f>
        <v>11.197202000000001</v>
      </c>
      <c r="L119" s="18">
        <f>'AEO 2023 Table 49 Raw'!O107</f>
        <v>11.329388</v>
      </c>
      <c r="M119" s="18">
        <f>'AEO 2023 Table 49 Raw'!P107</f>
        <v>11.479568</v>
      </c>
      <c r="N119" s="18">
        <f>'AEO 2023 Table 49 Raw'!Q107</f>
        <v>11.645052</v>
      </c>
      <c r="O119" s="18">
        <f>'AEO 2023 Table 49 Raw'!R107</f>
        <v>11.816371</v>
      </c>
      <c r="P119" s="18">
        <f>'AEO 2023 Table 49 Raw'!S107</f>
        <v>11.969814</v>
      </c>
      <c r="Q119" s="18">
        <f>'AEO 2023 Table 49 Raw'!T107</f>
        <v>12.12377</v>
      </c>
      <c r="R119" s="18">
        <f>'AEO 2023 Table 49 Raw'!U107</f>
        <v>12.271343999999999</v>
      </c>
      <c r="S119" s="18">
        <f>'AEO 2023 Table 49 Raw'!V107</f>
        <v>12.403601</v>
      </c>
      <c r="T119" s="18">
        <f>'AEO 2023 Table 49 Raw'!W107</f>
        <v>12.520307000000001</v>
      </c>
      <c r="U119" s="18">
        <f>'AEO 2023 Table 49 Raw'!X107</f>
        <v>12.620941</v>
      </c>
      <c r="V119" s="18">
        <f>'AEO 2023 Table 49 Raw'!Y107</f>
        <v>12.705432</v>
      </c>
      <c r="W119" s="18">
        <f>'AEO 2023 Table 49 Raw'!Z107</f>
        <v>12.774882</v>
      </c>
      <c r="X119" s="18">
        <f>'AEO 2023 Table 49 Raw'!AA107</f>
        <v>12.837982</v>
      </c>
      <c r="Y119" s="18">
        <f>'AEO 2023 Table 49 Raw'!AB107</f>
        <v>12.889324999999999</v>
      </c>
      <c r="Z119" s="18">
        <f>'AEO 2023 Table 49 Raw'!AC107</f>
        <v>12.930984</v>
      </c>
      <c r="AA119" s="18">
        <f>'AEO 2023 Table 49 Raw'!AD107</f>
        <v>12.964622</v>
      </c>
      <c r="AB119" s="18">
        <f>'AEO 2023 Table 49 Raw'!AE107</f>
        <v>12.991986000000001</v>
      </c>
      <c r="AC119" s="18">
        <f>'AEO 2023 Table 49 Raw'!AF107</f>
        <v>13.014219000000001</v>
      </c>
      <c r="AD119" s="18">
        <f>'AEO 2023 Table 49 Raw'!AG107</f>
        <v>13.032406</v>
      </c>
      <c r="AE119" s="18">
        <f>'AEO 2023 Table 49 Raw'!AH107</f>
        <v>13.047252</v>
      </c>
      <c r="AF119" s="30" t="str">
        <f>'AEO 2023 Table 49 Raw'!AI107</f>
        <v>- -</v>
      </c>
    </row>
    <row r="120" spans="1:32" ht="15" customHeight="1">
      <c r="A120" s="7" t="s">
        <v>843</v>
      </c>
      <c r="B120" s="16" t="s">
        <v>751</v>
      </c>
      <c r="C120" s="18">
        <f>'AEO 2023 Table 49 Raw'!F108</f>
        <v>0</v>
      </c>
      <c r="D120" s="18">
        <f>'AEO 2023 Table 49 Raw'!G108</f>
        <v>0</v>
      </c>
      <c r="E120" s="18">
        <f>'AEO 2023 Table 49 Raw'!H108</f>
        <v>11.516575</v>
      </c>
      <c r="F120" s="18">
        <f>'AEO 2023 Table 49 Raw'!I108</f>
        <v>11.516747000000001</v>
      </c>
      <c r="G120" s="18">
        <f>'AEO 2023 Table 49 Raw'!J108</f>
        <v>11.516781</v>
      </c>
      <c r="H120" s="18">
        <f>'AEO 2023 Table 49 Raw'!K108</f>
        <v>11.5168</v>
      </c>
      <c r="I120" s="18">
        <f>'AEO 2023 Table 49 Raw'!L108</f>
        <v>11.516813000000001</v>
      </c>
      <c r="J120" s="18">
        <f>'AEO 2023 Table 49 Raw'!M108</f>
        <v>11.516828</v>
      </c>
      <c r="K120" s="18">
        <f>'AEO 2023 Table 49 Raw'!N108</f>
        <v>11.516838999999999</v>
      </c>
      <c r="L120" s="18">
        <f>'AEO 2023 Table 49 Raw'!O108</f>
        <v>11.516855</v>
      </c>
      <c r="M120" s="18">
        <f>'AEO 2023 Table 49 Raw'!P108</f>
        <v>11.516870000000001</v>
      </c>
      <c r="N120" s="18">
        <f>'AEO 2023 Table 49 Raw'!Q108</f>
        <v>11.516885</v>
      </c>
      <c r="O120" s="18">
        <f>'AEO 2023 Table 49 Raw'!R108</f>
        <v>11.516895</v>
      </c>
      <c r="P120" s="18">
        <f>'AEO 2023 Table 49 Raw'!S108</f>
        <v>11.516905</v>
      </c>
      <c r="Q120" s="18">
        <f>'AEO 2023 Table 49 Raw'!T108</f>
        <v>11.516907</v>
      </c>
      <c r="R120" s="18">
        <f>'AEO 2023 Table 49 Raw'!U108</f>
        <v>11.516908000000001</v>
      </c>
      <c r="S120" s="18">
        <f>'AEO 2023 Table 49 Raw'!V108</f>
        <v>11.516905</v>
      </c>
      <c r="T120" s="18">
        <f>'AEO 2023 Table 49 Raw'!W108</f>
        <v>11.516905</v>
      </c>
      <c r="U120" s="18">
        <f>'AEO 2023 Table 49 Raw'!X108</f>
        <v>11.516899</v>
      </c>
      <c r="V120" s="18">
        <f>'AEO 2023 Table 49 Raw'!Y108</f>
        <v>11.516897999999999</v>
      </c>
      <c r="W120" s="18">
        <f>'AEO 2023 Table 49 Raw'!Z108</f>
        <v>11.516895999999999</v>
      </c>
      <c r="X120" s="18">
        <f>'AEO 2023 Table 49 Raw'!AA108</f>
        <v>11.516893</v>
      </c>
      <c r="Y120" s="18">
        <f>'AEO 2023 Table 49 Raw'!AB108</f>
        <v>11.516890999999999</v>
      </c>
      <c r="Z120" s="18">
        <f>'AEO 2023 Table 49 Raw'!AC108</f>
        <v>11.516890999999999</v>
      </c>
      <c r="AA120" s="18">
        <f>'AEO 2023 Table 49 Raw'!AD108</f>
        <v>11.51689</v>
      </c>
      <c r="AB120" s="18">
        <f>'AEO 2023 Table 49 Raw'!AE108</f>
        <v>11.516890999999999</v>
      </c>
      <c r="AC120" s="18">
        <f>'AEO 2023 Table 49 Raw'!AF108</f>
        <v>11.516887000000001</v>
      </c>
      <c r="AD120" s="18">
        <f>'AEO 2023 Table 49 Raw'!AG108</f>
        <v>11.516889000000001</v>
      </c>
      <c r="AE120" s="18">
        <f>'AEO 2023 Table 49 Raw'!AH108</f>
        <v>11.516883</v>
      </c>
      <c r="AF120" s="30" t="str">
        <f>'AEO 2023 Table 49 Raw'!AI108</f>
        <v>- -</v>
      </c>
    </row>
    <row r="121" spans="1:32" ht="15" customHeight="1">
      <c r="A121" s="7" t="s">
        <v>844</v>
      </c>
      <c r="B121" s="16" t="s">
        <v>845</v>
      </c>
      <c r="C121" s="18">
        <f>'AEO 2023 Table 49 Raw'!F109</f>
        <v>8.204955</v>
      </c>
      <c r="D121" s="18">
        <f>'AEO 2023 Table 49 Raw'!G109</f>
        <v>8.3157870000000003</v>
      </c>
      <c r="E121" s="18">
        <f>'AEO 2023 Table 49 Raw'!H109</f>
        <v>8.4378159999999998</v>
      </c>
      <c r="F121" s="18">
        <f>'AEO 2023 Table 49 Raw'!I109</f>
        <v>8.5862459999999992</v>
      </c>
      <c r="G121" s="18">
        <f>'AEO 2023 Table 49 Raw'!J109</f>
        <v>8.7571700000000003</v>
      </c>
      <c r="H121" s="18">
        <f>'AEO 2023 Table 49 Raw'!K109</f>
        <v>8.9445899999999998</v>
      </c>
      <c r="I121" s="18">
        <f>'AEO 2023 Table 49 Raw'!L109</f>
        <v>9.1308469999999993</v>
      </c>
      <c r="J121" s="18">
        <f>'AEO 2023 Table 49 Raw'!M109</f>
        <v>9.3225560000000005</v>
      </c>
      <c r="K121" s="18">
        <f>'AEO 2023 Table 49 Raw'!N109</f>
        <v>9.515466</v>
      </c>
      <c r="L121" s="18">
        <f>'AEO 2023 Table 49 Raw'!O109</f>
        <v>9.709721</v>
      </c>
      <c r="M121" s="18">
        <f>'AEO 2023 Table 49 Raw'!P109</f>
        <v>9.8998550000000005</v>
      </c>
      <c r="N121" s="18">
        <f>'AEO 2023 Table 49 Raw'!Q109</f>
        <v>10.082129999999999</v>
      </c>
      <c r="O121" s="18">
        <f>'AEO 2023 Table 49 Raw'!R109</f>
        <v>10.250633000000001</v>
      </c>
      <c r="P121" s="18">
        <f>'AEO 2023 Table 49 Raw'!S109</f>
        <v>10.406843</v>
      </c>
      <c r="Q121" s="18">
        <f>'AEO 2023 Table 49 Raw'!T109</f>
        <v>10.553023</v>
      </c>
      <c r="R121" s="18">
        <f>'AEO 2023 Table 49 Raw'!U109</f>
        <v>10.687296</v>
      </c>
      <c r="S121" s="18">
        <f>'AEO 2023 Table 49 Raw'!V109</f>
        <v>10.81714</v>
      </c>
      <c r="T121" s="18">
        <f>'AEO 2023 Table 49 Raw'!W109</f>
        <v>10.934727000000001</v>
      </c>
      <c r="U121" s="18">
        <f>'AEO 2023 Table 49 Raw'!X109</f>
        <v>11.047109000000001</v>
      </c>
      <c r="V121" s="18">
        <f>'AEO 2023 Table 49 Raw'!Y109</f>
        <v>11.14997</v>
      </c>
      <c r="W121" s="18">
        <f>'AEO 2023 Table 49 Raw'!Z109</f>
        <v>11.243423</v>
      </c>
      <c r="X121" s="18">
        <f>'AEO 2023 Table 49 Raw'!AA109</f>
        <v>11.324615</v>
      </c>
      <c r="Y121" s="18">
        <f>'AEO 2023 Table 49 Raw'!AB109</f>
        <v>11.395239</v>
      </c>
      <c r="Z121" s="18">
        <f>'AEO 2023 Table 49 Raw'!AC109</f>
        <v>11.459415999999999</v>
      </c>
      <c r="AA121" s="18">
        <f>'AEO 2023 Table 49 Raw'!AD109</f>
        <v>11.519515999999999</v>
      </c>
      <c r="AB121" s="18">
        <f>'AEO 2023 Table 49 Raw'!AE109</f>
        <v>11.575438999999999</v>
      </c>
      <c r="AC121" s="18">
        <f>'AEO 2023 Table 49 Raw'!AF109</f>
        <v>11.626836000000001</v>
      </c>
      <c r="AD121" s="18">
        <f>'AEO 2023 Table 49 Raw'!AG109</f>
        <v>11.675577000000001</v>
      </c>
      <c r="AE121" s="18">
        <f>'AEO 2023 Table 49 Raw'!AH109</f>
        <v>11.723552</v>
      </c>
      <c r="AF121" s="30">
        <f>'AEO 2023 Table 49 Raw'!AI109</f>
        <v>1.2999999999999999E-2</v>
      </c>
    </row>
    <row r="122" spans="1:32" ht="15" customHeight="1">
      <c r="B122" s="15" t="s">
        <v>766</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30"/>
    </row>
    <row r="123" spans="1:32" ht="15" customHeight="1">
      <c r="A123" s="7" t="s">
        <v>846</v>
      </c>
      <c r="B123" s="16" t="s">
        <v>736</v>
      </c>
      <c r="C123" s="18">
        <f>'AEO 2023 Table 49 Raw'!F111</f>
        <v>6.1723790000000003</v>
      </c>
      <c r="D123" s="18">
        <f>'AEO 2023 Table 49 Raw'!G111</f>
        <v>6.2501629999999997</v>
      </c>
      <c r="E123" s="18">
        <f>'AEO 2023 Table 49 Raw'!H111</f>
        <v>6.3399929999999998</v>
      </c>
      <c r="F123" s="18">
        <f>'AEO 2023 Table 49 Raw'!I111</f>
        <v>6.4461300000000001</v>
      </c>
      <c r="G123" s="18">
        <f>'AEO 2023 Table 49 Raw'!J111</f>
        <v>6.5662589999999996</v>
      </c>
      <c r="H123" s="18">
        <f>'AEO 2023 Table 49 Raw'!K111</f>
        <v>6.6943140000000003</v>
      </c>
      <c r="I123" s="18">
        <f>'AEO 2023 Table 49 Raw'!L111</f>
        <v>6.819439</v>
      </c>
      <c r="J123" s="18">
        <f>'AEO 2023 Table 49 Raw'!M111</f>
        <v>6.9420869999999999</v>
      </c>
      <c r="K123" s="18">
        <f>'AEO 2023 Table 49 Raw'!N111</f>
        <v>7.0601950000000002</v>
      </c>
      <c r="L123" s="18">
        <f>'AEO 2023 Table 49 Raw'!O111</f>
        <v>7.17354</v>
      </c>
      <c r="M123" s="18">
        <f>'AEO 2023 Table 49 Raw'!P111</f>
        <v>7.2810879999999996</v>
      </c>
      <c r="N123" s="18">
        <f>'AEO 2023 Table 49 Raw'!Q111</f>
        <v>7.3780000000000001</v>
      </c>
      <c r="O123" s="18">
        <f>'AEO 2023 Table 49 Raw'!R111</f>
        <v>7.4628839999999999</v>
      </c>
      <c r="P123" s="18">
        <f>'AEO 2023 Table 49 Raw'!S111</f>
        <v>7.5364060000000004</v>
      </c>
      <c r="Q123" s="18">
        <f>'AEO 2023 Table 49 Raw'!T111</f>
        <v>7.6005079999999996</v>
      </c>
      <c r="R123" s="18">
        <f>'AEO 2023 Table 49 Raw'!U111</f>
        <v>7.6560259999999998</v>
      </c>
      <c r="S123" s="18">
        <f>'AEO 2023 Table 49 Raw'!V111</f>
        <v>7.7032790000000002</v>
      </c>
      <c r="T123" s="18">
        <f>'AEO 2023 Table 49 Raw'!W111</f>
        <v>7.7446919999999997</v>
      </c>
      <c r="U123" s="18">
        <f>'AEO 2023 Table 49 Raw'!X111</f>
        <v>7.7809039999999996</v>
      </c>
      <c r="V123" s="18">
        <f>'AEO 2023 Table 49 Raw'!Y111</f>
        <v>7.8134550000000003</v>
      </c>
      <c r="W123" s="18">
        <f>'AEO 2023 Table 49 Raw'!Z111</f>
        <v>7.840757</v>
      </c>
      <c r="X123" s="18">
        <f>'AEO 2023 Table 49 Raw'!AA111</f>
        <v>7.8643190000000001</v>
      </c>
      <c r="Y123" s="18">
        <f>'AEO 2023 Table 49 Raw'!AB111</f>
        <v>7.8844390000000004</v>
      </c>
      <c r="Z123" s="18">
        <f>'AEO 2023 Table 49 Raw'!AC111</f>
        <v>7.9019810000000001</v>
      </c>
      <c r="AA123" s="18">
        <f>'AEO 2023 Table 49 Raw'!AD111</f>
        <v>7.9185400000000001</v>
      </c>
      <c r="AB123" s="18">
        <f>'AEO 2023 Table 49 Raw'!AE111</f>
        <v>7.9343510000000004</v>
      </c>
      <c r="AC123" s="18">
        <f>'AEO 2023 Table 49 Raw'!AF111</f>
        <v>7.9497150000000003</v>
      </c>
      <c r="AD123" s="18">
        <f>'AEO 2023 Table 49 Raw'!AG111</f>
        <v>7.9657349999999996</v>
      </c>
      <c r="AE123" s="18">
        <f>'AEO 2023 Table 49 Raw'!AH111</f>
        <v>7.9823529999999998</v>
      </c>
      <c r="AF123" s="30">
        <f>'AEO 2023 Table 49 Raw'!AI111</f>
        <v>8.9999999999999993E-3</v>
      </c>
    </row>
    <row r="124" spans="1:32" ht="15" customHeight="1">
      <c r="A124" s="7" t="s">
        <v>847</v>
      </c>
      <c r="B124" s="16" t="s">
        <v>738</v>
      </c>
      <c r="C124" s="18">
        <f>'AEO 2023 Table 49 Raw'!F112</f>
        <v>5.5984280000000002</v>
      </c>
      <c r="D124" s="18">
        <f>'AEO 2023 Table 49 Raw'!G112</f>
        <v>5.6726150000000004</v>
      </c>
      <c r="E124" s="18">
        <f>'AEO 2023 Table 49 Raw'!H112</f>
        <v>5.7459030000000002</v>
      </c>
      <c r="F124" s="18">
        <f>'AEO 2023 Table 49 Raw'!I112</f>
        <v>5.8214740000000003</v>
      </c>
      <c r="G124" s="18">
        <f>'AEO 2023 Table 49 Raw'!J112</f>
        <v>5.8918400000000002</v>
      </c>
      <c r="H124" s="18">
        <f>'AEO 2023 Table 49 Raw'!K112</f>
        <v>5.9561289999999998</v>
      </c>
      <c r="I124" s="18">
        <f>'AEO 2023 Table 49 Raw'!L112</f>
        <v>6.0136279999999998</v>
      </c>
      <c r="J124" s="18">
        <f>'AEO 2023 Table 49 Raw'!M112</f>
        <v>6.0690499999999998</v>
      </c>
      <c r="K124" s="18">
        <f>'AEO 2023 Table 49 Raw'!N112</f>
        <v>6.118017</v>
      </c>
      <c r="L124" s="18">
        <f>'AEO 2023 Table 49 Raw'!O112</f>
        <v>6.1657859999999998</v>
      </c>
      <c r="M124" s="18">
        <f>'AEO 2023 Table 49 Raw'!P112</f>
        <v>6.2134349999999996</v>
      </c>
      <c r="N124" s="18">
        <f>'AEO 2023 Table 49 Raw'!Q112</f>
        <v>6.2599320000000001</v>
      </c>
      <c r="O124" s="18">
        <f>'AEO 2023 Table 49 Raw'!R112</f>
        <v>6.303585</v>
      </c>
      <c r="P124" s="18">
        <f>'AEO 2023 Table 49 Raw'!S112</f>
        <v>6.344659</v>
      </c>
      <c r="Q124" s="18">
        <f>'AEO 2023 Table 49 Raw'!T112</f>
        <v>6.3852739999999999</v>
      </c>
      <c r="R124" s="18">
        <f>'AEO 2023 Table 49 Raw'!U112</f>
        <v>6.4225329999999996</v>
      </c>
      <c r="S124" s="18">
        <f>'AEO 2023 Table 49 Raw'!V112</f>
        <v>6.4575469999999999</v>
      </c>
      <c r="T124" s="18">
        <f>'AEO 2023 Table 49 Raw'!W112</f>
        <v>6.4912130000000001</v>
      </c>
      <c r="U124" s="18">
        <f>'AEO 2023 Table 49 Raw'!X112</f>
        <v>6.5247510000000002</v>
      </c>
      <c r="V124" s="18">
        <f>'AEO 2023 Table 49 Raw'!Y112</f>
        <v>6.5534470000000002</v>
      </c>
      <c r="W124" s="18">
        <f>'AEO 2023 Table 49 Raw'!Z112</f>
        <v>6.581798</v>
      </c>
      <c r="X124" s="18">
        <f>'AEO 2023 Table 49 Raw'!AA112</f>
        <v>6.6093820000000001</v>
      </c>
      <c r="Y124" s="18">
        <f>'AEO 2023 Table 49 Raw'!AB112</f>
        <v>6.6344289999999999</v>
      </c>
      <c r="Z124" s="18">
        <f>'AEO 2023 Table 49 Raw'!AC112</f>
        <v>6.6536429999999998</v>
      </c>
      <c r="AA124" s="18">
        <f>'AEO 2023 Table 49 Raw'!AD112</f>
        <v>6.6694820000000004</v>
      </c>
      <c r="AB124" s="18">
        <f>'AEO 2023 Table 49 Raw'!AE112</f>
        <v>6.6825279999999996</v>
      </c>
      <c r="AC124" s="18">
        <f>'AEO 2023 Table 49 Raw'!AF112</f>
        <v>6.6931120000000002</v>
      </c>
      <c r="AD124" s="18">
        <f>'AEO 2023 Table 49 Raw'!AG112</f>
        <v>6.7021470000000001</v>
      </c>
      <c r="AE124" s="18">
        <f>'AEO 2023 Table 49 Raw'!AH112</f>
        <v>6.7094459999999998</v>
      </c>
      <c r="AF124" s="30">
        <f>'AEO 2023 Table 49 Raw'!AI112</f>
        <v>6.0000000000000001E-3</v>
      </c>
    </row>
    <row r="125" spans="1:32" ht="15" customHeight="1">
      <c r="A125" s="7" t="s">
        <v>848</v>
      </c>
      <c r="B125" s="16" t="s">
        <v>382</v>
      </c>
      <c r="C125" s="18">
        <f>'AEO 2023 Table 49 Raw'!F113</f>
        <v>6.0498820000000002</v>
      </c>
      <c r="D125" s="18">
        <f>'AEO 2023 Table 49 Raw'!G113</f>
        <v>6.0476359999999998</v>
      </c>
      <c r="E125" s="18">
        <f>'AEO 2023 Table 49 Raw'!H113</f>
        <v>6.0424569999999997</v>
      </c>
      <c r="F125" s="18">
        <f>'AEO 2023 Table 49 Raw'!I113</f>
        <v>6.041099</v>
      </c>
      <c r="G125" s="18">
        <f>'AEO 2023 Table 49 Raw'!J113</f>
        <v>6.0478569999999996</v>
      </c>
      <c r="H125" s="18">
        <f>'AEO 2023 Table 49 Raw'!K113</f>
        <v>6.0672699999999997</v>
      </c>
      <c r="I125" s="18">
        <f>'AEO 2023 Table 49 Raw'!L113</f>
        <v>6.0945150000000003</v>
      </c>
      <c r="J125" s="18">
        <f>'AEO 2023 Table 49 Raw'!M113</f>
        <v>6.1340960000000004</v>
      </c>
      <c r="K125" s="18">
        <f>'AEO 2023 Table 49 Raw'!N113</f>
        <v>6.1834110000000004</v>
      </c>
      <c r="L125" s="18">
        <f>'AEO 2023 Table 49 Raw'!O113</f>
        <v>6.2425569999999997</v>
      </c>
      <c r="M125" s="18">
        <f>'AEO 2023 Table 49 Raw'!P113</f>
        <v>6.3091400000000002</v>
      </c>
      <c r="N125" s="18">
        <f>'AEO 2023 Table 49 Raw'!Q113</f>
        <v>6.3769150000000003</v>
      </c>
      <c r="O125" s="18">
        <f>'AEO 2023 Table 49 Raw'!R113</f>
        <v>6.436153</v>
      </c>
      <c r="P125" s="18">
        <f>'AEO 2023 Table 49 Raw'!S113</f>
        <v>6.4858890000000002</v>
      </c>
      <c r="Q125" s="18">
        <f>'AEO 2023 Table 49 Raw'!T113</f>
        <v>6.5307510000000004</v>
      </c>
      <c r="R125" s="18">
        <f>'AEO 2023 Table 49 Raw'!U113</f>
        <v>6.5718370000000004</v>
      </c>
      <c r="S125" s="18">
        <f>'AEO 2023 Table 49 Raw'!V113</f>
        <v>6.6100839999999996</v>
      </c>
      <c r="T125" s="18">
        <f>'AEO 2023 Table 49 Raw'!W113</f>
        <v>6.6457499999999996</v>
      </c>
      <c r="U125" s="18">
        <f>'AEO 2023 Table 49 Raw'!X113</f>
        <v>6.6793750000000003</v>
      </c>
      <c r="V125" s="18">
        <f>'AEO 2023 Table 49 Raw'!Y113</f>
        <v>6.710102</v>
      </c>
      <c r="W125" s="18">
        <f>'AEO 2023 Table 49 Raw'!Z113</f>
        <v>6.7354380000000003</v>
      </c>
      <c r="X125" s="18">
        <f>'AEO 2023 Table 49 Raw'!AA113</f>
        <v>6.7577069999999999</v>
      </c>
      <c r="Y125" s="18">
        <f>'AEO 2023 Table 49 Raw'!AB113</f>
        <v>6.7769919999999999</v>
      </c>
      <c r="Z125" s="18">
        <f>'AEO 2023 Table 49 Raw'!AC113</f>
        <v>6.7934559999999999</v>
      </c>
      <c r="AA125" s="18">
        <f>'AEO 2023 Table 49 Raw'!AD113</f>
        <v>6.807423</v>
      </c>
      <c r="AB125" s="18">
        <f>'AEO 2023 Table 49 Raw'!AE113</f>
        <v>6.819178</v>
      </c>
      <c r="AC125" s="18">
        <f>'AEO 2023 Table 49 Raw'!AF113</f>
        <v>6.8295170000000001</v>
      </c>
      <c r="AD125" s="18">
        <f>'AEO 2023 Table 49 Raw'!AG113</f>
        <v>6.8410000000000002</v>
      </c>
      <c r="AE125" s="18">
        <f>'AEO 2023 Table 49 Raw'!AH113</f>
        <v>6.8538550000000003</v>
      </c>
      <c r="AF125" s="30">
        <f>'AEO 2023 Table 49 Raw'!AI113</f>
        <v>4.0000000000000001E-3</v>
      </c>
    </row>
    <row r="126" spans="1:32" ht="15" customHeight="1">
      <c r="A126" s="7" t="s">
        <v>849</v>
      </c>
      <c r="B126" s="16" t="s">
        <v>741</v>
      </c>
      <c r="C126" s="18">
        <f>'AEO 2023 Table 49 Raw'!F114</f>
        <v>5.9032150000000003</v>
      </c>
      <c r="D126" s="18">
        <f>'AEO 2023 Table 49 Raw'!G114</f>
        <v>5.971978</v>
      </c>
      <c r="E126" s="18">
        <f>'AEO 2023 Table 49 Raw'!H114</f>
        <v>6.0519489999999996</v>
      </c>
      <c r="F126" s="18">
        <f>'AEO 2023 Table 49 Raw'!I114</f>
        <v>6.1443570000000003</v>
      </c>
      <c r="G126" s="18">
        <f>'AEO 2023 Table 49 Raw'!J114</f>
        <v>6.2444309999999996</v>
      </c>
      <c r="H126" s="18">
        <f>'AEO 2023 Table 49 Raw'!K114</f>
        <v>6.3494830000000002</v>
      </c>
      <c r="I126" s="18">
        <f>'AEO 2023 Table 49 Raw'!L114</f>
        <v>6.4469339999999997</v>
      </c>
      <c r="J126" s="18">
        <f>'AEO 2023 Table 49 Raw'!M114</f>
        <v>6.5407650000000004</v>
      </c>
      <c r="K126" s="18">
        <f>'AEO 2023 Table 49 Raw'!N114</f>
        <v>6.631767</v>
      </c>
      <c r="L126" s="18">
        <f>'AEO 2023 Table 49 Raw'!O114</f>
        <v>6.721997</v>
      </c>
      <c r="M126" s="18">
        <f>'AEO 2023 Table 49 Raw'!P114</f>
        <v>6.8098879999999999</v>
      </c>
      <c r="N126" s="18">
        <f>'AEO 2023 Table 49 Raw'!Q114</f>
        <v>6.8910470000000004</v>
      </c>
      <c r="O126" s="18">
        <f>'AEO 2023 Table 49 Raw'!R114</f>
        <v>6.9637089999999997</v>
      </c>
      <c r="P126" s="18">
        <f>'AEO 2023 Table 49 Raw'!S114</f>
        <v>7.0280950000000004</v>
      </c>
      <c r="Q126" s="18">
        <f>'AEO 2023 Table 49 Raw'!T114</f>
        <v>7.0878100000000002</v>
      </c>
      <c r="R126" s="18">
        <f>'AEO 2023 Table 49 Raw'!U114</f>
        <v>7.1421640000000002</v>
      </c>
      <c r="S126" s="18">
        <f>'AEO 2023 Table 49 Raw'!V114</f>
        <v>7.191567</v>
      </c>
      <c r="T126" s="18">
        <f>'AEO 2023 Table 49 Raw'!W114</f>
        <v>7.2349160000000001</v>
      </c>
      <c r="U126" s="18">
        <f>'AEO 2023 Table 49 Raw'!X114</f>
        <v>7.271738</v>
      </c>
      <c r="V126" s="18">
        <f>'AEO 2023 Table 49 Raw'!Y114</f>
        <v>7.3024620000000002</v>
      </c>
      <c r="W126" s="18">
        <f>'AEO 2023 Table 49 Raw'!Z114</f>
        <v>7.3284010000000004</v>
      </c>
      <c r="X126" s="18">
        <f>'AEO 2023 Table 49 Raw'!AA114</f>
        <v>7.3514480000000004</v>
      </c>
      <c r="Y126" s="18">
        <f>'AEO 2023 Table 49 Raw'!AB114</f>
        <v>7.3716299999999997</v>
      </c>
      <c r="Z126" s="18">
        <f>'AEO 2023 Table 49 Raw'!AC114</f>
        <v>7.3894929999999999</v>
      </c>
      <c r="AA126" s="18">
        <f>'AEO 2023 Table 49 Raw'!AD114</f>
        <v>7.4061589999999997</v>
      </c>
      <c r="AB126" s="18">
        <f>'AEO 2023 Table 49 Raw'!AE114</f>
        <v>7.4215730000000004</v>
      </c>
      <c r="AC126" s="18">
        <f>'AEO 2023 Table 49 Raw'!AF114</f>
        <v>7.4374900000000004</v>
      </c>
      <c r="AD126" s="18">
        <f>'AEO 2023 Table 49 Raw'!AG114</f>
        <v>7.4537440000000004</v>
      </c>
      <c r="AE126" s="18">
        <f>'AEO 2023 Table 49 Raw'!AH114</f>
        <v>7.4693319999999996</v>
      </c>
      <c r="AF126" s="30">
        <f>'AEO 2023 Table 49 Raw'!AI114</f>
        <v>8.0000000000000002E-3</v>
      </c>
    </row>
    <row r="127" spans="1:32" ht="15" customHeight="1">
      <c r="A127" s="7" t="s">
        <v>850</v>
      </c>
      <c r="B127" s="16" t="s">
        <v>743</v>
      </c>
      <c r="C127" s="18">
        <f>'AEO 2023 Table 49 Raw'!F115</f>
        <v>0</v>
      </c>
      <c r="D127" s="18">
        <f>'AEO 2023 Table 49 Raw'!G115</f>
        <v>0</v>
      </c>
      <c r="E127" s="18">
        <f>'AEO 2023 Table 49 Raw'!H115</f>
        <v>0</v>
      </c>
      <c r="F127" s="18">
        <f>'AEO 2023 Table 49 Raw'!I115</f>
        <v>0</v>
      </c>
      <c r="G127" s="18">
        <f>'AEO 2023 Table 49 Raw'!J115</f>
        <v>0</v>
      </c>
      <c r="H127" s="18">
        <f>'AEO 2023 Table 49 Raw'!K115</f>
        <v>0</v>
      </c>
      <c r="I127" s="18">
        <f>'AEO 2023 Table 49 Raw'!L115</f>
        <v>0</v>
      </c>
      <c r="J127" s="18">
        <f>'AEO 2023 Table 49 Raw'!M115</f>
        <v>0</v>
      </c>
      <c r="K127" s="18">
        <f>'AEO 2023 Table 49 Raw'!N115</f>
        <v>0</v>
      </c>
      <c r="L127" s="18">
        <f>'AEO 2023 Table 49 Raw'!O115</f>
        <v>0</v>
      </c>
      <c r="M127" s="18">
        <f>'AEO 2023 Table 49 Raw'!P115</f>
        <v>0</v>
      </c>
      <c r="N127" s="18">
        <f>'AEO 2023 Table 49 Raw'!Q115</f>
        <v>0</v>
      </c>
      <c r="O127" s="18">
        <f>'AEO 2023 Table 49 Raw'!R115</f>
        <v>0</v>
      </c>
      <c r="P127" s="18">
        <f>'AEO 2023 Table 49 Raw'!S115</f>
        <v>0</v>
      </c>
      <c r="Q127" s="18">
        <f>'AEO 2023 Table 49 Raw'!T115</f>
        <v>0</v>
      </c>
      <c r="R127" s="18">
        <f>'AEO 2023 Table 49 Raw'!U115</f>
        <v>0</v>
      </c>
      <c r="S127" s="18">
        <f>'AEO 2023 Table 49 Raw'!V115</f>
        <v>0</v>
      </c>
      <c r="T127" s="18">
        <f>'AEO 2023 Table 49 Raw'!W115</f>
        <v>0</v>
      </c>
      <c r="U127" s="18">
        <f>'AEO 2023 Table 49 Raw'!X115</f>
        <v>0</v>
      </c>
      <c r="V127" s="18">
        <f>'AEO 2023 Table 49 Raw'!Y115</f>
        <v>0</v>
      </c>
      <c r="W127" s="18">
        <f>'AEO 2023 Table 49 Raw'!Z115</f>
        <v>0</v>
      </c>
      <c r="X127" s="18">
        <f>'AEO 2023 Table 49 Raw'!AA115</f>
        <v>0</v>
      </c>
      <c r="Y127" s="18">
        <f>'AEO 2023 Table 49 Raw'!AB115</f>
        <v>0</v>
      </c>
      <c r="Z127" s="18">
        <f>'AEO 2023 Table 49 Raw'!AC115</f>
        <v>0</v>
      </c>
      <c r="AA127" s="18">
        <f>'AEO 2023 Table 49 Raw'!AD115</f>
        <v>0</v>
      </c>
      <c r="AB127" s="18">
        <f>'AEO 2023 Table 49 Raw'!AE115</f>
        <v>0</v>
      </c>
      <c r="AC127" s="18">
        <f>'AEO 2023 Table 49 Raw'!AF115</f>
        <v>0</v>
      </c>
      <c r="AD127" s="18">
        <f>'AEO 2023 Table 49 Raw'!AG115</f>
        <v>0</v>
      </c>
      <c r="AE127" s="18">
        <f>'AEO 2023 Table 49 Raw'!AH115</f>
        <v>0</v>
      </c>
      <c r="AF127" s="30" t="str">
        <f>'AEO 2023 Table 49 Raw'!AI115</f>
        <v>- -</v>
      </c>
    </row>
    <row r="128" spans="1:32" ht="12" customHeight="1">
      <c r="A128" s="7" t="s">
        <v>851</v>
      </c>
      <c r="B128" s="16" t="s">
        <v>745</v>
      </c>
      <c r="C128" s="18">
        <f>'AEO 2023 Table 49 Raw'!F116</f>
        <v>12.530443</v>
      </c>
      <c r="D128" s="18">
        <f>'AEO 2023 Table 49 Raw'!G116</f>
        <v>12.264912000000001</v>
      </c>
      <c r="E128" s="18">
        <f>'AEO 2023 Table 49 Raw'!H116</f>
        <v>12.103764999999999</v>
      </c>
      <c r="F128" s="18">
        <f>'AEO 2023 Table 49 Raw'!I116</f>
        <v>11.988803000000001</v>
      </c>
      <c r="G128" s="18">
        <f>'AEO 2023 Table 49 Raw'!J116</f>
        <v>11.901937999999999</v>
      </c>
      <c r="H128" s="18">
        <f>'AEO 2023 Table 49 Raw'!K116</f>
        <v>11.834828</v>
      </c>
      <c r="I128" s="18">
        <f>'AEO 2023 Table 49 Raw'!L116</f>
        <v>11.776933</v>
      </c>
      <c r="J128" s="18">
        <f>'AEO 2023 Table 49 Raw'!M116</f>
        <v>11.728014999999999</v>
      </c>
      <c r="K128" s="18">
        <f>'AEO 2023 Table 49 Raw'!N116</f>
        <v>11.685517000000001</v>
      </c>
      <c r="L128" s="18">
        <f>'AEO 2023 Table 49 Raw'!O116</f>
        <v>11.647477</v>
      </c>
      <c r="M128" s="18">
        <f>'AEO 2023 Table 49 Raw'!P116</f>
        <v>11.613695</v>
      </c>
      <c r="N128" s="18">
        <f>'AEO 2023 Table 49 Raw'!Q116</f>
        <v>11.584943000000001</v>
      </c>
      <c r="O128" s="18">
        <f>'AEO 2023 Table 49 Raw'!R116</f>
        <v>11.563078000000001</v>
      </c>
      <c r="P128" s="18">
        <f>'AEO 2023 Table 49 Raw'!S116</f>
        <v>11.551143</v>
      </c>
      <c r="Q128" s="18">
        <f>'AEO 2023 Table 49 Raw'!T116</f>
        <v>11.538569000000001</v>
      </c>
      <c r="R128" s="18">
        <f>'AEO 2023 Table 49 Raw'!U116</f>
        <v>11.531321999999999</v>
      </c>
      <c r="S128" s="18">
        <f>'AEO 2023 Table 49 Raw'!V116</f>
        <v>11.536275</v>
      </c>
      <c r="T128" s="18">
        <f>'AEO 2023 Table 49 Raw'!W116</f>
        <v>11.546806</v>
      </c>
      <c r="U128" s="18">
        <f>'AEO 2023 Table 49 Raw'!X116</f>
        <v>11.540997000000001</v>
      </c>
      <c r="V128" s="18">
        <f>'AEO 2023 Table 49 Raw'!Y116</f>
        <v>11.546763</v>
      </c>
      <c r="W128" s="18">
        <f>'AEO 2023 Table 49 Raw'!Z116</f>
        <v>11.572368000000001</v>
      </c>
      <c r="X128" s="18">
        <f>'AEO 2023 Table 49 Raw'!AA116</f>
        <v>11.596401</v>
      </c>
      <c r="Y128" s="18">
        <f>'AEO 2023 Table 49 Raw'!AB116</f>
        <v>11.607893000000001</v>
      </c>
      <c r="Z128" s="18">
        <f>'AEO 2023 Table 49 Raw'!AC116</f>
        <v>11.616717</v>
      </c>
      <c r="AA128" s="18">
        <f>'AEO 2023 Table 49 Raw'!AD116</f>
        <v>11.623176000000001</v>
      </c>
      <c r="AB128" s="18">
        <f>'AEO 2023 Table 49 Raw'!AE116</f>
        <v>11.62772</v>
      </c>
      <c r="AC128" s="18">
        <f>'AEO 2023 Table 49 Raw'!AF116</f>
        <v>11.630972</v>
      </c>
      <c r="AD128" s="18">
        <f>'AEO 2023 Table 49 Raw'!AG116</f>
        <v>11.633329</v>
      </c>
      <c r="AE128" s="18">
        <f>'AEO 2023 Table 49 Raw'!AH116</f>
        <v>11.634862</v>
      </c>
      <c r="AF128" s="30">
        <f>'AEO 2023 Table 49 Raw'!AI116</f>
        <v>-3.0000000000000001E-3</v>
      </c>
    </row>
    <row r="129" spans="1:32" ht="12" customHeight="1">
      <c r="A129" s="7" t="s">
        <v>852</v>
      </c>
      <c r="B129" s="16" t="s">
        <v>747</v>
      </c>
      <c r="C129" s="18">
        <f>'AEO 2023 Table 49 Raw'!F117</f>
        <v>0</v>
      </c>
      <c r="D129" s="18">
        <f>'AEO 2023 Table 49 Raw'!G117</f>
        <v>0</v>
      </c>
      <c r="E129" s="18">
        <f>'AEO 2023 Table 49 Raw'!H117</f>
        <v>1.546092</v>
      </c>
      <c r="F129" s="18">
        <f>'AEO 2023 Table 49 Raw'!I117</f>
        <v>2.7360000000000002</v>
      </c>
      <c r="G129" s="18">
        <f>'AEO 2023 Table 49 Raw'!J117</f>
        <v>3.6467459999999998</v>
      </c>
      <c r="H129" s="18">
        <f>'AEO 2023 Table 49 Raw'!K117</f>
        <v>4.3527519999999997</v>
      </c>
      <c r="I129" s="18">
        <f>'AEO 2023 Table 49 Raw'!L117</f>
        <v>4.9220860000000002</v>
      </c>
      <c r="J129" s="18">
        <f>'AEO 2023 Table 49 Raw'!M117</f>
        <v>5.4007050000000003</v>
      </c>
      <c r="K129" s="18">
        <f>'AEO 2023 Table 49 Raw'!N117</f>
        <v>5.8205150000000003</v>
      </c>
      <c r="L129" s="18">
        <f>'AEO 2023 Table 49 Raw'!O117</f>
        <v>6.2095510000000003</v>
      </c>
      <c r="M129" s="18">
        <f>'AEO 2023 Table 49 Raw'!P117</f>
        <v>6.5909620000000002</v>
      </c>
      <c r="N129" s="18">
        <f>'AEO 2023 Table 49 Raw'!Q117</f>
        <v>6.9709329999999996</v>
      </c>
      <c r="O129" s="18">
        <f>'AEO 2023 Table 49 Raw'!R117</f>
        <v>7.346317</v>
      </c>
      <c r="P129" s="18">
        <f>'AEO 2023 Table 49 Raw'!S117</f>
        <v>7.7141799999999998</v>
      </c>
      <c r="Q129" s="18">
        <f>'AEO 2023 Table 49 Raw'!T117</f>
        <v>8.0825110000000002</v>
      </c>
      <c r="R129" s="18">
        <f>'AEO 2023 Table 49 Raw'!U117</f>
        <v>8.4473579999999995</v>
      </c>
      <c r="S129" s="18">
        <f>'AEO 2023 Table 49 Raw'!V117</f>
        <v>8.7964439999999993</v>
      </c>
      <c r="T129" s="18">
        <f>'AEO 2023 Table 49 Raw'!W117</f>
        <v>9.1181920000000005</v>
      </c>
      <c r="U129" s="18">
        <f>'AEO 2023 Table 49 Raw'!X117</f>
        <v>9.3973209999999998</v>
      </c>
      <c r="V129" s="18">
        <f>'AEO 2023 Table 49 Raw'!Y117</f>
        <v>9.6181850000000004</v>
      </c>
      <c r="W129" s="18">
        <f>'AEO 2023 Table 49 Raw'!Z117</f>
        <v>9.7676079999999992</v>
      </c>
      <c r="X129" s="18">
        <f>'AEO 2023 Table 49 Raw'!AA117</f>
        <v>9.9699349999999995</v>
      </c>
      <c r="Y129" s="18">
        <f>'AEO 2023 Table 49 Raw'!AB117</f>
        <v>10.181891</v>
      </c>
      <c r="Z129" s="18">
        <f>'AEO 2023 Table 49 Raw'!AC117</f>
        <v>10.318937999999999</v>
      </c>
      <c r="AA129" s="18">
        <f>'AEO 2023 Table 49 Raw'!AD117</f>
        <v>10.342834</v>
      </c>
      <c r="AB129" s="18">
        <f>'AEO 2023 Table 49 Raw'!AE117</f>
        <v>10.41</v>
      </c>
      <c r="AC129" s="18">
        <f>'AEO 2023 Table 49 Raw'!AF117</f>
        <v>10.469529</v>
      </c>
      <c r="AD129" s="18">
        <f>'AEO 2023 Table 49 Raw'!AG117</f>
        <v>10.522557000000001</v>
      </c>
      <c r="AE129" s="18">
        <f>'AEO 2023 Table 49 Raw'!AH117</f>
        <v>10.569413000000001</v>
      </c>
      <c r="AF129" s="30" t="str">
        <f>'AEO 2023 Table 49 Raw'!AI117</f>
        <v>- -</v>
      </c>
    </row>
    <row r="130" spans="1:32" ht="12" customHeight="1">
      <c r="A130" s="7" t="s">
        <v>853</v>
      </c>
      <c r="B130" s="16" t="s">
        <v>749</v>
      </c>
      <c r="C130" s="18">
        <f>'AEO 2023 Table 49 Raw'!F118</f>
        <v>0</v>
      </c>
      <c r="D130" s="18">
        <f>'AEO 2023 Table 49 Raw'!G118</f>
        <v>0</v>
      </c>
      <c r="E130" s="18">
        <f>'AEO 2023 Table 49 Raw'!H118</f>
        <v>1.4758230000000001</v>
      </c>
      <c r="F130" s="18">
        <f>'AEO 2023 Table 49 Raw'!I118</f>
        <v>2.6038709999999998</v>
      </c>
      <c r="G130" s="18">
        <f>'AEO 2023 Table 49 Raw'!J118</f>
        <v>3.4689930000000002</v>
      </c>
      <c r="H130" s="18">
        <f>'AEO 2023 Table 49 Raw'!K118</f>
        <v>4.1408490000000002</v>
      </c>
      <c r="I130" s="18">
        <f>'AEO 2023 Table 49 Raw'!L118</f>
        <v>4.6799150000000003</v>
      </c>
      <c r="J130" s="18">
        <f>'AEO 2023 Table 49 Raw'!M118</f>
        <v>5.131392</v>
      </c>
      <c r="K130" s="18">
        <f>'AEO 2023 Table 49 Raw'!N118</f>
        <v>5.5266799999999998</v>
      </c>
      <c r="L130" s="18">
        <f>'AEO 2023 Table 49 Raw'!O118</f>
        <v>5.8942059999999996</v>
      </c>
      <c r="M130" s="18">
        <f>'AEO 2023 Table 49 Raw'!P118</f>
        <v>6.2553999999999998</v>
      </c>
      <c r="N130" s="18">
        <f>'AEO 2023 Table 49 Raw'!Q118</f>
        <v>6.618671</v>
      </c>
      <c r="O130" s="18">
        <f>'AEO 2023 Table 49 Raw'!R118</f>
        <v>6.9812019999999997</v>
      </c>
      <c r="P130" s="18">
        <f>'AEO 2023 Table 49 Raw'!S118</f>
        <v>7.3429510000000002</v>
      </c>
      <c r="Q130" s="18">
        <f>'AEO 2023 Table 49 Raw'!T118</f>
        <v>7.7086709999999998</v>
      </c>
      <c r="R130" s="18">
        <f>'AEO 2023 Table 49 Raw'!U118</f>
        <v>8.0750270000000004</v>
      </c>
      <c r="S130" s="18">
        <f>'AEO 2023 Table 49 Raw'!V118</f>
        <v>8.4300040000000003</v>
      </c>
      <c r="T130" s="18">
        <f>'AEO 2023 Table 49 Raw'!W118</f>
        <v>8.7610109999999999</v>
      </c>
      <c r="U130" s="18">
        <f>'AEO 2023 Table 49 Raw'!X118</f>
        <v>9.0510110000000008</v>
      </c>
      <c r="V130" s="18">
        <f>'AEO 2023 Table 49 Raw'!Y118</f>
        <v>9.2813940000000006</v>
      </c>
      <c r="W130" s="18">
        <f>'AEO 2023 Table 49 Raw'!Z118</f>
        <v>9.4351839999999996</v>
      </c>
      <c r="X130" s="18">
        <f>'AEO 2023 Table 49 Raw'!AA118</f>
        <v>9.6532990000000005</v>
      </c>
      <c r="Y130" s="18">
        <f>'AEO 2023 Table 49 Raw'!AB118</f>
        <v>9.8873870000000004</v>
      </c>
      <c r="Z130" s="18">
        <f>'AEO 2023 Table 49 Raw'!AC118</f>
        <v>10.037898999999999</v>
      </c>
      <c r="AA130" s="18">
        <f>'AEO 2023 Table 49 Raw'!AD118</f>
        <v>10.055942999999999</v>
      </c>
      <c r="AB130" s="18">
        <f>'AEO 2023 Table 49 Raw'!AE118</f>
        <v>10.127402999999999</v>
      </c>
      <c r="AC130" s="18">
        <f>'AEO 2023 Table 49 Raw'!AF118</f>
        <v>10.190970999999999</v>
      </c>
      <c r="AD130" s="18">
        <f>'AEO 2023 Table 49 Raw'!AG118</f>
        <v>10.247705</v>
      </c>
      <c r="AE130" s="18">
        <f>'AEO 2023 Table 49 Raw'!AH118</f>
        <v>10.297942000000001</v>
      </c>
      <c r="AF130" s="30" t="str">
        <f>'AEO 2023 Table 49 Raw'!AI118</f>
        <v>- -</v>
      </c>
    </row>
    <row r="131" spans="1:32" ht="12" customHeight="1">
      <c r="A131" s="7" t="s">
        <v>854</v>
      </c>
      <c r="B131" s="16" t="s">
        <v>751</v>
      </c>
      <c r="C131" s="18">
        <f>'AEO 2023 Table 49 Raw'!F119</f>
        <v>0</v>
      </c>
      <c r="D131" s="18">
        <f>'AEO 2023 Table 49 Raw'!G119</f>
        <v>0</v>
      </c>
      <c r="E131" s="18">
        <f>'AEO 2023 Table 49 Raw'!H119</f>
        <v>7.1006340000000003</v>
      </c>
      <c r="F131" s="18">
        <f>'AEO 2023 Table 49 Raw'!I119</f>
        <v>7.1059159999999997</v>
      </c>
      <c r="G131" s="18">
        <f>'AEO 2023 Table 49 Raw'!J119</f>
        <v>7.1075530000000002</v>
      </c>
      <c r="H131" s="18">
        <f>'AEO 2023 Table 49 Raw'!K119</f>
        <v>7.1082619999999999</v>
      </c>
      <c r="I131" s="18">
        <f>'AEO 2023 Table 49 Raw'!L119</f>
        <v>7.108644</v>
      </c>
      <c r="J131" s="18">
        <f>'AEO 2023 Table 49 Raw'!M119</f>
        <v>7.1088389999999997</v>
      </c>
      <c r="K131" s="18">
        <f>'AEO 2023 Table 49 Raw'!N119</f>
        <v>7.1089120000000001</v>
      </c>
      <c r="L131" s="18">
        <f>'AEO 2023 Table 49 Raw'!O119</f>
        <v>7.10893</v>
      </c>
      <c r="M131" s="18">
        <f>'AEO 2023 Table 49 Raw'!P119</f>
        <v>7.1089359999999999</v>
      </c>
      <c r="N131" s="18">
        <f>'AEO 2023 Table 49 Raw'!Q119</f>
        <v>7.108943</v>
      </c>
      <c r="O131" s="18">
        <f>'AEO 2023 Table 49 Raw'!R119</f>
        <v>7.1089659999999997</v>
      </c>
      <c r="P131" s="18">
        <f>'AEO 2023 Table 49 Raw'!S119</f>
        <v>7.1090030000000004</v>
      </c>
      <c r="Q131" s="18">
        <f>'AEO 2023 Table 49 Raw'!T119</f>
        <v>7.1090530000000003</v>
      </c>
      <c r="R131" s="18">
        <f>'AEO 2023 Table 49 Raw'!U119</f>
        <v>7.1091139999999999</v>
      </c>
      <c r="S131" s="18">
        <f>'AEO 2023 Table 49 Raw'!V119</f>
        <v>7.1091860000000002</v>
      </c>
      <c r="T131" s="18">
        <f>'AEO 2023 Table 49 Raw'!W119</f>
        <v>7.1092690000000003</v>
      </c>
      <c r="U131" s="18">
        <f>'AEO 2023 Table 49 Raw'!X119</f>
        <v>7.1093650000000004</v>
      </c>
      <c r="V131" s="18">
        <f>'AEO 2023 Table 49 Raw'!Y119</f>
        <v>7.10947</v>
      </c>
      <c r="W131" s="18">
        <f>'AEO 2023 Table 49 Raw'!Z119</f>
        <v>7.1095860000000002</v>
      </c>
      <c r="X131" s="18">
        <f>'AEO 2023 Table 49 Raw'!AA119</f>
        <v>7.1097349999999997</v>
      </c>
      <c r="Y131" s="18">
        <f>'AEO 2023 Table 49 Raw'!AB119</f>
        <v>7.1099069999999998</v>
      </c>
      <c r="Z131" s="18">
        <f>'AEO 2023 Table 49 Raw'!AC119</f>
        <v>7.1100849999999998</v>
      </c>
      <c r="AA131" s="18">
        <f>'AEO 2023 Table 49 Raw'!AD119</f>
        <v>7.1102600000000002</v>
      </c>
      <c r="AB131" s="18">
        <f>'AEO 2023 Table 49 Raw'!AE119</f>
        <v>7.1104640000000003</v>
      </c>
      <c r="AC131" s="18">
        <f>'AEO 2023 Table 49 Raw'!AF119</f>
        <v>7.1106790000000002</v>
      </c>
      <c r="AD131" s="18">
        <f>'AEO 2023 Table 49 Raw'!AG119</f>
        <v>7.1109059999999999</v>
      </c>
      <c r="AE131" s="18">
        <f>'AEO 2023 Table 49 Raw'!AH119</f>
        <v>7.1111440000000004</v>
      </c>
      <c r="AF131" s="30" t="str">
        <f>'AEO 2023 Table 49 Raw'!AI119</f>
        <v>- -</v>
      </c>
    </row>
    <row r="132" spans="1:32" ht="12" customHeight="1">
      <c r="A132" s="7" t="s">
        <v>855</v>
      </c>
      <c r="B132" s="16" t="s">
        <v>856</v>
      </c>
      <c r="C132" s="18">
        <f>'AEO 2023 Table 49 Raw'!F120</f>
        <v>6.1685410000000003</v>
      </c>
      <c r="D132" s="18">
        <f>'AEO 2023 Table 49 Raw'!G120</f>
        <v>6.2461190000000002</v>
      </c>
      <c r="E132" s="18">
        <f>'AEO 2023 Table 49 Raw'!H120</f>
        <v>6.3357140000000003</v>
      </c>
      <c r="F132" s="18">
        <f>'AEO 2023 Table 49 Raw'!I120</f>
        <v>6.4415589999999998</v>
      </c>
      <c r="G132" s="18">
        <f>'AEO 2023 Table 49 Raw'!J120</f>
        <v>6.5613010000000003</v>
      </c>
      <c r="H132" s="18">
        <f>'AEO 2023 Table 49 Raw'!K120</f>
        <v>6.6889289999999999</v>
      </c>
      <c r="I132" s="18">
        <f>'AEO 2023 Table 49 Raw'!L120</f>
        <v>6.8135919999999999</v>
      </c>
      <c r="J132" s="18">
        <f>'AEO 2023 Table 49 Raw'!M120</f>
        <v>6.9357920000000002</v>
      </c>
      <c r="K132" s="18">
        <f>'AEO 2023 Table 49 Raw'!N120</f>
        <v>7.0534879999999998</v>
      </c>
      <c r="L132" s="18">
        <f>'AEO 2023 Table 49 Raw'!O120</f>
        <v>7.1664760000000003</v>
      </c>
      <c r="M132" s="18">
        <f>'AEO 2023 Table 49 Raw'!P120</f>
        <v>7.2736970000000003</v>
      </c>
      <c r="N132" s="18">
        <f>'AEO 2023 Table 49 Raw'!Q120</f>
        <v>7.3703019999999997</v>
      </c>
      <c r="O132" s="18">
        <f>'AEO 2023 Table 49 Raw'!R120</f>
        <v>7.4548839999999998</v>
      </c>
      <c r="P132" s="18">
        <f>'AEO 2023 Table 49 Raw'!S120</f>
        <v>7.5281099999999999</v>
      </c>
      <c r="Q132" s="18">
        <f>'AEO 2023 Table 49 Raw'!T120</f>
        <v>7.5919629999999998</v>
      </c>
      <c r="R132" s="18">
        <f>'AEO 2023 Table 49 Raw'!U120</f>
        <v>7.6472530000000001</v>
      </c>
      <c r="S132" s="18">
        <f>'AEO 2023 Table 49 Raw'!V120</f>
        <v>7.694312</v>
      </c>
      <c r="T132" s="18">
        <f>'AEO 2023 Table 49 Raw'!W120</f>
        <v>7.7355099999999997</v>
      </c>
      <c r="U132" s="18">
        <f>'AEO 2023 Table 49 Raw'!X120</f>
        <v>7.7714720000000002</v>
      </c>
      <c r="V132" s="18">
        <f>'AEO 2023 Table 49 Raw'!Y120</f>
        <v>7.8037029999999996</v>
      </c>
      <c r="W132" s="18">
        <f>'AEO 2023 Table 49 Raw'!Z120</f>
        <v>7.830692</v>
      </c>
      <c r="X132" s="18">
        <f>'AEO 2023 Table 49 Raw'!AA120</f>
        <v>7.8539320000000004</v>
      </c>
      <c r="Y132" s="18">
        <f>'AEO 2023 Table 49 Raw'!AB120</f>
        <v>7.87371</v>
      </c>
      <c r="Z132" s="18">
        <f>'AEO 2023 Table 49 Raw'!AC120</f>
        <v>7.8908800000000001</v>
      </c>
      <c r="AA132" s="18">
        <f>'AEO 2023 Table 49 Raw'!AD120</f>
        <v>7.9070320000000001</v>
      </c>
      <c r="AB132" s="18">
        <f>'AEO 2023 Table 49 Raw'!AE120</f>
        <v>7.922396</v>
      </c>
      <c r="AC132" s="18">
        <f>'AEO 2023 Table 49 Raw'!AF120</f>
        <v>7.9373050000000003</v>
      </c>
      <c r="AD132" s="18">
        <f>'AEO 2023 Table 49 Raw'!AG120</f>
        <v>7.9528379999999999</v>
      </c>
      <c r="AE132" s="18">
        <f>'AEO 2023 Table 49 Raw'!AH120</f>
        <v>7.9689120000000004</v>
      </c>
      <c r="AF132" s="30">
        <f>'AEO 2023 Table 49 Raw'!AI120</f>
        <v>8.9999999999999993E-3</v>
      </c>
    </row>
    <row r="133" spans="1:32" ht="12" customHeight="1">
      <c r="A133" s="7" t="s">
        <v>857</v>
      </c>
      <c r="B133" s="15" t="s">
        <v>858</v>
      </c>
      <c r="C133" s="18">
        <f>'AEO 2023 Table 49 Raw'!F121</f>
        <v>7.4737900000000002</v>
      </c>
      <c r="D133" s="18">
        <f>'AEO 2023 Table 49 Raw'!G121</f>
        <v>7.574878</v>
      </c>
      <c r="E133" s="18">
        <f>'AEO 2023 Table 49 Raw'!H121</f>
        <v>7.6960300000000004</v>
      </c>
      <c r="F133" s="18">
        <f>'AEO 2023 Table 49 Raw'!I121</f>
        <v>7.8354850000000003</v>
      </c>
      <c r="G133" s="18">
        <f>'AEO 2023 Table 49 Raw'!J121</f>
        <v>7.9866429999999999</v>
      </c>
      <c r="H133" s="18">
        <f>'AEO 2023 Table 49 Raw'!K121</f>
        <v>8.1451189999999993</v>
      </c>
      <c r="I133" s="18">
        <f>'AEO 2023 Table 49 Raw'!L121</f>
        <v>8.3001760000000004</v>
      </c>
      <c r="J133" s="18">
        <f>'AEO 2023 Table 49 Raw'!M121</f>
        <v>8.4559069999999998</v>
      </c>
      <c r="K133" s="18">
        <f>'AEO 2023 Table 49 Raw'!N121</f>
        <v>8.6109109999999998</v>
      </c>
      <c r="L133" s="18">
        <f>'AEO 2023 Table 49 Raw'!O121</f>
        <v>8.7645049999999998</v>
      </c>
      <c r="M133" s="18">
        <f>'AEO 2023 Table 49 Raw'!P121</f>
        <v>8.9144360000000002</v>
      </c>
      <c r="N133" s="18">
        <f>'AEO 2023 Table 49 Raw'!Q121</f>
        <v>9.0551460000000006</v>
      </c>
      <c r="O133" s="18">
        <f>'AEO 2023 Table 49 Raw'!R121</f>
        <v>9.1840910000000004</v>
      </c>
      <c r="P133" s="18">
        <f>'AEO 2023 Table 49 Raw'!S121</f>
        <v>9.3011660000000003</v>
      </c>
      <c r="Q133" s="18">
        <f>'AEO 2023 Table 49 Raw'!T121</f>
        <v>9.407648</v>
      </c>
      <c r="R133" s="18">
        <f>'AEO 2023 Table 49 Raw'!U121</f>
        <v>9.5034890000000001</v>
      </c>
      <c r="S133" s="18">
        <f>'AEO 2023 Table 49 Raw'!V121</f>
        <v>9.5894919999999999</v>
      </c>
      <c r="T133" s="18">
        <f>'AEO 2023 Table 49 Raw'!W121</f>
        <v>9.6682100000000002</v>
      </c>
      <c r="U133" s="18">
        <f>'AEO 2023 Table 49 Raw'!X121</f>
        <v>9.7415749999999992</v>
      </c>
      <c r="V133" s="18">
        <f>'AEO 2023 Table 49 Raw'!Y121</f>
        <v>9.8092579999999998</v>
      </c>
      <c r="W133" s="18">
        <f>'AEO 2023 Table 49 Raw'!Z121</f>
        <v>9.8708480000000005</v>
      </c>
      <c r="X133" s="18">
        <f>'AEO 2023 Table 49 Raw'!AA121</f>
        <v>9.9272620000000007</v>
      </c>
      <c r="Y133" s="18">
        <f>'AEO 2023 Table 49 Raw'!AB121</f>
        <v>9.9783410000000003</v>
      </c>
      <c r="Z133" s="18">
        <f>'AEO 2023 Table 49 Raw'!AC121</f>
        <v>10.026918999999999</v>
      </c>
      <c r="AA133" s="18">
        <f>'AEO 2023 Table 49 Raw'!AD121</f>
        <v>10.075530000000001</v>
      </c>
      <c r="AB133" s="18">
        <f>'AEO 2023 Table 49 Raw'!AE121</f>
        <v>10.123870999999999</v>
      </c>
      <c r="AC133" s="18">
        <f>'AEO 2023 Table 49 Raw'!AF121</f>
        <v>10.171478</v>
      </c>
      <c r="AD133" s="18">
        <f>'AEO 2023 Table 49 Raw'!AG121</f>
        <v>10.218241000000001</v>
      </c>
      <c r="AE133" s="18">
        <f>'AEO 2023 Table 49 Raw'!AH121</f>
        <v>10.264495</v>
      </c>
      <c r="AF133" s="30">
        <f>'AEO 2023 Table 49 Raw'!AI121</f>
        <v>1.0999999999999999E-2</v>
      </c>
    </row>
    <row r="134" spans="1:32" ht="12" customHeight="1">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30"/>
    </row>
    <row r="135" spans="1:32" ht="12" customHeight="1">
      <c r="B135" s="15" t="s">
        <v>859</v>
      </c>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30"/>
    </row>
    <row r="136" spans="1:32" ht="12" customHeight="1">
      <c r="B136" s="15" t="s">
        <v>734</v>
      </c>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30"/>
    </row>
    <row r="137" spans="1:32" ht="12" customHeight="1">
      <c r="A137" s="7" t="s">
        <v>860</v>
      </c>
      <c r="B137" s="16" t="s">
        <v>736</v>
      </c>
      <c r="C137" s="18">
        <f>'AEO 2023 Table 49 Raw'!F124</f>
        <v>3.015037</v>
      </c>
      <c r="D137" s="18">
        <f>'AEO 2023 Table 49 Raw'!G124</f>
        <v>3.08155</v>
      </c>
      <c r="E137" s="18">
        <f>'AEO 2023 Table 49 Raw'!H124</f>
        <v>3.1501079999999999</v>
      </c>
      <c r="F137" s="18">
        <f>'AEO 2023 Table 49 Raw'!I124</f>
        <v>3.2224620000000002</v>
      </c>
      <c r="G137" s="18">
        <f>'AEO 2023 Table 49 Raw'!J124</f>
        <v>3.2939560000000001</v>
      </c>
      <c r="H137" s="18">
        <f>'AEO 2023 Table 49 Raw'!K124</f>
        <v>3.3616600000000001</v>
      </c>
      <c r="I137" s="18">
        <f>'AEO 2023 Table 49 Raw'!L124</f>
        <v>3.427092</v>
      </c>
      <c r="J137" s="18">
        <f>'AEO 2023 Table 49 Raw'!M124</f>
        <v>3.4902700000000002</v>
      </c>
      <c r="K137" s="18">
        <f>'AEO 2023 Table 49 Raw'!N124</f>
        <v>3.549833</v>
      </c>
      <c r="L137" s="18">
        <f>'AEO 2023 Table 49 Raw'!O124</f>
        <v>3.6058970000000001</v>
      </c>
      <c r="M137" s="18">
        <f>'AEO 2023 Table 49 Raw'!P124</f>
        <v>3.6627139999999998</v>
      </c>
      <c r="N137" s="18">
        <f>'AEO 2023 Table 49 Raw'!Q124</f>
        <v>3.7146720000000002</v>
      </c>
      <c r="O137" s="18">
        <f>'AEO 2023 Table 49 Raw'!R124</f>
        <v>3.7616619999999998</v>
      </c>
      <c r="P137" s="18">
        <f>'AEO 2023 Table 49 Raw'!S124</f>
        <v>3.8032520000000001</v>
      </c>
      <c r="Q137" s="18">
        <f>'AEO 2023 Table 49 Raw'!T124</f>
        <v>3.8431760000000001</v>
      </c>
      <c r="R137" s="18">
        <f>'AEO 2023 Table 49 Raw'!U124</f>
        <v>3.882984</v>
      </c>
      <c r="S137" s="18">
        <f>'AEO 2023 Table 49 Raw'!V124</f>
        <v>3.924528</v>
      </c>
      <c r="T137" s="18">
        <f>'AEO 2023 Table 49 Raw'!W124</f>
        <v>3.9655680000000002</v>
      </c>
      <c r="U137" s="18">
        <f>'AEO 2023 Table 49 Raw'!X124</f>
        <v>4.0046330000000001</v>
      </c>
      <c r="V137" s="18">
        <f>'AEO 2023 Table 49 Raw'!Y124</f>
        <v>4.0458100000000004</v>
      </c>
      <c r="W137" s="18">
        <f>'AEO 2023 Table 49 Raw'!Z124</f>
        <v>4.0873410000000003</v>
      </c>
      <c r="X137" s="18">
        <f>'AEO 2023 Table 49 Raw'!AA124</f>
        <v>4.1353119999999999</v>
      </c>
      <c r="Y137" s="18">
        <f>'AEO 2023 Table 49 Raw'!AB124</f>
        <v>4.1866269999999997</v>
      </c>
      <c r="Z137" s="18">
        <f>'AEO 2023 Table 49 Raw'!AC124</f>
        <v>4.2350120000000002</v>
      </c>
      <c r="AA137" s="18">
        <f>'AEO 2023 Table 49 Raw'!AD124</f>
        <v>4.2808120000000001</v>
      </c>
      <c r="AB137" s="18">
        <f>'AEO 2023 Table 49 Raw'!AE124</f>
        <v>4.3291370000000002</v>
      </c>
      <c r="AC137" s="18">
        <f>'AEO 2023 Table 49 Raw'!AF124</f>
        <v>4.3789559999999996</v>
      </c>
      <c r="AD137" s="18">
        <f>'AEO 2023 Table 49 Raw'!AG124</f>
        <v>4.4252010000000004</v>
      </c>
      <c r="AE137" s="18">
        <f>'AEO 2023 Table 49 Raw'!AH124</f>
        <v>4.470567</v>
      </c>
      <c r="AF137" s="30">
        <f>'AEO 2023 Table 49 Raw'!AI124</f>
        <v>1.4E-2</v>
      </c>
    </row>
    <row r="138" spans="1:32" ht="12" customHeight="1">
      <c r="A138" s="7" t="s">
        <v>861</v>
      </c>
      <c r="B138" s="16" t="s">
        <v>738</v>
      </c>
      <c r="C138" s="18">
        <f>'AEO 2023 Table 49 Raw'!F125</f>
        <v>1.311809</v>
      </c>
      <c r="D138" s="18">
        <f>'AEO 2023 Table 49 Raw'!G125</f>
        <v>1.378085</v>
      </c>
      <c r="E138" s="18">
        <f>'AEO 2023 Table 49 Raw'!H125</f>
        <v>1.4506669999999999</v>
      </c>
      <c r="F138" s="18">
        <f>'AEO 2023 Table 49 Raw'!I125</f>
        <v>1.530327</v>
      </c>
      <c r="G138" s="18">
        <f>'AEO 2023 Table 49 Raw'!J125</f>
        <v>1.6128629999999999</v>
      </c>
      <c r="H138" s="18">
        <f>'AEO 2023 Table 49 Raw'!K125</f>
        <v>1.6953240000000001</v>
      </c>
      <c r="I138" s="18">
        <f>'AEO 2023 Table 49 Raw'!L125</f>
        <v>1.777282</v>
      </c>
      <c r="J138" s="18">
        <f>'AEO 2023 Table 49 Raw'!M125</f>
        <v>1.85809</v>
      </c>
      <c r="K138" s="18">
        <f>'AEO 2023 Table 49 Raw'!N125</f>
        <v>1.9378629999999999</v>
      </c>
      <c r="L138" s="18">
        <f>'AEO 2023 Table 49 Raw'!O125</f>
        <v>2.0154909999999999</v>
      </c>
      <c r="M138" s="18">
        <f>'AEO 2023 Table 49 Raw'!P125</f>
        <v>2.09484</v>
      </c>
      <c r="N138" s="18">
        <f>'AEO 2023 Table 49 Raw'!Q125</f>
        <v>2.1723409999999999</v>
      </c>
      <c r="O138" s="18">
        <f>'AEO 2023 Table 49 Raw'!R125</f>
        <v>2.2465320000000002</v>
      </c>
      <c r="P138" s="18">
        <f>'AEO 2023 Table 49 Raw'!S125</f>
        <v>2.3165019999999998</v>
      </c>
      <c r="Q138" s="18">
        <f>'AEO 2023 Table 49 Raw'!T125</f>
        <v>2.386161</v>
      </c>
      <c r="R138" s="18">
        <f>'AEO 2023 Table 49 Raw'!U125</f>
        <v>2.4562300000000001</v>
      </c>
      <c r="S138" s="18">
        <f>'AEO 2023 Table 49 Raw'!V125</f>
        <v>2.5262910000000001</v>
      </c>
      <c r="T138" s="18">
        <f>'AEO 2023 Table 49 Raw'!W125</f>
        <v>2.5965050000000001</v>
      </c>
      <c r="U138" s="18">
        <f>'AEO 2023 Table 49 Raw'!X125</f>
        <v>2.6668989999999999</v>
      </c>
      <c r="V138" s="18">
        <f>'AEO 2023 Table 49 Raw'!Y125</f>
        <v>2.740135</v>
      </c>
      <c r="W138" s="18">
        <f>'AEO 2023 Table 49 Raw'!Z125</f>
        <v>2.8113969999999999</v>
      </c>
      <c r="X138" s="18">
        <f>'AEO 2023 Table 49 Raw'!AA125</f>
        <v>2.8850440000000002</v>
      </c>
      <c r="Y138" s="18">
        <f>'AEO 2023 Table 49 Raw'!AB125</f>
        <v>2.9621379999999999</v>
      </c>
      <c r="Z138" s="18">
        <f>'AEO 2023 Table 49 Raw'!AC125</f>
        <v>3.0392920000000001</v>
      </c>
      <c r="AA138" s="18">
        <f>'AEO 2023 Table 49 Raw'!AD125</f>
        <v>3.1158380000000001</v>
      </c>
      <c r="AB138" s="18">
        <f>'AEO 2023 Table 49 Raw'!AE125</f>
        <v>3.1936939999999998</v>
      </c>
      <c r="AC138" s="18">
        <f>'AEO 2023 Table 49 Raw'!AF125</f>
        <v>3.2711389999999998</v>
      </c>
      <c r="AD138" s="18">
        <f>'AEO 2023 Table 49 Raw'!AG125</f>
        <v>3.3446229999999999</v>
      </c>
      <c r="AE138" s="18">
        <f>'AEO 2023 Table 49 Raw'!AH125</f>
        <v>3.4151910000000001</v>
      </c>
      <c r="AF138" s="30">
        <f>'AEO 2023 Table 49 Raw'!AI125</f>
        <v>3.5000000000000003E-2</v>
      </c>
    </row>
    <row r="139" spans="1:32" ht="12" customHeight="1">
      <c r="A139" s="7" t="s">
        <v>862</v>
      </c>
      <c r="B139" s="16" t="s">
        <v>382</v>
      </c>
      <c r="C139" s="18">
        <f>'AEO 2023 Table 49 Raw'!F126</f>
        <v>1.18E-4</v>
      </c>
      <c r="D139" s="18">
        <f>'AEO 2023 Table 49 Raw'!G126</f>
        <v>3.6200000000000002E-4</v>
      </c>
      <c r="E139" s="18">
        <f>'AEO 2023 Table 49 Raw'!H126</f>
        <v>6.1200000000000002E-4</v>
      </c>
      <c r="F139" s="18">
        <f>'AEO 2023 Table 49 Raw'!I126</f>
        <v>8.6600000000000002E-4</v>
      </c>
      <c r="G139" s="18">
        <f>'AEO 2023 Table 49 Raw'!J126</f>
        <v>1.1249999999999999E-3</v>
      </c>
      <c r="H139" s="18">
        <f>'AEO 2023 Table 49 Raw'!K126</f>
        <v>1.384E-3</v>
      </c>
      <c r="I139" s="18">
        <f>'AEO 2023 Table 49 Raw'!L126</f>
        <v>1.6490000000000001E-3</v>
      </c>
      <c r="J139" s="18">
        <f>'AEO 2023 Table 49 Raw'!M126</f>
        <v>1.9220000000000001E-3</v>
      </c>
      <c r="K139" s="18">
        <f>'AEO 2023 Table 49 Raw'!N126</f>
        <v>2.2049999999999999E-3</v>
      </c>
      <c r="L139" s="18">
        <f>'AEO 2023 Table 49 Raw'!O126</f>
        <v>2.4989999999999999E-3</v>
      </c>
      <c r="M139" s="18">
        <f>'AEO 2023 Table 49 Raw'!P126</f>
        <v>2.8089999999999999E-3</v>
      </c>
      <c r="N139" s="18">
        <f>'AEO 2023 Table 49 Raw'!Q126</f>
        <v>3.1350000000000002E-3</v>
      </c>
      <c r="O139" s="18">
        <f>'AEO 2023 Table 49 Raw'!R126</f>
        <v>3.454E-3</v>
      </c>
      <c r="P139" s="18">
        <f>'AEO 2023 Table 49 Raw'!S126</f>
        <v>3.7759999999999998E-3</v>
      </c>
      <c r="Q139" s="18">
        <f>'AEO 2023 Table 49 Raw'!T126</f>
        <v>4.1209999999999997E-3</v>
      </c>
      <c r="R139" s="18">
        <f>'AEO 2023 Table 49 Raw'!U126</f>
        <v>4.4949999999999999E-3</v>
      </c>
      <c r="S139" s="18">
        <f>'AEO 2023 Table 49 Raw'!V126</f>
        <v>4.9040000000000004E-3</v>
      </c>
      <c r="T139" s="18">
        <f>'AEO 2023 Table 49 Raw'!W126</f>
        <v>5.3540000000000003E-3</v>
      </c>
      <c r="U139" s="18">
        <f>'AEO 2023 Table 49 Raw'!X126</f>
        <v>5.8450000000000004E-3</v>
      </c>
      <c r="V139" s="18">
        <f>'AEO 2023 Table 49 Raw'!Y126</f>
        <v>6.3769999999999999E-3</v>
      </c>
      <c r="W139" s="18">
        <f>'AEO 2023 Table 49 Raw'!Z126</f>
        <v>6.9519999999999998E-3</v>
      </c>
      <c r="X139" s="18">
        <f>'AEO 2023 Table 49 Raw'!AA126</f>
        <v>7.5729999999999999E-3</v>
      </c>
      <c r="Y139" s="18">
        <f>'AEO 2023 Table 49 Raw'!AB126</f>
        <v>8.2400000000000008E-3</v>
      </c>
      <c r="Z139" s="18">
        <f>'AEO 2023 Table 49 Raw'!AC126</f>
        <v>8.9560000000000004E-3</v>
      </c>
      <c r="AA139" s="18">
        <f>'AEO 2023 Table 49 Raw'!AD126</f>
        <v>9.7230000000000007E-3</v>
      </c>
      <c r="AB139" s="18">
        <f>'AEO 2023 Table 49 Raw'!AE126</f>
        <v>1.0541999999999999E-2</v>
      </c>
      <c r="AC139" s="18">
        <f>'AEO 2023 Table 49 Raw'!AF126</f>
        <v>1.1409000000000001E-2</v>
      </c>
      <c r="AD139" s="18">
        <f>'AEO 2023 Table 49 Raw'!AG126</f>
        <v>1.2322E-2</v>
      </c>
      <c r="AE139" s="18">
        <f>'AEO 2023 Table 49 Raw'!AH126</f>
        <v>1.3278E-2</v>
      </c>
      <c r="AF139" s="30">
        <f>'AEO 2023 Table 49 Raw'!AI126</f>
        <v>0.184</v>
      </c>
    </row>
    <row r="140" spans="1:32" ht="12" customHeight="1">
      <c r="A140" s="7" t="s">
        <v>863</v>
      </c>
      <c r="B140" s="16" t="s">
        <v>741</v>
      </c>
      <c r="C140" s="18">
        <f>'AEO 2023 Table 49 Raw'!F127</f>
        <v>8.1099999999999998E-4</v>
      </c>
      <c r="D140" s="18">
        <f>'AEO 2023 Table 49 Raw'!G127</f>
        <v>8.0800000000000002E-4</v>
      </c>
      <c r="E140" s="18">
        <f>'AEO 2023 Table 49 Raw'!H127</f>
        <v>8.0500000000000005E-4</v>
      </c>
      <c r="F140" s="18">
        <f>'AEO 2023 Table 49 Raw'!I127</f>
        <v>8.0099999999999995E-4</v>
      </c>
      <c r="G140" s="18">
        <f>'AEO 2023 Table 49 Raw'!J127</f>
        <v>7.9600000000000005E-4</v>
      </c>
      <c r="H140" s="18">
        <f>'AEO 2023 Table 49 Raw'!K127</f>
        <v>7.9100000000000004E-4</v>
      </c>
      <c r="I140" s="18">
        <f>'AEO 2023 Table 49 Raw'!L127</f>
        <v>7.8399999999999997E-4</v>
      </c>
      <c r="J140" s="18">
        <f>'AEO 2023 Table 49 Raw'!M127</f>
        <v>7.7800000000000005E-4</v>
      </c>
      <c r="K140" s="18">
        <f>'AEO 2023 Table 49 Raw'!N127</f>
        <v>7.6999999999999996E-4</v>
      </c>
      <c r="L140" s="18">
        <f>'AEO 2023 Table 49 Raw'!O127</f>
        <v>7.6199999999999998E-4</v>
      </c>
      <c r="M140" s="18">
        <f>'AEO 2023 Table 49 Raw'!P127</f>
        <v>7.5299999999999998E-4</v>
      </c>
      <c r="N140" s="18">
        <f>'AEO 2023 Table 49 Raw'!Q127</f>
        <v>7.4299999999999995E-4</v>
      </c>
      <c r="O140" s="18">
        <f>'AEO 2023 Table 49 Raw'!R127</f>
        <v>7.3300000000000004E-4</v>
      </c>
      <c r="P140" s="18">
        <f>'AEO 2023 Table 49 Raw'!S127</f>
        <v>7.2199999999999999E-4</v>
      </c>
      <c r="Q140" s="18">
        <f>'AEO 2023 Table 49 Raw'!T127</f>
        <v>7.1100000000000004E-4</v>
      </c>
      <c r="R140" s="18">
        <f>'AEO 2023 Table 49 Raw'!U127</f>
        <v>6.9899999999999997E-4</v>
      </c>
      <c r="S140" s="18">
        <f>'AEO 2023 Table 49 Raw'!V127</f>
        <v>6.8599999999999998E-4</v>
      </c>
      <c r="T140" s="18">
        <f>'AEO 2023 Table 49 Raw'!W127</f>
        <v>6.7299999999999999E-4</v>
      </c>
      <c r="U140" s="18">
        <f>'AEO 2023 Table 49 Raw'!X127</f>
        <v>6.6E-4</v>
      </c>
      <c r="V140" s="18">
        <f>'AEO 2023 Table 49 Raw'!Y127</f>
        <v>6.4599999999999998E-4</v>
      </c>
      <c r="W140" s="18">
        <f>'AEO 2023 Table 49 Raw'!Z127</f>
        <v>6.3199999999999997E-4</v>
      </c>
      <c r="X140" s="18">
        <f>'AEO 2023 Table 49 Raw'!AA127</f>
        <v>6.1700000000000004E-4</v>
      </c>
      <c r="Y140" s="18">
        <f>'AEO 2023 Table 49 Raw'!AB127</f>
        <v>6.02E-4</v>
      </c>
      <c r="Z140" s="18">
        <f>'AEO 2023 Table 49 Raw'!AC127</f>
        <v>5.8699999999999996E-4</v>
      </c>
      <c r="AA140" s="18">
        <f>'AEO 2023 Table 49 Raw'!AD127</f>
        <v>5.6400000000000005E-4</v>
      </c>
      <c r="AB140" s="18">
        <f>'AEO 2023 Table 49 Raw'!AE127</f>
        <v>5.2999999999999998E-4</v>
      </c>
      <c r="AC140" s="18">
        <f>'AEO 2023 Table 49 Raw'!AF127</f>
        <v>4.8200000000000001E-4</v>
      </c>
      <c r="AD140" s="18">
        <f>'AEO 2023 Table 49 Raw'!AG127</f>
        <v>4.2700000000000002E-4</v>
      </c>
      <c r="AE140" s="18">
        <f>'AEO 2023 Table 49 Raw'!AH127</f>
        <v>3.5799999999999997E-4</v>
      </c>
      <c r="AF140" s="30">
        <f>'AEO 2023 Table 49 Raw'!AI127</f>
        <v>-2.9000000000000001E-2</v>
      </c>
    </row>
    <row r="141" spans="1:32" ht="12" customHeight="1">
      <c r="A141" s="7" t="s">
        <v>864</v>
      </c>
      <c r="B141" s="16" t="s">
        <v>743</v>
      </c>
      <c r="C141" s="18">
        <f>'AEO 2023 Table 49 Raw'!F128</f>
        <v>0.22939300000000001</v>
      </c>
      <c r="D141" s="18">
        <f>'AEO 2023 Table 49 Raw'!G128</f>
        <v>0.24005599999999999</v>
      </c>
      <c r="E141" s="18">
        <f>'AEO 2023 Table 49 Raw'!H128</f>
        <v>0.250585</v>
      </c>
      <c r="F141" s="18">
        <f>'AEO 2023 Table 49 Raw'!I128</f>
        <v>0.26078800000000002</v>
      </c>
      <c r="G141" s="18">
        <f>'AEO 2023 Table 49 Raw'!J128</f>
        <v>0.27049899999999999</v>
      </c>
      <c r="H141" s="18">
        <f>'AEO 2023 Table 49 Raw'!K128</f>
        <v>0.27981400000000001</v>
      </c>
      <c r="I141" s="18">
        <f>'AEO 2023 Table 49 Raw'!L128</f>
        <v>0.28869499999999998</v>
      </c>
      <c r="J141" s="18">
        <f>'AEO 2023 Table 49 Raw'!M128</f>
        <v>0.29727199999999998</v>
      </c>
      <c r="K141" s="18">
        <f>'AEO 2023 Table 49 Raw'!N128</f>
        <v>0.30555500000000002</v>
      </c>
      <c r="L141" s="18">
        <f>'AEO 2023 Table 49 Raw'!O128</f>
        <v>0.31373000000000001</v>
      </c>
      <c r="M141" s="18">
        <f>'AEO 2023 Table 49 Raw'!P128</f>
        <v>0.321961</v>
      </c>
      <c r="N141" s="18">
        <f>'AEO 2023 Table 49 Raw'!Q128</f>
        <v>0.33024900000000001</v>
      </c>
      <c r="O141" s="18">
        <f>'AEO 2023 Table 49 Raw'!R128</f>
        <v>0.33824700000000002</v>
      </c>
      <c r="P141" s="18">
        <f>'AEO 2023 Table 49 Raw'!S128</f>
        <v>0.34599299999999999</v>
      </c>
      <c r="Q141" s="18">
        <f>'AEO 2023 Table 49 Raw'!T128</f>
        <v>0.35356300000000002</v>
      </c>
      <c r="R141" s="18">
        <f>'AEO 2023 Table 49 Raw'!U128</f>
        <v>0.36109599999999997</v>
      </c>
      <c r="S141" s="18">
        <f>'AEO 2023 Table 49 Raw'!V128</f>
        <v>0.368676</v>
      </c>
      <c r="T141" s="18">
        <f>'AEO 2023 Table 49 Raw'!W128</f>
        <v>0.376357</v>
      </c>
      <c r="U141" s="18">
        <f>'AEO 2023 Table 49 Raw'!X128</f>
        <v>0.384127</v>
      </c>
      <c r="V141" s="18">
        <f>'AEO 2023 Table 49 Raw'!Y128</f>
        <v>0.39127699999999999</v>
      </c>
      <c r="W141" s="18">
        <f>'AEO 2023 Table 49 Raw'!Z128</f>
        <v>0.398395</v>
      </c>
      <c r="X141" s="18">
        <f>'AEO 2023 Table 49 Raw'!AA128</f>
        <v>0.405416</v>
      </c>
      <c r="Y141" s="18">
        <f>'AEO 2023 Table 49 Raw'!AB128</f>
        <v>0.41114600000000001</v>
      </c>
      <c r="Z141" s="18">
        <f>'AEO 2023 Table 49 Raw'!AC128</f>
        <v>0.41387200000000002</v>
      </c>
      <c r="AA141" s="18">
        <f>'AEO 2023 Table 49 Raw'!AD128</f>
        <v>0.414489</v>
      </c>
      <c r="AB141" s="18">
        <f>'AEO 2023 Table 49 Raw'!AE128</f>
        <v>0.41369699999999998</v>
      </c>
      <c r="AC141" s="18">
        <f>'AEO 2023 Table 49 Raw'!AF128</f>
        <v>0.41261599999999998</v>
      </c>
      <c r="AD141" s="18">
        <f>'AEO 2023 Table 49 Raw'!AG128</f>
        <v>0.40854600000000002</v>
      </c>
      <c r="AE141" s="18">
        <f>'AEO 2023 Table 49 Raw'!AH128</f>
        <v>0.40374700000000002</v>
      </c>
      <c r="AF141" s="30">
        <f>'AEO 2023 Table 49 Raw'!AI128</f>
        <v>0.02</v>
      </c>
    </row>
    <row r="142" spans="1:32" ht="12" customHeight="1">
      <c r="A142" s="7" t="s">
        <v>865</v>
      </c>
      <c r="B142" s="16" t="s">
        <v>745</v>
      </c>
      <c r="C142" s="18">
        <f>'AEO 2023 Table 49 Raw'!F129</f>
        <v>6.7000000000000002E-5</v>
      </c>
      <c r="D142" s="18">
        <f>'AEO 2023 Table 49 Raw'!G129</f>
        <v>6.6000000000000005E-5</v>
      </c>
      <c r="E142" s="18">
        <f>'AEO 2023 Table 49 Raw'!H129</f>
        <v>6.4999999999999994E-5</v>
      </c>
      <c r="F142" s="18">
        <f>'AEO 2023 Table 49 Raw'!I129</f>
        <v>6.4999999999999994E-5</v>
      </c>
      <c r="G142" s="18">
        <f>'AEO 2023 Table 49 Raw'!J129</f>
        <v>6.3999999999999997E-5</v>
      </c>
      <c r="H142" s="18">
        <f>'AEO 2023 Table 49 Raw'!K129</f>
        <v>6.3E-5</v>
      </c>
      <c r="I142" s="18">
        <f>'AEO 2023 Table 49 Raw'!L129</f>
        <v>6.2000000000000003E-5</v>
      </c>
      <c r="J142" s="18">
        <f>'AEO 2023 Table 49 Raw'!M129</f>
        <v>6.0999999999999999E-5</v>
      </c>
      <c r="K142" s="18">
        <f>'AEO 2023 Table 49 Raw'!N129</f>
        <v>6.0000000000000002E-5</v>
      </c>
      <c r="L142" s="18">
        <f>'AEO 2023 Table 49 Raw'!O129</f>
        <v>5.8999999999999998E-5</v>
      </c>
      <c r="M142" s="18">
        <f>'AEO 2023 Table 49 Raw'!P129</f>
        <v>5.8E-5</v>
      </c>
      <c r="N142" s="18">
        <f>'AEO 2023 Table 49 Raw'!Q129</f>
        <v>5.7000000000000003E-5</v>
      </c>
      <c r="O142" s="18">
        <f>'AEO 2023 Table 49 Raw'!R129</f>
        <v>5.5999999999999999E-5</v>
      </c>
      <c r="P142" s="18">
        <f>'AEO 2023 Table 49 Raw'!S129</f>
        <v>5.5000000000000002E-5</v>
      </c>
      <c r="Q142" s="18">
        <f>'AEO 2023 Table 49 Raw'!T129</f>
        <v>5.3999999999999998E-5</v>
      </c>
      <c r="R142" s="18">
        <f>'AEO 2023 Table 49 Raw'!U129</f>
        <v>5.3000000000000001E-5</v>
      </c>
      <c r="S142" s="18">
        <f>'AEO 2023 Table 49 Raw'!V129</f>
        <v>5.1E-5</v>
      </c>
      <c r="T142" s="18">
        <f>'AEO 2023 Table 49 Raw'!W129</f>
        <v>5.0000000000000002E-5</v>
      </c>
      <c r="U142" s="18">
        <f>'AEO 2023 Table 49 Raw'!X129</f>
        <v>4.8999999999999998E-5</v>
      </c>
      <c r="V142" s="18">
        <f>'AEO 2023 Table 49 Raw'!Y129</f>
        <v>4.6999999999999997E-5</v>
      </c>
      <c r="W142" s="18">
        <f>'AEO 2023 Table 49 Raw'!Z129</f>
        <v>4.6E-5</v>
      </c>
      <c r="X142" s="18">
        <f>'AEO 2023 Table 49 Raw'!AA129</f>
        <v>4.5000000000000003E-5</v>
      </c>
      <c r="Y142" s="18">
        <f>'AEO 2023 Table 49 Raw'!AB129</f>
        <v>3.6000000000000001E-5</v>
      </c>
      <c r="Z142" s="18">
        <f>'AEO 2023 Table 49 Raw'!AC129</f>
        <v>2.5000000000000001E-5</v>
      </c>
      <c r="AA142" s="18">
        <f>'AEO 2023 Table 49 Raw'!AD129</f>
        <v>1.8E-5</v>
      </c>
      <c r="AB142" s="18">
        <f>'AEO 2023 Table 49 Raw'!AE129</f>
        <v>1.2E-5</v>
      </c>
      <c r="AC142" s="18">
        <f>'AEO 2023 Table 49 Raw'!AF129</f>
        <v>9.0000000000000002E-6</v>
      </c>
      <c r="AD142" s="18">
        <f>'AEO 2023 Table 49 Raw'!AG129</f>
        <v>6.0000000000000002E-6</v>
      </c>
      <c r="AE142" s="18">
        <f>'AEO 2023 Table 49 Raw'!AH129</f>
        <v>3.9999999999999998E-6</v>
      </c>
      <c r="AF142" s="30">
        <f>'AEO 2023 Table 49 Raw'!AI129</f>
        <v>-9.4E-2</v>
      </c>
    </row>
    <row r="143" spans="1:32" ht="12" customHeight="1">
      <c r="A143" s="7" t="s">
        <v>866</v>
      </c>
      <c r="B143" s="16" t="s">
        <v>747</v>
      </c>
      <c r="C143" s="18">
        <f>'AEO 2023 Table 49 Raw'!F130</f>
        <v>0</v>
      </c>
      <c r="D143" s="18">
        <f>'AEO 2023 Table 49 Raw'!G130</f>
        <v>2.8200000000000002E-4</v>
      </c>
      <c r="E143" s="18">
        <f>'AEO 2023 Table 49 Raw'!H130</f>
        <v>5.7499999999999999E-4</v>
      </c>
      <c r="F143" s="18">
        <f>'AEO 2023 Table 49 Raw'!I130</f>
        <v>8.8099999999999995E-4</v>
      </c>
      <c r="G143" s="18">
        <f>'AEO 2023 Table 49 Raw'!J130</f>
        <v>1.1950000000000001E-3</v>
      </c>
      <c r="H143" s="18">
        <f>'AEO 2023 Table 49 Raw'!K130</f>
        <v>1.5139999999999999E-3</v>
      </c>
      <c r="I143" s="18">
        <f>'AEO 2023 Table 49 Raw'!L130</f>
        <v>1.8469999999999999E-3</v>
      </c>
      <c r="J143" s="18">
        <f>'AEO 2023 Table 49 Raw'!M130</f>
        <v>2.1979999999999999E-3</v>
      </c>
      <c r="K143" s="18">
        <f>'AEO 2023 Table 49 Raw'!N130</f>
        <v>2.5669999999999998E-3</v>
      </c>
      <c r="L143" s="18">
        <f>'AEO 2023 Table 49 Raw'!O130</f>
        <v>2.9580000000000001E-3</v>
      </c>
      <c r="M143" s="18">
        <f>'AEO 2023 Table 49 Raw'!P130</f>
        <v>3.382E-3</v>
      </c>
      <c r="N143" s="18">
        <f>'AEO 2023 Table 49 Raw'!Q130</f>
        <v>3.8400000000000001E-3</v>
      </c>
      <c r="O143" s="18">
        <f>'AEO 2023 Table 49 Raw'!R130</f>
        <v>4.3239999999999997E-3</v>
      </c>
      <c r="P143" s="18">
        <f>'AEO 2023 Table 49 Raw'!S130</f>
        <v>4.8380000000000003E-3</v>
      </c>
      <c r="Q143" s="18">
        <f>'AEO 2023 Table 49 Raw'!T130</f>
        <v>5.3940000000000004E-3</v>
      </c>
      <c r="R143" s="18">
        <f>'AEO 2023 Table 49 Raw'!U130</f>
        <v>6.0020000000000004E-3</v>
      </c>
      <c r="S143" s="18">
        <f>'AEO 2023 Table 49 Raw'!V130</f>
        <v>6.6779999999999999E-3</v>
      </c>
      <c r="T143" s="18">
        <f>'AEO 2023 Table 49 Raw'!W130</f>
        <v>7.43E-3</v>
      </c>
      <c r="U143" s="18">
        <f>'AEO 2023 Table 49 Raw'!X130</f>
        <v>8.2640000000000005E-3</v>
      </c>
      <c r="V143" s="18">
        <f>'AEO 2023 Table 49 Raw'!Y130</f>
        <v>9.1809999999999999E-3</v>
      </c>
      <c r="W143" s="18">
        <f>'AEO 2023 Table 49 Raw'!Z130</f>
        <v>1.0181000000000001E-2</v>
      </c>
      <c r="X143" s="18">
        <f>'AEO 2023 Table 49 Raw'!AA130</f>
        <v>1.1261E-2</v>
      </c>
      <c r="Y143" s="18">
        <f>'AEO 2023 Table 49 Raw'!AB130</f>
        <v>1.2409999999999999E-2</v>
      </c>
      <c r="Z143" s="18">
        <f>'AEO 2023 Table 49 Raw'!AC130</f>
        <v>1.3627999999999999E-2</v>
      </c>
      <c r="AA143" s="18">
        <f>'AEO 2023 Table 49 Raw'!AD130</f>
        <v>1.4914999999999999E-2</v>
      </c>
      <c r="AB143" s="18">
        <f>'AEO 2023 Table 49 Raw'!AE130</f>
        <v>1.6265000000000002E-2</v>
      </c>
      <c r="AC143" s="18">
        <f>'AEO 2023 Table 49 Raw'!AF130</f>
        <v>1.7672E-2</v>
      </c>
      <c r="AD143" s="18">
        <f>'AEO 2023 Table 49 Raw'!AG130</f>
        <v>1.9127000000000002E-2</v>
      </c>
      <c r="AE143" s="18">
        <f>'AEO 2023 Table 49 Raw'!AH130</f>
        <v>2.0625000000000001E-2</v>
      </c>
      <c r="AF143" s="30" t="str">
        <f>'AEO 2023 Table 49 Raw'!AI130</f>
        <v>- -</v>
      </c>
    </row>
    <row r="144" spans="1:32" ht="12" customHeight="1">
      <c r="A144" s="7" t="s">
        <v>867</v>
      </c>
      <c r="B144" s="16" t="s">
        <v>749</v>
      </c>
      <c r="C144" s="18">
        <f>'AEO 2023 Table 49 Raw'!F131</f>
        <v>0</v>
      </c>
      <c r="D144" s="18">
        <f>'AEO 2023 Table 49 Raw'!G131</f>
        <v>3.0699999999999998E-4</v>
      </c>
      <c r="E144" s="18">
        <f>'AEO 2023 Table 49 Raw'!H131</f>
        <v>6.1899999999999998E-4</v>
      </c>
      <c r="F144" s="18">
        <f>'AEO 2023 Table 49 Raw'!I131</f>
        <v>9.3800000000000003E-4</v>
      </c>
      <c r="G144" s="18">
        <f>'AEO 2023 Table 49 Raw'!J131</f>
        <v>1.258E-3</v>
      </c>
      <c r="H144" s="18">
        <f>'AEO 2023 Table 49 Raw'!K131</f>
        <v>1.5770000000000001E-3</v>
      </c>
      <c r="I144" s="18">
        <f>'AEO 2023 Table 49 Raw'!L131</f>
        <v>1.9040000000000001E-3</v>
      </c>
      <c r="J144" s="18">
        <f>'AEO 2023 Table 49 Raw'!M131</f>
        <v>2.2420000000000001E-3</v>
      </c>
      <c r="K144" s="18">
        <f>'AEO 2023 Table 49 Raw'!N131</f>
        <v>2.5929999999999998E-3</v>
      </c>
      <c r="L144" s="18">
        <f>'AEO 2023 Table 49 Raw'!O131</f>
        <v>2.9659999999999999E-3</v>
      </c>
      <c r="M144" s="18">
        <f>'AEO 2023 Table 49 Raw'!P131</f>
        <v>3.372E-3</v>
      </c>
      <c r="N144" s="18">
        <f>'AEO 2023 Table 49 Raw'!Q131</f>
        <v>3.8159999999999999E-3</v>
      </c>
      <c r="O144" s="18">
        <f>'AEO 2023 Table 49 Raw'!R131</f>
        <v>4.2909999999999997E-3</v>
      </c>
      <c r="P144" s="18">
        <f>'AEO 2023 Table 49 Raw'!S131</f>
        <v>4.8040000000000001E-3</v>
      </c>
      <c r="Q144" s="18">
        <f>'AEO 2023 Table 49 Raw'!T131</f>
        <v>5.3660000000000001E-3</v>
      </c>
      <c r="R144" s="18">
        <f>'AEO 2023 Table 49 Raw'!U131</f>
        <v>5.9919999999999999E-3</v>
      </c>
      <c r="S144" s="18">
        <f>'AEO 2023 Table 49 Raw'!V131</f>
        <v>6.6959999999999997E-3</v>
      </c>
      <c r="T144" s="18">
        <f>'AEO 2023 Table 49 Raw'!W131</f>
        <v>7.4910000000000003E-3</v>
      </c>
      <c r="U144" s="18">
        <f>'AEO 2023 Table 49 Raw'!X131</f>
        <v>8.3840000000000008E-3</v>
      </c>
      <c r="V144" s="18">
        <f>'AEO 2023 Table 49 Raw'!Y131</f>
        <v>9.3779999999999992E-3</v>
      </c>
      <c r="W144" s="18">
        <f>'AEO 2023 Table 49 Raw'!Z131</f>
        <v>1.0472E-2</v>
      </c>
      <c r="X144" s="18">
        <f>'AEO 2023 Table 49 Raw'!AA131</f>
        <v>1.166E-2</v>
      </c>
      <c r="Y144" s="18">
        <f>'AEO 2023 Table 49 Raw'!AB131</f>
        <v>1.2933E-2</v>
      </c>
      <c r="Z144" s="18">
        <f>'AEO 2023 Table 49 Raw'!AC131</f>
        <v>1.4290000000000001E-2</v>
      </c>
      <c r="AA144" s="18">
        <f>'AEO 2023 Table 49 Raw'!AD131</f>
        <v>1.5731999999999999E-2</v>
      </c>
      <c r="AB144" s="18">
        <f>'AEO 2023 Table 49 Raw'!AE131</f>
        <v>1.7247999999999999E-2</v>
      </c>
      <c r="AC144" s="18">
        <f>'AEO 2023 Table 49 Raw'!AF131</f>
        <v>1.8831000000000001E-2</v>
      </c>
      <c r="AD144" s="18">
        <f>'AEO 2023 Table 49 Raw'!AG131</f>
        <v>2.0472000000000001E-2</v>
      </c>
      <c r="AE144" s="18">
        <f>'AEO 2023 Table 49 Raw'!AH131</f>
        <v>2.2161E-2</v>
      </c>
      <c r="AF144" s="30" t="str">
        <f>'AEO 2023 Table 49 Raw'!AI131</f>
        <v>- -</v>
      </c>
    </row>
    <row r="145" spans="1:32" ht="12" customHeight="1">
      <c r="A145" s="7" t="s">
        <v>868</v>
      </c>
      <c r="B145" s="16" t="s">
        <v>751</v>
      </c>
      <c r="C145" s="18">
        <f>'AEO 2023 Table 49 Raw'!F132</f>
        <v>0</v>
      </c>
      <c r="D145" s="18">
        <f>'AEO 2023 Table 49 Raw'!G132</f>
        <v>0</v>
      </c>
      <c r="E145" s="18">
        <f>'AEO 2023 Table 49 Raw'!H132</f>
        <v>0</v>
      </c>
      <c r="F145" s="18">
        <f>'AEO 2023 Table 49 Raw'!I132</f>
        <v>0</v>
      </c>
      <c r="G145" s="18">
        <f>'AEO 2023 Table 49 Raw'!J132</f>
        <v>0</v>
      </c>
      <c r="H145" s="18">
        <f>'AEO 2023 Table 49 Raw'!K132</f>
        <v>0</v>
      </c>
      <c r="I145" s="18">
        <f>'AEO 2023 Table 49 Raw'!L132</f>
        <v>0</v>
      </c>
      <c r="J145" s="18">
        <f>'AEO 2023 Table 49 Raw'!M132</f>
        <v>9.9999999999999995E-7</v>
      </c>
      <c r="K145" s="18">
        <f>'AEO 2023 Table 49 Raw'!N132</f>
        <v>9.9999999999999995E-7</v>
      </c>
      <c r="L145" s="18">
        <f>'AEO 2023 Table 49 Raw'!O132</f>
        <v>9.9999999999999995E-7</v>
      </c>
      <c r="M145" s="18">
        <f>'AEO 2023 Table 49 Raw'!P132</f>
        <v>9.9999999999999995E-7</v>
      </c>
      <c r="N145" s="18">
        <f>'AEO 2023 Table 49 Raw'!Q132</f>
        <v>9.9999999999999995E-7</v>
      </c>
      <c r="O145" s="18">
        <f>'AEO 2023 Table 49 Raw'!R132</f>
        <v>9.9999999999999995E-7</v>
      </c>
      <c r="P145" s="18">
        <f>'AEO 2023 Table 49 Raw'!S132</f>
        <v>9.9999999999999995E-7</v>
      </c>
      <c r="Q145" s="18">
        <f>'AEO 2023 Table 49 Raw'!T132</f>
        <v>9.9999999999999995E-7</v>
      </c>
      <c r="R145" s="18">
        <f>'AEO 2023 Table 49 Raw'!U132</f>
        <v>9.9999999999999995E-7</v>
      </c>
      <c r="S145" s="18">
        <f>'AEO 2023 Table 49 Raw'!V132</f>
        <v>9.9999999999999995E-7</v>
      </c>
      <c r="T145" s="18">
        <f>'AEO 2023 Table 49 Raw'!W132</f>
        <v>1.9999999999999999E-6</v>
      </c>
      <c r="U145" s="18">
        <f>'AEO 2023 Table 49 Raw'!X132</f>
        <v>1.9999999999999999E-6</v>
      </c>
      <c r="V145" s="18">
        <f>'AEO 2023 Table 49 Raw'!Y132</f>
        <v>1.9999999999999999E-6</v>
      </c>
      <c r="W145" s="18">
        <f>'AEO 2023 Table 49 Raw'!Z132</f>
        <v>1.9999999999999999E-6</v>
      </c>
      <c r="X145" s="18">
        <f>'AEO 2023 Table 49 Raw'!AA132</f>
        <v>1.9999999999999999E-6</v>
      </c>
      <c r="Y145" s="18">
        <f>'AEO 2023 Table 49 Raw'!AB132</f>
        <v>1.9999999999999999E-6</v>
      </c>
      <c r="Z145" s="18">
        <f>'AEO 2023 Table 49 Raw'!AC132</f>
        <v>1.9999999999999999E-6</v>
      </c>
      <c r="AA145" s="18">
        <f>'AEO 2023 Table 49 Raw'!AD132</f>
        <v>1.9999999999999999E-6</v>
      </c>
      <c r="AB145" s="18">
        <f>'AEO 2023 Table 49 Raw'!AE132</f>
        <v>1.9999999999999999E-6</v>
      </c>
      <c r="AC145" s="18">
        <f>'AEO 2023 Table 49 Raw'!AF132</f>
        <v>1.9999999999999999E-6</v>
      </c>
      <c r="AD145" s="18">
        <f>'AEO 2023 Table 49 Raw'!AG132</f>
        <v>1.9999999999999999E-6</v>
      </c>
      <c r="AE145" s="18">
        <f>'AEO 2023 Table 49 Raw'!AH132</f>
        <v>1.9999999999999999E-6</v>
      </c>
      <c r="AF145" s="30" t="str">
        <f>'AEO 2023 Table 49 Raw'!AI132</f>
        <v>- -</v>
      </c>
    </row>
    <row r="146" spans="1:32" ht="12" customHeight="1">
      <c r="A146" s="7" t="s">
        <v>869</v>
      </c>
      <c r="B146" s="16" t="s">
        <v>753</v>
      </c>
      <c r="C146" s="18">
        <f>'AEO 2023 Table 49 Raw'!F133</f>
        <v>4.5572350000000004</v>
      </c>
      <c r="D146" s="18">
        <f>'AEO 2023 Table 49 Raw'!G133</f>
        <v>4.7015169999999999</v>
      </c>
      <c r="E146" s="18">
        <f>'AEO 2023 Table 49 Raw'!H133</f>
        <v>4.8540369999999999</v>
      </c>
      <c r="F146" s="18">
        <f>'AEO 2023 Table 49 Raw'!I133</f>
        <v>5.0171279999999996</v>
      </c>
      <c r="G146" s="18">
        <f>'AEO 2023 Table 49 Raw'!J133</f>
        <v>5.1817539999999997</v>
      </c>
      <c r="H146" s="18">
        <f>'AEO 2023 Table 49 Raw'!K133</f>
        <v>5.3421240000000001</v>
      </c>
      <c r="I146" s="18">
        <f>'AEO 2023 Table 49 Raw'!L133</f>
        <v>5.4993150000000002</v>
      </c>
      <c r="J146" s="18">
        <f>'AEO 2023 Table 49 Raw'!M133</f>
        <v>5.6528340000000004</v>
      </c>
      <c r="K146" s="18">
        <f>'AEO 2023 Table 49 Raw'!N133</f>
        <v>5.8014460000000003</v>
      </c>
      <c r="L146" s="18">
        <f>'AEO 2023 Table 49 Raw'!O133</f>
        <v>5.9443580000000003</v>
      </c>
      <c r="M146" s="18">
        <f>'AEO 2023 Table 49 Raw'!P133</f>
        <v>6.0898839999999996</v>
      </c>
      <c r="N146" s="18">
        <f>'AEO 2023 Table 49 Raw'!Q133</f>
        <v>6.2288509999999997</v>
      </c>
      <c r="O146" s="18">
        <f>'AEO 2023 Table 49 Raw'!R133</f>
        <v>6.3593000000000002</v>
      </c>
      <c r="P146" s="18">
        <f>'AEO 2023 Table 49 Raw'!S133</f>
        <v>6.4799410000000002</v>
      </c>
      <c r="Q146" s="18">
        <f>'AEO 2023 Table 49 Raw'!T133</f>
        <v>6.5985399999999998</v>
      </c>
      <c r="R146" s="18">
        <f>'AEO 2023 Table 49 Raw'!U133</f>
        <v>6.7175419999999999</v>
      </c>
      <c r="S146" s="18">
        <f>'AEO 2023 Table 49 Raw'!V133</f>
        <v>6.8385049999999996</v>
      </c>
      <c r="T146" s="18">
        <f>'AEO 2023 Table 49 Raw'!W133</f>
        <v>6.9594290000000001</v>
      </c>
      <c r="U146" s="18">
        <f>'AEO 2023 Table 49 Raw'!X133</f>
        <v>7.0788570000000002</v>
      </c>
      <c r="V146" s="18">
        <f>'AEO 2023 Table 49 Raw'!Y133</f>
        <v>7.2028530000000002</v>
      </c>
      <c r="W146" s="18">
        <f>'AEO 2023 Table 49 Raw'!Z133</f>
        <v>7.3254200000000003</v>
      </c>
      <c r="X146" s="18">
        <f>'AEO 2023 Table 49 Raw'!AA133</f>
        <v>7.4569270000000003</v>
      </c>
      <c r="Y146" s="18">
        <f>'AEO 2023 Table 49 Raw'!AB133</f>
        <v>7.5941330000000002</v>
      </c>
      <c r="Z146" s="18">
        <f>'AEO 2023 Table 49 Raw'!AC133</f>
        <v>7.7256629999999999</v>
      </c>
      <c r="AA146" s="18">
        <f>'AEO 2023 Table 49 Raw'!AD133</f>
        <v>7.8520909999999997</v>
      </c>
      <c r="AB146" s="18">
        <f>'AEO 2023 Table 49 Raw'!AE133</f>
        <v>7.9811259999999997</v>
      </c>
      <c r="AC146" s="18">
        <f>'AEO 2023 Table 49 Raw'!AF133</f>
        <v>8.1111160000000009</v>
      </c>
      <c r="AD146" s="18">
        <f>'AEO 2023 Table 49 Raw'!AG133</f>
        <v>8.2307199999999998</v>
      </c>
      <c r="AE146" s="18">
        <f>'AEO 2023 Table 49 Raw'!AH133</f>
        <v>8.3459269999999997</v>
      </c>
      <c r="AF146" s="30">
        <f>'AEO 2023 Table 49 Raw'!AI133</f>
        <v>2.1999999999999999E-2</v>
      </c>
    </row>
    <row r="147" spans="1:32" ht="12" customHeight="1">
      <c r="B147" s="15" t="s">
        <v>754</v>
      </c>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30"/>
    </row>
    <row r="148" spans="1:32" ht="12" customHeight="1">
      <c r="A148" s="7" t="s">
        <v>870</v>
      </c>
      <c r="B148" s="16" t="s">
        <v>736</v>
      </c>
      <c r="C148" s="18">
        <f>'AEO 2023 Table 49 Raw'!F135</f>
        <v>2.238826</v>
      </c>
      <c r="D148" s="18">
        <f>'AEO 2023 Table 49 Raw'!G135</f>
        <v>2.2633740000000002</v>
      </c>
      <c r="E148" s="18">
        <f>'AEO 2023 Table 49 Raw'!H135</f>
        <v>2.2858019999999999</v>
      </c>
      <c r="F148" s="18">
        <f>'AEO 2023 Table 49 Raw'!I135</f>
        <v>2.3155199999999998</v>
      </c>
      <c r="G148" s="18">
        <f>'AEO 2023 Table 49 Raw'!J135</f>
        <v>2.3517480000000002</v>
      </c>
      <c r="H148" s="18">
        <f>'AEO 2023 Table 49 Raw'!K135</f>
        <v>2.3905979999999998</v>
      </c>
      <c r="I148" s="18">
        <f>'AEO 2023 Table 49 Raw'!L135</f>
        <v>2.4309340000000002</v>
      </c>
      <c r="J148" s="18">
        <f>'AEO 2023 Table 49 Raw'!M135</f>
        <v>2.4686080000000001</v>
      </c>
      <c r="K148" s="18">
        <f>'AEO 2023 Table 49 Raw'!N135</f>
        <v>2.5038360000000002</v>
      </c>
      <c r="L148" s="18">
        <f>'AEO 2023 Table 49 Raw'!O135</f>
        <v>2.5353509999999999</v>
      </c>
      <c r="M148" s="18">
        <f>'AEO 2023 Table 49 Raw'!P135</f>
        <v>2.5670540000000002</v>
      </c>
      <c r="N148" s="18">
        <f>'AEO 2023 Table 49 Raw'!Q135</f>
        <v>2.5941019999999999</v>
      </c>
      <c r="O148" s="18">
        <f>'AEO 2023 Table 49 Raw'!R135</f>
        <v>2.6154500000000001</v>
      </c>
      <c r="P148" s="18">
        <f>'AEO 2023 Table 49 Raw'!S135</f>
        <v>2.6355559999999998</v>
      </c>
      <c r="Q148" s="18">
        <f>'AEO 2023 Table 49 Raw'!T135</f>
        <v>2.6571289999999999</v>
      </c>
      <c r="R148" s="18">
        <f>'AEO 2023 Table 49 Raw'!U135</f>
        <v>2.6805840000000001</v>
      </c>
      <c r="S148" s="18">
        <f>'AEO 2023 Table 49 Raw'!V135</f>
        <v>2.705066</v>
      </c>
      <c r="T148" s="18">
        <f>'AEO 2023 Table 49 Raw'!W135</f>
        <v>2.7292969999999999</v>
      </c>
      <c r="U148" s="18">
        <f>'AEO 2023 Table 49 Raw'!X135</f>
        <v>2.75204</v>
      </c>
      <c r="V148" s="18">
        <f>'AEO 2023 Table 49 Raw'!Y135</f>
        <v>2.772637</v>
      </c>
      <c r="W148" s="18">
        <f>'AEO 2023 Table 49 Raw'!Z135</f>
        <v>2.7935240000000001</v>
      </c>
      <c r="X148" s="18">
        <f>'AEO 2023 Table 49 Raw'!AA135</f>
        <v>2.8207249999999999</v>
      </c>
      <c r="Y148" s="18">
        <f>'AEO 2023 Table 49 Raw'!AB135</f>
        <v>2.8527390000000001</v>
      </c>
      <c r="Z148" s="18">
        <f>'AEO 2023 Table 49 Raw'!AC135</f>
        <v>2.8844479999999999</v>
      </c>
      <c r="AA148" s="18">
        <f>'AEO 2023 Table 49 Raw'!AD135</f>
        <v>2.9134350000000002</v>
      </c>
      <c r="AB148" s="18">
        <f>'AEO 2023 Table 49 Raw'!AE135</f>
        <v>2.9424649999999999</v>
      </c>
      <c r="AC148" s="18">
        <f>'AEO 2023 Table 49 Raw'!AF135</f>
        <v>2.9714170000000002</v>
      </c>
      <c r="AD148" s="18">
        <f>'AEO 2023 Table 49 Raw'!AG135</f>
        <v>2.9997310000000001</v>
      </c>
      <c r="AE148" s="18">
        <f>'AEO 2023 Table 49 Raw'!AH135</f>
        <v>3.026831</v>
      </c>
      <c r="AF148" s="30">
        <f>'AEO 2023 Table 49 Raw'!AI135</f>
        <v>1.0999999999999999E-2</v>
      </c>
    </row>
    <row r="149" spans="1:32" ht="12" customHeight="1">
      <c r="A149" s="7" t="s">
        <v>871</v>
      </c>
      <c r="B149" s="16" t="s">
        <v>738</v>
      </c>
      <c r="C149" s="18">
        <f>'AEO 2023 Table 49 Raw'!F136</f>
        <v>1.4996799999999999</v>
      </c>
      <c r="D149" s="18">
        <f>'AEO 2023 Table 49 Raw'!G136</f>
        <v>1.4961500000000001</v>
      </c>
      <c r="E149" s="18">
        <f>'AEO 2023 Table 49 Raw'!H136</f>
        <v>1.4948760000000001</v>
      </c>
      <c r="F149" s="18">
        <f>'AEO 2023 Table 49 Raw'!I136</f>
        <v>1.501371</v>
      </c>
      <c r="G149" s="18">
        <f>'AEO 2023 Table 49 Raw'!J136</f>
        <v>1.5139609999999999</v>
      </c>
      <c r="H149" s="18">
        <f>'AEO 2023 Table 49 Raw'!K136</f>
        <v>1.530346</v>
      </c>
      <c r="I149" s="18">
        <f>'AEO 2023 Table 49 Raw'!L136</f>
        <v>1.5480689999999999</v>
      </c>
      <c r="J149" s="18">
        <f>'AEO 2023 Table 49 Raw'!M136</f>
        <v>1.565221</v>
      </c>
      <c r="K149" s="18">
        <f>'AEO 2023 Table 49 Raw'!N136</f>
        <v>1.581971</v>
      </c>
      <c r="L149" s="18">
        <f>'AEO 2023 Table 49 Raw'!O136</f>
        <v>1.595356</v>
      </c>
      <c r="M149" s="18">
        <f>'AEO 2023 Table 49 Raw'!P136</f>
        <v>1.6105339999999999</v>
      </c>
      <c r="N149" s="18">
        <f>'AEO 2023 Table 49 Raw'!Q136</f>
        <v>1.6222669999999999</v>
      </c>
      <c r="O149" s="18">
        <f>'AEO 2023 Table 49 Raw'!R136</f>
        <v>1.6313610000000001</v>
      </c>
      <c r="P149" s="18">
        <f>'AEO 2023 Table 49 Raw'!S136</f>
        <v>1.6416010000000001</v>
      </c>
      <c r="Q149" s="18">
        <f>'AEO 2023 Table 49 Raw'!T136</f>
        <v>1.65225</v>
      </c>
      <c r="R149" s="18">
        <f>'AEO 2023 Table 49 Raw'!U136</f>
        <v>1.6639839999999999</v>
      </c>
      <c r="S149" s="18">
        <f>'AEO 2023 Table 49 Raw'!V136</f>
        <v>1.6763749999999999</v>
      </c>
      <c r="T149" s="18">
        <f>'AEO 2023 Table 49 Raw'!W136</f>
        <v>1.690836</v>
      </c>
      <c r="U149" s="18">
        <f>'AEO 2023 Table 49 Raw'!X136</f>
        <v>1.7037960000000001</v>
      </c>
      <c r="V149" s="18">
        <f>'AEO 2023 Table 49 Raw'!Y136</f>
        <v>1.717433</v>
      </c>
      <c r="W149" s="18">
        <f>'AEO 2023 Table 49 Raw'!Z136</f>
        <v>1.7319560000000001</v>
      </c>
      <c r="X149" s="18">
        <f>'AEO 2023 Table 49 Raw'!AA136</f>
        <v>1.749482</v>
      </c>
      <c r="Y149" s="18">
        <f>'AEO 2023 Table 49 Raw'!AB136</f>
        <v>1.7689250000000001</v>
      </c>
      <c r="Z149" s="18">
        <f>'AEO 2023 Table 49 Raw'!AC136</f>
        <v>1.7867660000000001</v>
      </c>
      <c r="AA149" s="18">
        <f>'AEO 2023 Table 49 Raw'!AD136</f>
        <v>1.8028120000000001</v>
      </c>
      <c r="AB149" s="18">
        <f>'AEO 2023 Table 49 Raw'!AE136</f>
        <v>1.81793</v>
      </c>
      <c r="AC149" s="18">
        <f>'AEO 2023 Table 49 Raw'!AF136</f>
        <v>1.8325530000000001</v>
      </c>
      <c r="AD149" s="18">
        <f>'AEO 2023 Table 49 Raw'!AG136</f>
        <v>1.8473809999999999</v>
      </c>
      <c r="AE149" s="18">
        <f>'AEO 2023 Table 49 Raw'!AH136</f>
        <v>1.860595</v>
      </c>
      <c r="AF149" s="30">
        <f>'AEO 2023 Table 49 Raw'!AI136</f>
        <v>8.0000000000000002E-3</v>
      </c>
    </row>
    <row r="150" spans="1:32" ht="15" customHeight="1">
      <c r="A150" s="7" t="s">
        <v>872</v>
      </c>
      <c r="B150" s="16" t="s">
        <v>382</v>
      </c>
      <c r="C150" s="18">
        <f>'AEO 2023 Table 49 Raw'!F137</f>
        <v>2.483E-3</v>
      </c>
      <c r="D150" s="18">
        <f>'AEO 2023 Table 49 Raw'!G137</f>
        <v>2.4729999999999999E-3</v>
      </c>
      <c r="E150" s="18">
        <f>'AEO 2023 Table 49 Raw'!H137</f>
        <v>2.4919999999999999E-3</v>
      </c>
      <c r="F150" s="18">
        <f>'AEO 2023 Table 49 Raw'!I137</f>
        <v>2.5439999999999998E-3</v>
      </c>
      <c r="G150" s="18">
        <f>'AEO 2023 Table 49 Raw'!J137</f>
        <v>2.6310000000000001E-3</v>
      </c>
      <c r="H150" s="18">
        <f>'AEO 2023 Table 49 Raw'!K137</f>
        <v>2.7360000000000002E-3</v>
      </c>
      <c r="I150" s="18">
        <f>'AEO 2023 Table 49 Raw'!L137</f>
        <v>2.8579999999999999E-3</v>
      </c>
      <c r="J150" s="18">
        <f>'AEO 2023 Table 49 Raw'!M137</f>
        <v>2.9759999999999999E-3</v>
      </c>
      <c r="K150" s="18">
        <f>'AEO 2023 Table 49 Raw'!N137</f>
        <v>3.104E-3</v>
      </c>
      <c r="L150" s="18">
        <f>'AEO 2023 Table 49 Raw'!O137</f>
        <v>3.2360000000000002E-3</v>
      </c>
      <c r="M150" s="18">
        <f>'AEO 2023 Table 49 Raw'!P137</f>
        <v>3.3869999999999998E-3</v>
      </c>
      <c r="N150" s="18">
        <f>'AEO 2023 Table 49 Raw'!Q137</f>
        <v>3.565E-3</v>
      </c>
      <c r="O150" s="18">
        <f>'AEO 2023 Table 49 Raw'!R137</f>
        <v>3.7369999999999999E-3</v>
      </c>
      <c r="P150" s="18">
        <f>'AEO 2023 Table 49 Raw'!S137</f>
        <v>3.9110000000000004E-3</v>
      </c>
      <c r="Q150" s="18">
        <f>'AEO 2023 Table 49 Raw'!T137</f>
        <v>4.1190000000000003E-3</v>
      </c>
      <c r="R150" s="18">
        <f>'AEO 2023 Table 49 Raw'!U137</f>
        <v>4.365E-3</v>
      </c>
      <c r="S150" s="18">
        <f>'AEO 2023 Table 49 Raw'!V137</f>
        <v>4.6490000000000004E-3</v>
      </c>
      <c r="T150" s="18">
        <f>'AEO 2023 Table 49 Raw'!W137</f>
        <v>4.9719999999999999E-3</v>
      </c>
      <c r="U150" s="18">
        <f>'AEO 2023 Table 49 Raw'!X137</f>
        <v>5.3280000000000003E-3</v>
      </c>
      <c r="V150" s="18">
        <f>'AEO 2023 Table 49 Raw'!Y137</f>
        <v>5.7099999999999998E-3</v>
      </c>
      <c r="W150" s="18">
        <f>'AEO 2023 Table 49 Raw'!Z137</f>
        <v>6.117E-3</v>
      </c>
      <c r="X150" s="18">
        <f>'AEO 2023 Table 49 Raw'!AA137</f>
        <v>6.5510000000000004E-3</v>
      </c>
      <c r="Y150" s="18">
        <f>'AEO 2023 Table 49 Raw'!AB137</f>
        <v>7.0089999999999996E-3</v>
      </c>
      <c r="Z150" s="18">
        <f>'AEO 2023 Table 49 Raw'!AC137</f>
        <v>7.4830000000000001E-3</v>
      </c>
      <c r="AA150" s="18">
        <f>'AEO 2023 Table 49 Raw'!AD137</f>
        <v>7.9690000000000004E-3</v>
      </c>
      <c r="AB150" s="18">
        <f>'AEO 2023 Table 49 Raw'!AE137</f>
        <v>8.4659999999999996E-3</v>
      </c>
      <c r="AC150" s="18">
        <f>'AEO 2023 Table 49 Raw'!AF137</f>
        <v>8.9730000000000001E-3</v>
      </c>
      <c r="AD150" s="18">
        <f>'AEO 2023 Table 49 Raw'!AG137</f>
        <v>9.4160000000000008E-3</v>
      </c>
      <c r="AE150" s="18">
        <f>'AEO 2023 Table 49 Raw'!AH137</f>
        <v>9.8849999999999997E-3</v>
      </c>
      <c r="AF150" s="30">
        <f>'AEO 2023 Table 49 Raw'!AI137</f>
        <v>5.0999999999999997E-2</v>
      </c>
    </row>
    <row r="151" spans="1:32" ht="15" customHeight="1">
      <c r="A151" s="7" t="s">
        <v>873</v>
      </c>
      <c r="B151" s="16" t="s">
        <v>741</v>
      </c>
      <c r="C151" s="18">
        <f>'AEO 2023 Table 49 Raw'!F138</f>
        <v>2.431E-3</v>
      </c>
      <c r="D151" s="18">
        <f>'AEO 2023 Table 49 Raw'!G138</f>
        <v>2.4499999999999999E-3</v>
      </c>
      <c r="E151" s="18">
        <f>'AEO 2023 Table 49 Raw'!H138</f>
        <v>2.457E-3</v>
      </c>
      <c r="F151" s="18">
        <f>'AEO 2023 Table 49 Raw'!I138</f>
        <v>2.4559999999999998E-3</v>
      </c>
      <c r="G151" s="18">
        <f>'AEO 2023 Table 49 Raw'!J138</f>
        <v>2.447E-3</v>
      </c>
      <c r="H151" s="18">
        <f>'AEO 2023 Table 49 Raw'!K138</f>
        <v>2.4299999999999999E-3</v>
      </c>
      <c r="I151" s="18">
        <f>'AEO 2023 Table 49 Raw'!L138</f>
        <v>2.4030000000000002E-3</v>
      </c>
      <c r="J151" s="18">
        <f>'AEO 2023 Table 49 Raw'!M138</f>
        <v>2.369E-3</v>
      </c>
      <c r="K151" s="18">
        <f>'AEO 2023 Table 49 Raw'!N138</f>
        <v>2.3259999999999999E-3</v>
      </c>
      <c r="L151" s="18">
        <f>'AEO 2023 Table 49 Raw'!O138</f>
        <v>2.2750000000000001E-3</v>
      </c>
      <c r="M151" s="18">
        <f>'AEO 2023 Table 49 Raw'!P138</f>
        <v>2.2179999999999999E-3</v>
      </c>
      <c r="N151" s="18">
        <f>'AEO 2023 Table 49 Raw'!Q138</f>
        <v>2.1559999999999999E-3</v>
      </c>
      <c r="O151" s="18">
        <f>'AEO 2023 Table 49 Raw'!R138</f>
        <v>2.0869999999999999E-3</v>
      </c>
      <c r="P151" s="18">
        <f>'AEO 2023 Table 49 Raw'!S138</f>
        <v>2.0119999999999999E-3</v>
      </c>
      <c r="Q151" s="18">
        <f>'AEO 2023 Table 49 Raw'!T138</f>
        <v>1.926E-3</v>
      </c>
      <c r="R151" s="18">
        <f>'AEO 2023 Table 49 Raw'!U138</f>
        <v>1.8400000000000001E-3</v>
      </c>
      <c r="S151" s="18">
        <f>'AEO 2023 Table 49 Raw'!V138</f>
        <v>1.7520000000000001E-3</v>
      </c>
      <c r="T151" s="18">
        <f>'AEO 2023 Table 49 Raw'!W138</f>
        <v>1.67E-3</v>
      </c>
      <c r="U151" s="18">
        <f>'AEO 2023 Table 49 Raw'!X138</f>
        <v>1.593E-3</v>
      </c>
      <c r="V151" s="18">
        <f>'AEO 2023 Table 49 Raw'!Y138</f>
        <v>1.5039999999999999E-3</v>
      </c>
      <c r="W151" s="18">
        <f>'AEO 2023 Table 49 Raw'!Z138</f>
        <v>1.4250000000000001E-3</v>
      </c>
      <c r="X151" s="18">
        <f>'AEO 2023 Table 49 Raw'!AA138</f>
        <v>1.3209999999999999E-3</v>
      </c>
      <c r="Y151" s="18">
        <f>'AEO 2023 Table 49 Raw'!AB138</f>
        <v>1.209E-3</v>
      </c>
      <c r="Z151" s="18">
        <f>'AEO 2023 Table 49 Raw'!AC138</f>
        <v>1.1169999999999999E-3</v>
      </c>
      <c r="AA151" s="18">
        <f>'AEO 2023 Table 49 Raw'!AD138</f>
        <v>1.0380000000000001E-3</v>
      </c>
      <c r="AB151" s="18">
        <f>'AEO 2023 Table 49 Raw'!AE138</f>
        <v>9.5399999999999999E-4</v>
      </c>
      <c r="AC151" s="18">
        <f>'AEO 2023 Table 49 Raw'!AF138</f>
        <v>8.6600000000000002E-4</v>
      </c>
      <c r="AD151" s="18">
        <f>'AEO 2023 Table 49 Raw'!AG138</f>
        <v>7.8600000000000002E-4</v>
      </c>
      <c r="AE151" s="18">
        <f>'AEO 2023 Table 49 Raw'!AH138</f>
        <v>7.1699999999999997E-4</v>
      </c>
      <c r="AF151" s="30">
        <f>'AEO 2023 Table 49 Raw'!AI138</f>
        <v>-4.2999999999999997E-2</v>
      </c>
    </row>
    <row r="152" spans="1:32" ht="15" customHeight="1">
      <c r="A152" s="7" t="s">
        <v>874</v>
      </c>
      <c r="B152" s="16" t="s">
        <v>743</v>
      </c>
      <c r="C152" s="18">
        <f>'AEO 2023 Table 49 Raw'!F139</f>
        <v>3.3873E-2</v>
      </c>
      <c r="D152" s="18">
        <f>'AEO 2023 Table 49 Raw'!G139</f>
        <v>3.6921000000000002E-2</v>
      </c>
      <c r="E152" s="18">
        <f>'AEO 2023 Table 49 Raw'!H139</f>
        <v>4.0156999999999998E-2</v>
      </c>
      <c r="F152" s="18">
        <f>'AEO 2023 Table 49 Raw'!I139</f>
        <v>4.3819999999999998E-2</v>
      </c>
      <c r="G152" s="18">
        <f>'AEO 2023 Table 49 Raw'!J139</f>
        <v>4.8011999999999999E-2</v>
      </c>
      <c r="H152" s="18">
        <f>'AEO 2023 Table 49 Raw'!K139</f>
        <v>5.2770999999999998E-2</v>
      </c>
      <c r="I152" s="18">
        <f>'AEO 2023 Table 49 Raw'!L139</f>
        <v>5.7967999999999999E-2</v>
      </c>
      <c r="J152" s="18">
        <f>'AEO 2023 Table 49 Raw'!M139</f>
        <v>6.3547999999999993E-2</v>
      </c>
      <c r="K152" s="18">
        <f>'AEO 2023 Table 49 Raw'!N139</f>
        <v>6.9445000000000007E-2</v>
      </c>
      <c r="L152" s="18">
        <f>'AEO 2023 Table 49 Raw'!O139</f>
        <v>7.5789999999999996E-2</v>
      </c>
      <c r="M152" s="18">
        <f>'AEO 2023 Table 49 Raw'!P139</f>
        <v>8.2756999999999997E-2</v>
      </c>
      <c r="N152" s="18">
        <f>'AEO 2023 Table 49 Raw'!Q139</f>
        <v>9.0409000000000003E-2</v>
      </c>
      <c r="O152" s="18">
        <f>'AEO 2023 Table 49 Raw'!R139</f>
        <v>9.8462999999999995E-2</v>
      </c>
      <c r="P152" s="18">
        <f>'AEO 2023 Table 49 Raw'!S139</f>
        <v>0.10691199999999999</v>
      </c>
      <c r="Q152" s="18">
        <f>'AEO 2023 Table 49 Raw'!T139</f>
        <v>0.11577800000000001</v>
      </c>
      <c r="R152" s="18">
        <f>'AEO 2023 Table 49 Raw'!U139</f>
        <v>0.125143</v>
      </c>
      <c r="S152" s="18">
        <f>'AEO 2023 Table 49 Raw'!V139</f>
        <v>0.134995</v>
      </c>
      <c r="T152" s="18">
        <f>'AEO 2023 Table 49 Raw'!W139</f>
        <v>0.145313</v>
      </c>
      <c r="U152" s="18">
        <f>'AEO 2023 Table 49 Raw'!X139</f>
        <v>0.15598699999999999</v>
      </c>
      <c r="V152" s="18">
        <f>'AEO 2023 Table 49 Raw'!Y139</f>
        <v>0.166876</v>
      </c>
      <c r="W152" s="18">
        <f>'AEO 2023 Table 49 Raw'!Z139</f>
        <v>0.17783499999999999</v>
      </c>
      <c r="X152" s="18">
        <f>'AEO 2023 Table 49 Raw'!AA139</f>
        <v>0.18885399999999999</v>
      </c>
      <c r="Y152" s="18">
        <f>'AEO 2023 Table 49 Raw'!AB139</f>
        <v>0.19978299999999999</v>
      </c>
      <c r="Z152" s="18">
        <f>'AEO 2023 Table 49 Raw'!AC139</f>
        <v>0.210512</v>
      </c>
      <c r="AA152" s="18">
        <f>'AEO 2023 Table 49 Raw'!AD139</f>
        <v>0.22093399999999999</v>
      </c>
      <c r="AB152" s="18">
        <f>'AEO 2023 Table 49 Raw'!AE139</f>
        <v>0.23105999999999999</v>
      </c>
      <c r="AC152" s="18">
        <f>'AEO 2023 Table 49 Raw'!AF139</f>
        <v>0.24081900000000001</v>
      </c>
      <c r="AD152" s="18">
        <f>'AEO 2023 Table 49 Raw'!AG139</f>
        <v>0.25052000000000002</v>
      </c>
      <c r="AE152" s="18">
        <f>'AEO 2023 Table 49 Raw'!AH139</f>
        <v>0.260079</v>
      </c>
      <c r="AF152" s="30">
        <f>'AEO 2023 Table 49 Raw'!AI139</f>
        <v>7.5999999999999998E-2</v>
      </c>
    </row>
    <row r="153" spans="1:32" ht="15" customHeight="1">
      <c r="A153" s="7" t="s">
        <v>875</v>
      </c>
      <c r="B153" s="16" t="s">
        <v>745</v>
      </c>
      <c r="C153" s="18">
        <f>'AEO 2023 Table 49 Raw'!F140</f>
        <v>2.41E-4</v>
      </c>
      <c r="D153" s="18">
        <f>'AEO 2023 Table 49 Raw'!G140</f>
        <v>2.9E-4</v>
      </c>
      <c r="E153" s="18">
        <f>'AEO 2023 Table 49 Raw'!H140</f>
        <v>3.3199999999999999E-4</v>
      </c>
      <c r="F153" s="18">
        <f>'AEO 2023 Table 49 Raw'!I140</f>
        <v>3.7199999999999999E-4</v>
      </c>
      <c r="G153" s="18">
        <f>'AEO 2023 Table 49 Raw'!J140</f>
        <v>4.08E-4</v>
      </c>
      <c r="H153" s="18">
        <f>'AEO 2023 Table 49 Raw'!K140</f>
        <v>4.4000000000000002E-4</v>
      </c>
      <c r="I153" s="18">
        <f>'AEO 2023 Table 49 Raw'!L140</f>
        <v>4.6799999999999999E-4</v>
      </c>
      <c r="J153" s="18">
        <f>'AEO 2023 Table 49 Raw'!M140</f>
        <v>4.9100000000000001E-4</v>
      </c>
      <c r="K153" s="18">
        <f>'AEO 2023 Table 49 Raw'!N140</f>
        <v>5.0900000000000001E-4</v>
      </c>
      <c r="L153" s="18">
        <f>'AEO 2023 Table 49 Raw'!O140</f>
        <v>5.2300000000000003E-4</v>
      </c>
      <c r="M153" s="18">
        <f>'AEO 2023 Table 49 Raw'!P140</f>
        <v>5.3300000000000005E-4</v>
      </c>
      <c r="N153" s="18">
        <f>'AEO 2023 Table 49 Raw'!Q140</f>
        <v>5.4000000000000001E-4</v>
      </c>
      <c r="O153" s="18">
        <f>'AEO 2023 Table 49 Raw'!R140</f>
        <v>5.4299999999999997E-4</v>
      </c>
      <c r="P153" s="18">
        <f>'AEO 2023 Table 49 Raw'!S140</f>
        <v>5.4299999999999997E-4</v>
      </c>
      <c r="Q153" s="18">
        <f>'AEO 2023 Table 49 Raw'!T140</f>
        <v>5.4000000000000001E-4</v>
      </c>
      <c r="R153" s="18">
        <f>'AEO 2023 Table 49 Raw'!U140</f>
        <v>5.3399999999999997E-4</v>
      </c>
      <c r="S153" s="18">
        <f>'AEO 2023 Table 49 Raw'!V140</f>
        <v>5.2700000000000002E-4</v>
      </c>
      <c r="T153" s="18">
        <f>'AEO 2023 Table 49 Raw'!W140</f>
        <v>5.1800000000000001E-4</v>
      </c>
      <c r="U153" s="18">
        <f>'AEO 2023 Table 49 Raw'!X140</f>
        <v>5.0600000000000005E-4</v>
      </c>
      <c r="V153" s="18">
        <f>'AEO 2023 Table 49 Raw'!Y140</f>
        <v>4.9399999999999997E-4</v>
      </c>
      <c r="W153" s="18">
        <f>'AEO 2023 Table 49 Raw'!Z140</f>
        <v>4.8000000000000001E-4</v>
      </c>
      <c r="X153" s="18">
        <f>'AEO 2023 Table 49 Raw'!AA140</f>
        <v>4.6500000000000003E-4</v>
      </c>
      <c r="Y153" s="18">
        <f>'AEO 2023 Table 49 Raw'!AB140</f>
        <v>4.4900000000000002E-4</v>
      </c>
      <c r="Z153" s="18">
        <f>'AEO 2023 Table 49 Raw'!AC140</f>
        <v>4.3300000000000001E-4</v>
      </c>
      <c r="AA153" s="18">
        <f>'AEO 2023 Table 49 Raw'!AD140</f>
        <v>4.1599999999999997E-4</v>
      </c>
      <c r="AB153" s="18">
        <f>'AEO 2023 Table 49 Raw'!AE140</f>
        <v>3.9899999999999999E-4</v>
      </c>
      <c r="AC153" s="18">
        <f>'AEO 2023 Table 49 Raw'!AF140</f>
        <v>3.8200000000000002E-4</v>
      </c>
      <c r="AD153" s="18">
        <f>'AEO 2023 Table 49 Raw'!AG140</f>
        <v>3.6400000000000001E-4</v>
      </c>
      <c r="AE153" s="18">
        <f>'AEO 2023 Table 49 Raw'!AH140</f>
        <v>3.4699999999999998E-4</v>
      </c>
      <c r="AF153" s="30">
        <f>'AEO 2023 Table 49 Raw'!AI140</f>
        <v>1.2999999999999999E-2</v>
      </c>
    </row>
    <row r="154" spans="1:32" ht="15" customHeight="1">
      <c r="A154" s="7" t="s">
        <v>876</v>
      </c>
      <c r="B154" s="16" t="s">
        <v>747</v>
      </c>
      <c r="C154" s="18">
        <f>'AEO 2023 Table 49 Raw'!F141</f>
        <v>0</v>
      </c>
      <c r="D154" s="18">
        <f>'AEO 2023 Table 49 Raw'!G141</f>
        <v>0</v>
      </c>
      <c r="E154" s="18">
        <f>'AEO 2023 Table 49 Raw'!H141</f>
        <v>1.8599999999999999E-4</v>
      </c>
      <c r="F154" s="18">
        <f>'AEO 2023 Table 49 Raw'!I141</f>
        <v>3.88E-4</v>
      </c>
      <c r="G154" s="18">
        <f>'AEO 2023 Table 49 Raw'!J141</f>
        <v>6.0300000000000002E-4</v>
      </c>
      <c r="H154" s="18">
        <f>'AEO 2023 Table 49 Raw'!K141</f>
        <v>8.2799999999999996E-4</v>
      </c>
      <c r="I154" s="18">
        <f>'AEO 2023 Table 49 Raw'!L141</f>
        <v>1.06E-3</v>
      </c>
      <c r="J154" s="18">
        <f>'AEO 2023 Table 49 Raw'!M141</f>
        <v>1.297E-3</v>
      </c>
      <c r="K154" s="18">
        <f>'AEO 2023 Table 49 Raw'!N141</f>
        <v>1.5330000000000001E-3</v>
      </c>
      <c r="L154" s="18">
        <f>'AEO 2023 Table 49 Raw'!O141</f>
        <v>1.771E-3</v>
      </c>
      <c r="M154" s="18">
        <f>'AEO 2023 Table 49 Raw'!P141</f>
        <v>2.016E-3</v>
      </c>
      <c r="N154" s="18">
        <f>'AEO 2023 Table 49 Raw'!Q141</f>
        <v>2.271E-3</v>
      </c>
      <c r="O154" s="18">
        <f>'AEO 2023 Table 49 Raw'!R141</f>
        <v>2.5300000000000001E-3</v>
      </c>
      <c r="P154" s="18">
        <f>'AEO 2023 Table 49 Raw'!S141</f>
        <v>2.7929999999999999E-3</v>
      </c>
      <c r="Q154" s="18">
        <f>'AEO 2023 Table 49 Raw'!T141</f>
        <v>3.0660000000000001E-3</v>
      </c>
      <c r="R154" s="18">
        <f>'AEO 2023 Table 49 Raw'!U141</f>
        <v>3.3540000000000002E-3</v>
      </c>
      <c r="S154" s="18">
        <f>'AEO 2023 Table 49 Raw'!V141</f>
        <v>3.6589999999999999E-3</v>
      </c>
      <c r="T154" s="18">
        <f>'AEO 2023 Table 49 Raw'!W141</f>
        <v>3.9839999999999997E-3</v>
      </c>
      <c r="U154" s="18">
        <f>'AEO 2023 Table 49 Raw'!X141</f>
        <v>4.3280000000000002E-3</v>
      </c>
      <c r="V154" s="18">
        <f>'AEO 2023 Table 49 Raw'!Y141</f>
        <v>4.692E-3</v>
      </c>
      <c r="W154" s="18">
        <f>'AEO 2023 Table 49 Raw'!Z141</f>
        <v>5.0749999999999997E-3</v>
      </c>
      <c r="X154" s="18">
        <f>'AEO 2023 Table 49 Raw'!AA141</f>
        <v>5.483E-3</v>
      </c>
      <c r="Y154" s="18">
        <f>'AEO 2023 Table 49 Raw'!AB141</f>
        <v>5.9129999999999999E-3</v>
      </c>
      <c r="Z154" s="18">
        <f>'AEO 2023 Table 49 Raw'!AC141</f>
        <v>6.3600000000000002E-3</v>
      </c>
      <c r="AA154" s="18">
        <f>'AEO 2023 Table 49 Raw'!AD141</f>
        <v>6.8240000000000002E-3</v>
      </c>
      <c r="AB154" s="18">
        <f>'AEO 2023 Table 49 Raw'!AE141</f>
        <v>7.3049999999999999E-3</v>
      </c>
      <c r="AC154" s="18">
        <f>'AEO 2023 Table 49 Raw'!AF141</f>
        <v>7.8040000000000002E-3</v>
      </c>
      <c r="AD154" s="18">
        <f>'AEO 2023 Table 49 Raw'!AG141</f>
        <v>8.3219999999999995E-3</v>
      </c>
      <c r="AE154" s="18">
        <f>'AEO 2023 Table 49 Raw'!AH141</f>
        <v>8.8590000000000006E-3</v>
      </c>
      <c r="AF154" s="30" t="str">
        <f>'AEO 2023 Table 49 Raw'!AI141</f>
        <v>- -</v>
      </c>
    </row>
    <row r="155" spans="1:32" ht="15" customHeight="1">
      <c r="A155" s="7" t="s">
        <v>877</v>
      </c>
      <c r="B155" s="16" t="s">
        <v>749</v>
      </c>
      <c r="C155" s="18">
        <f>'AEO 2023 Table 49 Raw'!F142</f>
        <v>0</v>
      </c>
      <c r="D155" s="18">
        <f>'AEO 2023 Table 49 Raw'!G142</f>
        <v>0</v>
      </c>
      <c r="E155" s="18">
        <f>'AEO 2023 Table 49 Raw'!H142</f>
        <v>1.8599999999999999E-4</v>
      </c>
      <c r="F155" s="18">
        <f>'AEO 2023 Table 49 Raw'!I142</f>
        <v>3.8200000000000002E-4</v>
      </c>
      <c r="G155" s="18">
        <f>'AEO 2023 Table 49 Raw'!J142</f>
        <v>5.8600000000000004E-4</v>
      </c>
      <c r="H155" s="18">
        <f>'AEO 2023 Table 49 Raw'!K142</f>
        <v>7.9500000000000003E-4</v>
      </c>
      <c r="I155" s="18">
        <f>'AEO 2023 Table 49 Raw'!L142</f>
        <v>1.0089999999999999E-3</v>
      </c>
      <c r="J155" s="18">
        <f>'AEO 2023 Table 49 Raw'!M142</f>
        <v>1.224E-3</v>
      </c>
      <c r="K155" s="18">
        <f>'AEO 2023 Table 49 Raw'!N142</f>
        <v>1.438E-3</v>
      </c>
      <c r="L155" s="18">
        <f>'AEO 2023 Table 49 Raw'!O142</f>
        <v>1.658E-3</v>
      </c>
      <c r="M155" s="18">
        <f>'AEO 2023 Table 49 Raw'!P142</f>
        <v>1.8890000000000001E-3</v>
      </c>
      <c r="N155" s="18">
        <f>'AEO 2023 Table 49 Raw'!Q142</f>
        <v>2.1380000000000001E-3</v>
      </c>
      <c r="O155" s="18">
        <f>'AEO 2023 Table 49 Raw'!R142</f>
        <v>2.3969999999999998E-3</v>
      </c>
      <c r="P155" s="18">
        <f>'AEO 2023 Table 49 Raw'!S142</f>
        <v>2.6689999999999999E-3</v>
      </c>
      <c r="Q155" s="18">
        <f>'AEO 2023 Table 49 Raw'!T142</f>
        <v>2.9610000000000001E-3</v>
      </c>
      <c r="R155" s="18">
        <f>'AEO 2023 Table 49 Raw'!U142</f>
        <v>3.2780000000000001E-3</v>
      </c>
      <c r="S155" s="18">
        <f>'AEO 2023 Table 49 Raw'!V142</f>
        <v>3.627E-3</v>
      </c>
      <c r="T155" s="18">
        <f>'AEO 2023 Table 49 Raw'!W142</f>
        <v>4.0109999999999998E-3</v>
      </c>
      <c r="U155" s="18">
        <f>'AEO 2023 Table 49 Raw'!X142</f>
        <v>4.4349999999999997E-3</v>
      </c>
      <c r="V155" s="18">
        <f>'AEO 2023 Table 49 Raw'!Y142</f>
        <v>4.8970000000000003E-3</v>
      </c>
      <c r="W155" s="18">
        <f>'AEO 2023 Table 49 Raw'!Z142</f>
        <v>5.4000000000000003E-3</v>
      </c>
      <c r="X155" s="18">
        <f>'AEO 2023 Table 49 Raw'!AA142</f>
        <v>5.9490000000000003E-3</v>
      </c>
      <c r="Y155" s="18">
        <f>'AEO 2023 Table 49 Raw'!AB142</f>
        <v>6.5420000000000001E-3</v>
      </c>
      <c r="Z155" s="18">
        <f>'AEO 2023 Table 49 Raw'!AC142</f>
        <v>7.1739999999999998E-3</v>
      </c>
      <c r="AA155" s="18">
        <f>'AEO 2023 Table 49 Raw'!AD142</f>
        <v>7.8429999999999993E-3</v>
      </c>
      <c r="AB155" s="18">
        <f>'AEO 2023 Table 49 Raw'!AE142</f>
        <v>8.548E-3</v>
      </c>
      <c r="AC155" s="18">
        <f>'AEO 2023 Table 49 Raw'!AF142</f>
        <v>9.2890000000000004E-3</v>
      </c>
      <c r="AD155" s="18">
        <f>'AEO 2023 Table 49 Raw'!AG142</f>
        <v>1.0071999999999999E-2</v>
      </c>
      <c r="AE155" s="18">
        <f>'AEO 2023 Table 49 Raw'!AH142</f>
        <v>1.0888999999999999E-2</v>
      </c>
      <c r="AF155" s="30" t="str">
        <f>'AEO 2023 Table 49 Raw'!AI142</f>
        <v>- -</v>
      </c>
    </row>
    <row r="156" spans="1:32" ht="15" customHeight="1">
      <c r="A156" s="7" t="s">
        <v>878</v>
      </c>
      <c r="B156" s="16" t="s">
        <v>751</v>
      </c>
      <c r="C156" s="18">
        <f>'AEO 2023 Table 49 Raw'!F143</f>
        <v>0</v>
      </c>
      <c r="D156" s="18">
        <f>'AEO 2023 Table 49 Raw'!G143</f>
        <v>0</v>
      </c>
      <c r="E156" s="18">
        <f>'AEO 2023 Table 49 Raw'!H143</f>
        <v>3.1100000000000002E-4</v>
      </c>
      <c r="F156" s="18">
        <f>'AEO 2023 Table 49 Raw'!I143</f>
        <v>6.5099999999999999E-4</v>
      </c>
      <c r="G156" s="18">
        <f>'AEO 2023 Table 49 Raw'!J143</f>
        <v>1.018E-3</v>
      </c>
      <c r="H156" s="18">
        <f>'AEO 2023 Table 49 Raw'!K143</f>
        <v>1.4040000000000001E-3</v>
      </c>
      <c r="I156" s="18">
        <f>'AEO 2023 Table 49 Raw'!L143</f>
        <v>1.8060000000000001E-3</v>
      </c>
      <c r="J156" s="18">
        <f>'AEO 2023 Table 49 Raw'!M143</f>
        <v>2.2160000000000001E-3</v>
      </c>
      <c r="K156" s="18">
        <f>'AEO 2023 Table 49 Raw'!N143</f>
        <v>2.6259999999999999E-3</v>
      </c>
      <c r="L156" s="18">
        <f>'AEO 2023 Table 49 Raw'!O143</f>
        <v>3.039E-3</v>
      </c>
      <c r="M156" s="18">
        <f>'AEO 2023 Table 49 Raw'!P143</f>
        <v>3.4629999999999999E-3</v>
      </c>
      <c r="N156" s="18">
        <f>'AEO 2023 Table 49 Raw'!Q143</f>
        <v>3.8990000000000001E-3</v>
      </c>
      <c r="O156" s="18">
        <f>'AEO 2023 Table 49 Raw'!R143</f>
        <v>4.3400000000000001E-3</v>
      </c>
      <c r="P156" s="18">
        <f>'AEO 2023 Table 49 Raw'!S143</f>
        <v>4.79E-3</v>
      </c>
      <c r="Q156" s="18">
        <f>'AEO 2023 Table 49 Raw'!T143</f>
        <v>5.2560000000000003E-3</v>
      </c>
      <c r="R156" s="18">
        <f>'AEO 2023 Table 49 Raw'!U143</f>
        <v>5.7499999999999999E-3</v>
      </c>
      <c r="S156" s="18">
        <f>'AEO 2023 Table 49 Raw'!V143</f>
        <v>6.2779999999999997E-3</v>
      </c>
      <c r="T156" s="18">
        <f>'AEO 2023 Table 49 Raw'!W143</f>
        <v>6.8459999999999997E-3</v>
      </c>
      <c r="U156" s="18">
        <f>'AEO 2023 Table 49 Raw'!X143</f>
        <v>7.456E-3</v>
      </c>
      <c r="V156" s="18">
        <f>'AEO 2023 Table 49 Raw'!Y143</f>
        <v>8.1049999999999994E-3</v>
      </c>
      <c r="W156" s="18">
        <f>'AEO 2023 Table 49 Raw'!Z143</f>
        <v>8.7980000000000003E-3</v>
      </c>
      <c r="X156" s="18">
        <f>'AEO 2023 Table 49 Raw'!AA143</f>
        <v>9.5399999999999999E-3</v>
      </c>
      <c r="Y156" s="18">
        <f>'AEO 2023 Table 49 Raw'!AB143</f>
        <v>1.0331E-2</v>
      </c>
      <c r="Z156" s="18">
        <f>'AEO 2023 Table 49 Raw'!AC143</f>
        <v>1.1159000000000001E-2</v>
      </c>
      <c r="AA156" s="18">
        <f>'AEO 2023 Table 49 Raw'!AD143</f>
        <v>1.2024999999999999E-2</v>
      </c>
      <c r="AB156" s="18">
        <f>'AEO 2023 Table 49 Raw'!AE143</f>
        <v>1.2926999999999999E-2</v>
      </c>
      <c r="AC156" s="18">
        <f>'AEO 2023 Table 49 Raw'!AF143</f>
        <v>1.3868999999999999E-2</v>
      </c>
      <c r="AD156" s="18">
        <f>'AEO 2023 Table 49 Raw'!AG143</f>
        <v>1.4857E-2</v>
      </c>
      <c r="AE156" s="18">
        <f>'AEO 2023 Table 49 Raw'!AH143</f>
        <v>1.5883999999999999E-2</v>
      </c>
      <c r="AF156" s="30" t="str">
        <f>'AEO 2023 Table 49 Raw'!AI143</f>
        <v>- -</v>
      </c>
    </row>
    <row r="157" spans="1:32" ht="15" customHeight="1">
      <c r="A157" s="7" t="s">
        <v>879</v>
      </c>
      <c r="B157" s="16" t="s">
        <v>765</v>
      </c>
      <c r="C157" s="18">
        <f>'AEO 2023 Table 49 Raw'!F144</f>
        <v>3.7775319999999999</v>
      </c>
      <c r="D157" s="18">
        <f>'AEO 2023 Table 49 Raw'!G144</f>
        <v>3.8016570000000001</v>
      </c>
      <c r="E157" s="18">
        <f>'AEO 2023 Table 49 Raw'!H144</f>
        <v>3.826797</v>
      </c>
      <c r="F157" s="18">
        <f>'AEO 2023 Table 49 Raw'!I144</f>
        <v>3.8675039999999998</v>
      </c>
      <c r="G157" s="18">
        <f>'AEO 2023 Table 49 Raw'!J144</f>
        <v>3.921414</v>
      </c>
      <c r="H157" s="18">
        <f>'AEO 2023 Table 49 Raw'!K144</f>
        <v>3.9823469999999999</v>
      </c>
      <c r="I157" s="18">
        <f>'AEO 2023 Table 49 Raw'!L144</f>
        <v>4.0465749999999998</v>
      </c>
      <c r="J157" s="18">
        <f>'AEO 2023 Table 49 Raw'!M144</f>
        <v>4.1079509999999999</v>
      </c>
      <c r="K157" s="18">
        <f>'AEO 2023 Table 49 Raw'!N144</f>
        <v>4.1667870000000002</v>
      </c>
      <c r="L157" s="18">
        <f>'AEO 2023 Table 49 Raw'!O144</f>
        <v>4.2190009999999996</v>
      </c>
      <c r="M157" s="18">
        <f>'AEO 2023 Table 49 Raw'!P144</f>
        <v>4.273854</v>
      </c>
      <c r="N157" s="18">
        <f>'AEO 2023 Table 49 Raw'!Q144</f>
        <v>4.321345</v>
      </c>
      <c r="O157" s="18">
        <f>'AEO 2023 Table 49 Raw'!R144</f>
        <v>4.3609059999999999</v>
      </c>
      <c r="P157" s="18">
        <f>'AEO 2023 Table 49 Raw'!S144</f>
        <v>4.4007839999999998</v>
      </c>
      <c r="Q157" s="18">
        <f>'AEO 2023 Table 49 Raw'!T144</f>
        <v>4.4430269999999998</v>
      </c>
      <c r="R157" s="18">
        <f>'AEO 2023 Table 49 Raw'!U144</f>
        <v>4.488836</v>
      </c>
      <c r="S157" s="18">
        <f>'AEO 2023 Table 49 Raw'!V144</f>
        <v>4.5369330000000003</v>
      </c>
      <c r="T157" s="18">
        <f>'AEO 2023 Table 49 Raw'!W144</f>
        <v>4.5874480000000002</v>
      </c>
      <c r="U157" s="18">
        <f>'AEO 2023 Table 49 Raw'!X144</f>
        <v>4.6354730000000002</v>
      </c>
      <c r="V157" s="18">
        <f>'AEO 2023 Table 49 Raw'!Y144</f>
        <v>4.6823509999999997</v>
      </c>
      <c r="W157" s="18">
        <f>'AEO 2023 Table 49 Raw'!Z144</f>
        <v>4.7306100000000004</v>
      </c>
      <c r="X157" s="18">
        <f>'AEO 2023 Table 49 Raw'!AA144</f>
        <v>4.7883639999999996</v>
      </c>
      <c r="Y157" s="18">
        <f>'AEO 2023 Table 49 Raw'!AB144</f>
        <v>4.8528969999999996</v>
      </c>
      <c r="Z157" s="18">
        <f>'AEO 2023 Table 49 Raw'!AC144</f>
        <v>4.9154470000000003</v>
      </c>
      <c r="AA157" s="18">
        <f>'AEO 2023 Table 49 Raw'!AD144</f>
        <v>4.9732979999999998</v>
      </c>
      <c r="AB157" s="18">
        <f>'AEO 2023 Table 49 Raw'!AE144</f>
        <v>5.0300529999999997</v>
      </c>
      <c r="AC157" s="18">
        <f>'AEO 2023 Table 49 Raw'!AF144</f>
        <v>5.0859709999999998</v>
      </c>
      <c r="AD157" s="18">
        <f>'AEO 2023 Table 49 Raw'!AG144</f>
        <v>5.1414540000000004</v>
      </c>
      <c r="AE157" s="18">
        <f>'AEO 2023 Table 49 Raw'!AH144</f>
        <v>5.1940850000000003</v>
      </c>
      <c r="AF157" s="30">
        <f>'AEO 2023 Table 49 Raw'!AI144</f>
        <v>1.0999999999999999E-2</v>
      </c>
    </row>
    <row r="158" spans="1:32" ht="15" customHeight="1">
      <c r="B158" s="15" t="s">
        <v>766</v>
      </c>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30"/>
    </row>
    <row r="159" spans="1:32" ht="15" customHeight="1">
      <c r="A159" s="7" t="s">
        <v>880</v>
      </c>
      <c r="B159" s="16" t="s">
        <v>736</v>
      </c>
      <c r="C159" s="18">
        <f>'AEO 2023 Table 49 Raw'!F146</f>
        <v>5.1944619999999997</v>
      </c>
      <c r="D159" s="18">
        <f>'AEO 2023 Table 49 Raw'!G146</f>
        <v>5.2328229999999998</v>
      </c>
      <c r="E159" s="18">
        <f>'AEO 2023 Table 49 Raw'!H146</f>
        <v>5.2668879999999998</v>
      </c>
      <c r="F159" s="18">
        <f>'AEO 2023 Table 49 Raw'!I146</f>
        <v>5.3193219999999997</v>
      </c>
      <c r="G159" s="18">
        <f>'AEO 2023 Table 49 Raw'!J146</f>
        <v>5.3875500000000001</v>
      </c>
      <c r="H159" s="18">
        <f>'AEO 2023 Table 49 Raw'!K146</f>
        <v>5.4611130000000001</v>
      </c>
      <c r="I159" s="18">
        <f>'AEO 2023 Table 49 Raw'!L146</f>
        <v>5.534211</v>
      </c>
      <c r="J159" s="18">
        <f>'AEO 2023 Table 49 Raw'!M146</f>
        <v>5.597963</v>
      </c>
      <c r="K159" s="18">
        <f>'AEO 2023 Table 49 Raw'!N146</f>
        <v>5.6528239999999998</v>
      </c>
      <c r="L159" s="18">
        <f>'AEO 2023 Table 49 Raw'!O146</f>
        <v>5.7010459999999998</v>
      </c>
      <c r="M159" s="18">
        <f>'AEO 2023 Table 49 Raw'!P146</f>
        <v>5.7446830000000002</v>
      </c>
      <c r="N159" s="18">
        <f>'AEO 2023 Table 49 Raw'!Q146</f>
        <v>5.7797029999999996</v>
      </c>
      <c r="O159" s="18">
        <f>'AEO 2023 Table 49 Raw'!R146</f>
        <v>5.7983529999999996</v>
      </c>
      <c r="P159" s="18">
        <f>'AEO 2023 Table 49 Raw'!S146</f>
        <v>5.8140619999999998</v>
      </c>
      <c r="Q159" s="18">
        <f>'AEO 2023 Table 49 Raw'!T146</f>
        <v>5.8338109999999999</v>
      </c>
      <c r="R159" s="18">
        <f>'AEO 2023 Table 49 Raw'!U146</f>
        <v>5.8552200000000001</v>
      </c>
      <c r="S159" s="18">
        <f>'AEO 2023 Table 49 Raw'!V146</f>
        <v>5.8780659999999996</v>
      </c>
      <c r="T159" s="18">
        <f>'AEO 2023 Table 49 Raw'!W146</f>
        <v>5.8949480000000003</v>
      </c>
      <c r="U159" s="18">
        <f>'AEO 2023 Table 49 Raw'!X146</f>
        <v>5.9060889999999997</v>
      </c>
      <c r="V159" s="18">
        <f>'AEO 2023 Table 49 Raw'!Y146</f>
        <v>5.9044379999999999</v>
      </c>
      <c r="W159" s="18">
        <f>'AEO 2023 Table 49 Raw'!Z146</f>
        <v>5.9129310000000004</v>
      </c>
      <c r="X159" s="18">
        <f>'AEO 2023 Table 49 Raw'!AA146</f>
        <v>5.9276549999999997</v>
      </c>
      <c r="Y159" s="18">
        <f>'AEO 2023 Table 49 Raw'!AB146</f>
        <v>5.9487350000000001</v>
      </c>
      <c r="Z159" s="18">
        <f>'AEO 2023 Table 49 Raw'!AC146</f>
        <v>5.9689170000000003</v>
      </c>
      <c r="AA159" s="18">
        <f>'AEO 2023 Table 49 Raw'!AD146</f>
        <v>5.9804979999999999</v>
      </c>
      <c r="AB159" s="18">
        <f>'AEO 2023 Table 49 Raw'!AE146</f>
        <v>5.985233</v>
      </c>
      <c r="AC159" s="18">
        <f>'AEO 2023 Table 49 Raw'!AF146</f>
        <v>5.9853329999999998</v>
      </c>
      <c r="AD159" s="18">
        <f>'AEO 2023 Table 49 Raw'!AG146</f>
        <v>5.9791749999999997</v>
      </c>
      <c r="AE159" s="18">
        <f>'AEO 2023 Table 49 Raw'!AH146</f>
        <v>5.9653660000000004</v>
      </c>
      <c r="AF159" s="30">
        <f>'AEO 2023 Table 49 Raw'!AI146</f>
        <v>5.0000000000000001E-3</v>
      </c>
    </row>
    <row r="160" spans="1:32" ht="15" customHeight="1">
      <c r="A160" s="7" t="s">
        <v>881</v>
      </c>
      <c r="B160" s="16" t="s">
        <v>738</v>
      </c>
      <c r="C160" s="18">
        <f>'AEO 2023 Table 49 Raw'!F147</f>
        <v>4.3656E-2</v>
      </c>
      <c r="D160" s="18">
        <f>'AEO 2023 Table 49 Raw'!G147</f>
        <v>3.8945E-2</v>
      </c>
      <c r="E160" s="18">
        <f>'AEO 2023 Table 49 Raw'!H147</f>
        <v>3.5015999999999999E-2</v>
      </c>
      <c r="F160" s="18">
        <f>'AEO 2023 Table 49 Raw'!I147</f>
        <v>3.1848000000000001E-2</v>
      </c>
      <c r="G160" s="18">
        <f>'AEO 2023 Table 49 Raw'!J147</f>
        <v>2.9543E-2</v>
      </c>
      <c r="H160" s="18">
        <f>'AEO 2023 Table 49 Raw'!K147</f>
        <v>2.7923E-2</v>
      </c>
      <c r="I160" s="18">
        <f>'AEO 2023 Table 49 Raw'!L147</f>
        <v>2.6786999999999998E-2</v>
      </c>
      <c r="J160" s="18">
        <f>'AEO 2023 Table 49 Raw'!M147</f>
        <v>2.5902999999999999E-2</v>
      </c>
      <c r="K160" s="18">
        <f>'AEO 2023 Table 49 Raw'!N147</f>
        <v>2.5295999999999999E-2</v>
      </c>
      <c r="L160" s="18">
        <f>'AEO 2023 Table 49 Raw'!O147</f>
        <v>2.4788000000000001E-2</v>
      </c>
      <c r="M160" s="18">
        <f>'AEO 2023 Table 49 Raw'!P147</f>
        <v>2.4475E-2</v>
      </c>
      <c r="N160" s="18">
        <f>'AEO 2023 Table 49 Raw'!Q147</f>
        <v>2.4362999999999999E-2</v>
      </c>
      <c r="O160" s="18">
        <f>'AEO 2023 Table 49 Raw'!R147</f>
        <v>2.4388E-2</v>
      </c>
      <c r="P160" s="18">
        <f>'AEO 2023 Table 49 Raw'!S147</f>
        <v>2.4575E-2</v>
      </c>
      <c r="Q160" s="18">
        <f>'AEO 2023 Table 49 Raw'!T147</f>
        <v>2.4816000000000001E-2</v>
      </c>
      <c r="R160" s="18">
        <f>'AEO 2023 Table 49 Raw'!U147</f>
        <v>2.5201000000000001E-2</v>
      </c>
      <c r="S160" s="18">
        <f>'AEO 2023 Table 49 Raw'!V147</f>
        <v>2.5683999999999998E-2</v>
      </c>
      <c r="T160" s="18">
        <f>'AEO 2023 Table 49 Raw'!W147</f>
        <v>2.6178E-2</v>
      </c>
      <c r="U160" s="18">
        <f>'AEO 2023 Table 49 Raw'!X147</f>
        <v>2.6626E-2</v>
      </c>
      <c r="V160" s="18">
        <f>'AEO 2023 Table 49 Raw'!Y147</f>
        <v>2.7116999999999999E-2</v>
      </c>
      <c r="W160" s="18">
        <f>'AEO 2023 Table 49 Raw'!Z147</f>
        <v>2.7505999999999999E-2</v>
      </c>
      <c r="X160" s="18">
        <f>'AEO 2023 Table 49 Raw'!AA147</f>
        <v>2.7862000000000001E-2</v>
      </c>
      <c r="Y160" s="18">
        <f>'AEO 2023 Table 49 Raw'!AB147</f>
        <v>2.8295000000000001E-2</v>
      </c>
      <c r="Z160" s="18">
        <f>'AEO 2023 Table 49 Raw'!AC147</f>
        <v>2.8759E-2</v>
      </c>
      <c r="AA160" s="18">
        <f>'AEO 2023 Table 49 Raw'!AD147</f>
        <v>2.9224E-2</v>
      </c>
      <c r="AB160" s="18">
        <f>'AEO 2023 Table 49 Raw'!AE147</f>
        <v>2.9678E-2</v>
      </c>
      <c r="AC160" s="18">
        <f>'AEO 2023 Table 49 Raw'!AF147</f>
        <v>3.0127999999999999E-2</v>
      </c>
      <c r="AD160" s="18">
        <f>'AEO 2023 Table 49 Raw'!AG147</f>
        <v>3.0556E-2</v>
      </c>
      <c r="AE160" s="18">
        <f>'AEO 2023 Table 49 Raw'!AH147</f>
        <v>3.0960999999999999E-2</v>
      </c>
      <c r="AF160" s="30">
        <f>'AEO 2023 Table 49 Raw'!AI147</f>
        <v>-1.2E-2</v>
      </c>
    </row>
    <row r="161" spans="1:32" ht="15" customHeight="1">
      <c r="A161" s="7" t="s">
        <v>882</v>
      </c>
      <c r="B161" s="16" t="s">
        <v>382</v>
      </c>
      <c r="C161" s="18">
        <f>'AEO 2023 Table 49 Raw'!F148</f>
        <v>3.2009999999999999E-3</v>
      </c>
      <c r="D161" s="18">
        <f>'AEO 2023 Table 49 Raw'!G148</f>
        <v>3.0999999999999999E-3</v>
      </c>
      <c r="E161" s="18">
        <f>'AEO 2023 Table 49 Raw'!H148</f>
        <v>3.016E-3</v>
      </c>
      <c r="F161" s="18">
        <f>'AEO 2023 Table 49 Raw'!I148</f>
        <v>2.9619999999999998E-3</v>
      </c>
      <c r="G161" s="18">
        <f>'AEO 2023 Table 49 Raw'!J148</f>
        <v>2.9589999999999998E-3</v>
      </c>
      <c r="H161" s="18">
        <f>'AEO 2023 Table 49 Raw'!K148</f>
        <v>2.9729999999999999E-3</v>
      </c>
      <c r="I161" s="18">
        <f>'AEO 2023 Table 49 Raw'!L148</f>
        <v>2.9849999999999998E-3</v>
      </c>
      <c r="J161" s="18">
        <f>'AEO 2023 Table 49 Raw'!M148</f>
        <v>2.9610000000000001E-3</v>
      </c>
      <c r="K161" s="18">
        <f>'AEO 2023 Table 49 Raw'!N148</f>
        <v>2.947E-3</v>
      </c>
      <c r="L161" s="18">
        <f>'AEO 2023 Table 49 Raw'!O148</f>
        <v>2.9359999999999998E-3</v>
      </c>
      <c r="M161" s="18">
        <f>'AEO 2023 Table 49 Raw'!P148</f>
        <v>2.9220000000000001E-3</v>
      </c>
      <c r="N161" s="18">
        <f>'AEO 2023 Table 49 Raw'!Q148</f>
        <v>2.941E-3</v>
      </c>
      <c r="O161" s="18">
        <f>'AEO 2023 Table 49 Raw'!R148</f>
        <v>2.9780000000000002E-3</v>
      </c>
      <c r="P161" s="18">
        <f>'AEO 2023 Table 49 Raw'!S148</f>
        <v>3.0270000000000002E-3</v>
      </c>
      <c r="Q161" s="18">
        <f>'AEO 2023 Table 49 Raw'!T148</f>
        <v>3.0829999999999998E-3</v>
      </c>
      <c r="R161" s="18">
        <f>'AEO 2023 Table 49 Raw'!U148</f>
        <v>3.1449999999999998E-3</v>
      </c>
      <c r="S161" s="18">
        <f>'AEO 2023 Table 49 Raw'!V148</f>
        <v>3.2100000000000002E-3</v>
      </c>
      <c r="T161" s="18">
        <f>'AEO 2023 Table 49 Raw'!W148</f>
        <v>3.277E-3</v>
      </c>
      <c r="U161" s="18">
        <f>'AEO 2023 Table 49 Raw'!X148</f>
        <v>3.3430000000000001E-3</v>
      </c>
      <c r="V161" s="18">
        <f>'AEO 2023 Table 49 Raw'!Y148</f>
        <v>3.4069999999999999E-3</v>
      </c>
      <c r="W161" s="18">
        <f>'AEO 2023 Table 49 Raw'!Z148</f>
        <v>3.467E-3</v>
      </c>
      <c r="X161" s="18">
        <f>'AEO 2023 Table 49 Raw'!AA148</f>
        <v>3.5239999999999998E-3</v>
      </c>
      <c r="Y161" s="18">
        <f>'AEO 2023 Table 49 Raw'!AB148</f>
        <v>3.5769999999999999E-3</v>
      </c>
      <c r="Z161" s="18">
        <f>'AEO 2023 Table 49 Raw'!AC148</f>
        <v>3.6259999999999999E-3</v>
      </c>
      <c r="AA161" s="18">
        <f>'AEO 2023 Table 49 Raw'!AD148</f>
        <v>3.6709999999999998E-3</v>
      </c>
      <c r="AB161" s="18">
        <f>'AEO 2023 Table 49 Raw'!AE148</f>
        <v>3.712E-3</v>
      </c>
      <c r="AC161" s="18">
        <f>'AEO 2023 Table 49 Raw'!AF148</f>
        <v>3.748E-3</v>
      </c>
      <c r="AD161" s="18">
        <f>'AEO 2023 Table 49 Raw'!AG148</f>
        <v>3.7620000000000002E-3</v>
      </c>
      <c r="AE161" s="18">
        <f>'AEO 2023 Table 49 Raw'!AH148</f>
        <v>3.7499999999999999E-3</v>
      </c>
      <c r="AF161" s="30">
        <f>'AEO 2023 Table 49 Raw'!AI148</f>
        <v>6.0000000000000001E-3</v>
      </c>
    </row>
    <row r="162" spans="1:32" ht="15" customHeight="1">
      <c r="A162" s="7" t="s">
        <v>883</v>
      </c>
      <c r="B162" s="16" t="s">
        <v>741</v>
      </c>
      <c r="C162" s="18">
        <f>'AEO 2023 Table 49 Raw'!F149</f>
        <v>4.9617000000000001E-2</v>
      </c>
      <c r="D162" s="18">
        <f>'AEO 2023 Table 49 Raw'!G149</f>
        <v>5.2673999999999999E-2</v>
      </c>
      <c r="E162" s="18">
        <f>'AEO 2023 Table 49 Raw'!H149</f>
        <v>5.5499E-2</v>
      </c>
      <c r="F162" s="18">
        <f>'AEO 2023 Table 49 Raw'!I149</f>
        <v>5.8312999999999997E-2</v>
      </c>
      <c r="G162" s="18">
        <f>'AEO 2023 Table 49 Raw'!J149</f>
        <v>6.1046999999999997E-2</v>
      </c>
      <c r="H162" s="18">
        <f>'AEO 2023 Table 49 Raw'!K149</f>
        <v>6.3582E-2</v>
      </c>
      <c r="I162" s="18">
        <f>'AEO 2023 Table 49 Raw'!L149</f>
        <v>6.5810999999999995E-2</v>
      </c>
      <c r="J162" s="18">
        <f>'AEO 2023 Table 49 Raw'!M149</f>
        <v>6.7700999999999997E-2</v>
      </c>
      <c r="K162" s="18">
        <f>'AEO 2023 Table 49 Raw'!N149</f>
        <v>6.9268999999999997E-2</v>
      </c>
      <c r="L162" s="18">
        <f>'AEO 2023 Table 49 Raw'!O149</f>
        <v>7.0640999999999995E-2</v>
      </c>
      <c r="M162" s="18">
        <f>'AEO 2023 Table 49 Raw'!P149</f>
        <v>7.1928000000000006E-2</v>
      </c>
      <c r="N162" s="18">
        <f>'AEO 2023 Table 49 Raw'!Q149</f>
        <v>7.3205999999999993E-2</v>
      </c>
      <c r="O162" s="18">
        <f>'AEO 2023 Table 49 Raw'!R149</f>
        <v>7.4462E-2</v>
      </c>
      <c r="P162" s="18">
        <f>'AEO 2023 Table 49 Raw'!S149</f>
        <v>7.5724E-2</v>
      </c>
      <c r="Q162" s="18">
        <f>'AEO 2023 Table 49 Raw'!T149</f>
        <v>7.7021000000000006E-2</v>
      </c>
      <c r="R162" s="18">
        <f>'AEO 2023 Table 49 Raw'!U149</f>
        <v>7.8404000000000001E-2</v>
      </c>
      <c r="S162" s="18">
        <f>'AEO 2023 Table 49 Raw'!V149</f>
        <v>7.9907000000000006E-2</v>
      </c>
      <c r="T162" s="18">
        <f>'AEO 2023 Table 49 Raw'!W149</f>
        <v>8.1553E-2</v>
      </c>
      <c r="U162" s="18">
        <f>'AEO 2023 Table 49 Raw'!X149</f>
        <v>8.3330000000000001E-2</v>
      </c>
      <c r="V162" s="18">
        <f>'AEO 2023 Table 49 Raw'!Y149</f>
        <v>8.5219000000000003E-2</v>
      </c>
      <c r="W162" s="18">
        <f>'AEO 2023 Table 49 Raw'!Z149</f>
        <v>8.7198999999999999E-2</v>
      </c>
      <c r="X162" s="18">
        <f>'AEO 2023 Table 49 Raw'!AA149</f>
        <v>8.9256000000000002E-2</v>
      </c>
      <c r="Y162" s="18">
        <f>'AEO 2023 Table 49 Raw'!AB149</f>
        <v>9.1452000000000006E-2</v>
      </c>
      <c r="Z162" s="18">
        <f>'AEO 2023 Table 49 Raw'!AC149</f>
        <v>9.3690999999999997E-2</v>
      </c>
      <c r="AA162" s="18">
        <f>'AEO 2023 Table 49 Raw'!AD149</f>
        <v>9.5894999999999994E-2</v>
      </c>
      <c r="AB162" s="18">
        <f>'AEO 2023 Table 49 Raw'!AE149</f>
        <v>9.8146999999999998E-2</v>
      </c>
      <c r="AC162" s="18">
        <f>'AEO 2023 Table 49 Raw'!AF149</f>
        <v>0.10026400000000001</v>
      </c>
      <c r="AD162" s="18">
        <f>'AEO 2023 Table 49 Raw'!AG149</f>
        <v>0.102393</v>
      </c>
      <c r="AE162" s="18">
        <f>'AEO 2023 Table 49 Raw'!AH149</f>
        <v>0.104612</v>
      </c>
      <c r="AF162" s="30">
        <f>'AEO 2023 Table 49 Raw'!AI149</f>
        <v>2.7E-2</v>
      </c>
    </row>
    <row r="163" spans="1:32" ht="12" customHeight="1">
      <c r="A163" s="7" t="s">
        <v>884</v>
      </c>
      <c r="B163" s="16" t="s">
        <v>743</v>
      </c>
      <c r="C163" s="18">
        <f>'AEO 2023 Table 49 Raw'!F150</f>
        <v>0</v>
      </c>
      <c r="D163" s="18">
        <f>'AEO 2023 Table 49 Raw'!G150</f>
        <v>0</v>
      </c>
      <c r="E163" s="18">
        <f>'AEO 2023 Table 49 Raw'!H150</f>
        <v>0</v>
      </c>
      <c r="F163" s="18">
        <f>'AEO 2023 Table 49 Raw'!I150</f>
        <v>0</v>
      </c>
      <c r="G163" s="18">
        <f>'AEO 2023 Table 49 Raw'!J150</f>
        <v>0</v>
      </c>
      <c r="H163" s="18">
        <f>'AEO 2023 Table 49 Raw'!K150</f>
        <v>0</v>
      </c>
      <c r="I163" s="18">
        <f>'AEO 2023 Table 49 Raw'!L150</f>
        <v>0</v>
      </c>
      <c r="J163" s="18">
        <f>'AEO 2023 Table 49 Raw'!M150</f>
        <v>0</v>
      </c>
      <c r="K163" s="18">
        <f>'AEO 2023 Table 49 Raw'!N150</f>
        <v>0</v>
      </c>
      <c r="L163" s="18">
        <f>'AEO 2023 Table 49 Raw'!O150</f>
        <v>0</v>
      </c>
      <c r="M163" s="18">
        <f>'AEO 2023 Table 49 Raw'!P150</f>
        <v>0</v>
      </c>
      <c r="N163" s="18">
        <f>'AEO 2023 Table 49 Raw'!Q150</f>
        <v>0</v>
      </c>
      <c r="O163" s="18">
        <f>'AEO 2023 Table 49 Raw'!R150</f>
        <v>0</v>
      </c>
      <c r="P163" s="18">
        <f>'AEO 2023 Table 49 Raw'!S150</f>
        <v>0</v>
      </c>
      <c r="Q163" s="18">
        <f>'AEO 2023 Table 49 Raw'!T150</f>
        <v>0</v>
      </c>
      <c r="R163" s="18">
        <f>'AEO 2023 Table 49 Raw'!U150</f>
        <v>0</v>
      </c>
      <c r="S163" s="18">
        <f>'AEO 2023 Table 49 Raw'!V150</f>
        <v>0</v>
      </c>
      <c r="T163" s="18">
        <f>'AEO 2023 Table 49 Raw'!W150</f>
        <v>0</v>
      </c>
      <c r="U163" s="18">
        <f>'AEO 2023 Table 49 Raw'!X150</f>
        <v>0</v>
      </c>
      <c r="V163" s="18">
        <f>'AEO 2023 Table 49 Raw'!Y150</f>
        <v>0</v>
      </c>
      <c r="W163" s="18">
        <f>'AEO 2023 Table 49 Raw'!Z150</f>
        <v>0</v>
      </c>
      <c r="X163" s="18">
        <f>'AEO 2023 Table 49 Raw'!AA150</f>
        <v>0</v>
      </c>
      <c r="Y163" s="18">
        <f>'AEO 2023 Table 49 Raw'!AB150</f>
        <v>0</v>
      </c>
      <c r="Z163" s="18">
        <f>'AEO 2023 Table 49 Raw'!AC150</f>
        <v>0</v>
      </c>
      <c r="AA163" s="18">
        <f>'AEO 2023 Table 49 Raw'!AD150</f>
        <v>0</v>
      </c>
      <c r="AB163" s="18">
        <f>'AEO 2023 Table 49 Raw'!AE150</f>
        <v>0</v>
      </c>
      <c r="AC163" s="18">
        <f>'AEO 2023 Table 49 Raw'!AF150</f>
        <v>0</v>
      </c>
      <c r="AD163" s="18">
        <f>'AEO 2023 Table 49 Raw'!AG150</f>
        <v>0</v>
      </c>
      <c r="AE163" s="18">
        <f>'AEO 2023 Table 49 Raw'!AH150</f>
        <v>0</v>
      </c>
      <c r="AF163" s="30" t="str">
        <f>'AEO 2023 Table 49 Raw'!AI150</f>
        <v>- -</v>
      </c>
    </row>
    <row r="164" spans="1:32" ht="15" customHeight="1">
      <c r="A164" s="7" t="s">
        <v>885</v>
      </c>
      <c r="B164" s="16" t="s">
        <v>745</v>
      </c>
      <c r="C164" s="18">
        <f>'AEO 2023 Table 49 Raw'!F151</f>
        <v>2.1100000000000001E-4</v>
      </c>
      <c r="D164" s="18">
        <f>'AEO 2023 Table 49 Raw'!G151</f>
        <v>2.4600000000000002E-4</v>
      </c>
      <c r="E164" s="18">
        <f>'AEO 2023 Table 49 Raw'!H151</f>
        <v>2.7700000000000001E-4</v>
      </c>
      <c r="F164" s="18">
        <f>'AEO 2023 Table 49 Raw'!I151</f>
        <v>3.0499999999999999E-4</v>
      </c>
      <c r="G164" s="18">
        <f>'AEO 2023 Table 49 Raw'!J151</f>
        <v>3.3199999999999999E-4</v>
      </c>
      <c r="H164" s="18">
        <f>'AEO 2023 Table 49 Raw'!K151</f>
        <v>3.5500000000000001E-4</v>
      </c>
      <c r="I164" s="18">
        <f>'AEO 2023 Table 49 Raw'!L151</f>
        <v>3.7500000000000001E-4</v>
      </c>
      <c r="J164" s="18">
        <f>'AEO 2023 Table 49 Raw'!M151</f>
        <v>3.9300000000000001E-4</v>
      </c>
      <c r="K164" s="18">
        <f>'AEO 2023 Table 49 Raw'!N151</f>
        <v>4.0700000000000003E-4</v>
      </c>
      <c r="L164" s="18">
        <f>'AEO 2023 Table 49 Raw'!O151</f>
        <v>4.1800000000000002E-4</v>
      </c>
      <c r="M164" s="18">
        <f>'AEO 2023 Table 49 Raw'!P151</f>
        <v>4.26E-4</v>
      </c>
      <c r="N164" s="18">
        <f>'AEO 2023 Table 49 Raw'!Q151</f>
        <v>4.3300000000000001E-4</v>
      </c>
      <c r="O164" s="18">
        <f>'AEO 2023 Table 49 Raw'!R151</f>
        <v>4.37E-4</v>
      </c>
      <c r="P164" s="18">
        <f>'AEO 2023 Table 49 Raw'!S151</f>
        <v>4.3899999999999999E-4</v>
      </c>
      <c r="Q164" s="18">
        <f>'AEO 2023 Table 49 Raw'!T151</f>
        <v>4.3899999999999999E-4</v>
      </c>
      <c r="R164" s="18">
        <f>'AEO 2023 Table 49 Raw'!U151</f>
        <v>4.37E-4</v>
      </c>
      <c r="S164" s="18">
        <f>'AEO 2023 Table 49 Raw'!V151</f>
        <v>4.3399999999999998E-4</v>
      </c>
      <c r="T164" s="18">
        <f>'AEO 2023 Table 49 Raw'!W151</f>
        <v>4.2999999999999999E-4</v>
      </c>
      <c r="U164" s="18">
        <f>'AEO 2023 Table 49 Raw'!X151</f>
        <v>4.2400000000000001E-4</v>
      </c>
      <c r="V164" s="18">
        <f>'AEO 2023 Table 49 Raw'!Y151</f>
        <v>4.1800000000000002E-4</v>
      </c>
      <c r="W164" s="18">
        <f>'AEO 2023 Table 49 Raw'!Z151</f>
        <v>4.0999999999999999E-4</v>
      </c>
      <c r="X164" s="18">
        <f>'AEO 2023 Table 49 Raw'!AA151</f>
        <v>4.0099999999999999E-4</v>
      </c>
      <c r="Y164" s="18">
        <f>'AEO 2023 Table 49 Raw'!AB151</f>
        <v>3.9199999999999999E-4</v>
      </c>
      <c r="Z164" s="18">
        <f>'AEO 2023 Table 49 Raw'!AC151</f>
        <v>3.8200000000000002E-4</v>
      </c>
      <c r="AA164" s="18">
        <f>'AEO 2023 Table 49 Raw'!AD151</f>
        <v>3.7199999999999999E-4</v>
      </c>
      <c r="AB164" s="18">
        <f>'AEO 2023 Table 49 Raw'!AE151</f>
        <v>3.6099999999999999E-4</v>
      </c>
      <c r="AC164" s="18">
        <f>'AEO 2023 Table 49 Raw'!AF151</f>
        <v>3.5E-4</v>
      </c>
      <c r="AD164" s="18">
        <f>'AEO 2023 Table 49 Raw'!AG151</f>
        <v>3.3799999999999998E-4</v>
      </c>
      <c r="AE164" s="18">
        <f>'AEO 2023 Table 49 Raw'!AH151</f>
        <v>3.2699999999999998E-4</v>
      </c>
      <c r="AF164" s="30">
        <f>'AEO 2023 Table 49 Raw'!AI151</f>
        <v>1.6E-2</v>
      </c>
    </row>
    <row r="165" spans="1:32" ht="15" customHeight="1">
      <c r="A165" s="7" t="s">
        <v>886</v>
      </c>
      <c r="B165" s="16" t="s">
        <v>747</v>
      </c>
      <c r="C165" s="18">
        <f>'AEO 2023 Table 49 Raw'!F152</f>
        <v>0</v>
      </c>
      <c r="D165" s="18">
        <f>'AEO 2023 Table 49 Raw'!G152</f>
        <v>0</v>
      </c>
      <c r="E165" s="18">
        <f>'AEO 2023 Table 49 Raw'!H152</f>
        <v>1.03E-4</v>
      </c>
      <c r="F165" s="18">
        <f>'AEO 2023 Table 49 Raw'!I152</f>
        <v>2.13E-4</v>
      </c>
      <c r="G165" s="18">
        <f>'AEO 2023 Table 49 Raw'!J152</f>
        <v>3.28E-4</v>
      </c>
      <c r="H165" s="18">
        <f>'AEO 2023 Table 49 Raw'!K152</f>
        <v>4.4700000000000002E-4</v>
      </c>
      <c r="I165" s="18">
        <f>'AEO 2023 Table 49 Raw'!L152</f>
        <v>5.6999999999999998E-4</v>
      </c>
      <c r="J165" s="18">
        <f>'AEO 2023 Table 49 Raw'!M152</f>
        <v>6.9300000000000004E-4</v>
      </c>
      <c r="K165" s="18">
        <f>'AEO 2023 Table 49 Raw'!N152</f>
        <v>8.1499999999999997E-4</v>
      </c>
      <c r="L165" s="18">
        <f>'AEO 2023 Table 49 Raw'!O152</f>
        <v>9.3700000000000001E-4</v>
      </c>
      <c r="M165" s="18">
        <f>'AEO 2023 Table 49 Raw'!P152</f>
        <v>1.0629999999999999E-3</v>
      </c>
      <c r="N165" s="18">
        <f>'AEO 2023 Table 49 Raw'!Q152</f>
        <v>1.1919999999999999E-3</v>
      </c>
      <c r="O165" s="18">
        <f>'AEO 2023 Table 49 Raw'!R152</f>
        <v>1.322E-3</v>
      </c>
      <c r="P165" s="18">
        <f>'AEO 2023 Table 49 Raw'!S152</f>
        <v>1.4530000000000001E-3</v>
      </c>
      <c r="Q165" s="18">
        <f>'AEO 2023 Table 49 Raw'!T152</f>
        <v>1.588E-3</v>
      </c>
      <c r="R165" s="18">
        <f>'AEO 2023 Table 49 Raw'!U152</f>
        <v>1.7279999999999999E-3</v>
      </c>
      <c r="S165" s="18">
        <f>'AEO 2023 Table 49 Raw'!V152</f>
        <v>1.8749999999999999E-3</v>
      </c>
      <c r="T165" s="18">
        <f>'AEO 2023 Table 49 Raw'!W152</f>
        <v>2.029E-3</v>
      </c>
      <c r="U165" s="18">
        <f>'AEO 2023 Table 49 Raw'!X152</f>
        <v>2.1919999999999999E-3</v>
      </c>
      <c r="V165" s="18">
        <f>'AEO 2023 Table 49 Raw'!Y152</f>
        <v>2.3609999999999998E-3</v>
      </c>
      <c r="W165" s="18">
        <f>'AEO 2023 Table 49 Raw'!Z152</f>
        <v>2.539E-3</v>
      </c>
      <c r="X165" s="18">
        <f>'AEO 2023 Table 49 Raw'!AA152</f>
        <v>2.728E-3</v>
      </c>
      <c r="Y165" s="18">
        <f>'AEO 2023 Table 49 Raw'!AB152</f>
        <v>2.9269999999999999E-3</v>
      </c>
      <c r="Z165" s="18">
        <f>'AEO 2023 Table 49 Raw'!AC152</f>
        <v>3.1350000000000002E-3</v>
      </c>
      <c r="AA165" s="18">
        <f>'AEO 2023 Table 49 Raw'!AD152</f>
        <v>3.3540000000000002E-3</v>
      </c>
      <c r="AB165" s="18">
        <f>'AEO 2023 Table 49 Raw'!AE152</f>
        <v>3.5850000000000001E-3</v>
      </c>
      <c r="AC165" s="18">
        <f>'AEO 2023 Table 49 Raw'!AF152</f>
        <v>3.8300000000000001E-3</v>
      </c>
      <c r="AD165" s="18">
        <f>'AEO 2023 Table 49 Raw'!AG152</f>
        <v>4.0930000000000003E-3</v>
      </c>
      <c r="AE165" s="18">
        <f>'AEO 2023 Table 49 Raw'!AH152</f>
        <v>4.3740000000000003E-3</v>
      </c>
      <c r="AF165" s="30" t="str">
        <f>'AEO 2023 Table 49 Raw'!AI152</f>
        <v>- -</v>
      </c>
    </row>
    <row r="166" spans="1:32" ht="15" customHeight="1">
      <c r="A166" s="7" t="s">
        <v>887</v>
      </c>
      <c r="B166" s="16" t="s">
        <v>749</v>
      </c>
      <c r="C166" s="18">
        <f>'AEO 2023 Table 49 Raw'!F153</f>
        <v>0</v>
      </c>
      <c r="D166" s="18">
        <f>'AEO 2023 Table 49 Raw'!G153</f>
        <v>0</v>
      </c>
      <c r="E166" s="18">
        <f>'AEO 2023 Table 49 Raw'!H153</f>
        <v>2.32E-4</v>
      </c>
      <c r="F166" s="18">
        <f>'AEO 2023 Table 49 Raw'!I153</f>
        <v>4.73E-4</v>
      </c>
      <c r="G166" s="18">
        <f>'AEO 2023 Table 49 Raw'!J153</f>
        <v>7.2400000000000003E-4</v>
      </c>
      <c r="H166" s="18">
        <f>'AEO 2023 Table 49 Raw'!K153</f>
        <v>9.7799999999999992E-4</v>
      </c>
      <c r="I166" s="18">
        <f>'AEO 2023 Table 49 Raw'!L153</f>
        <v>1.235E-3</v>
      </c>
      <c r="J166" s="18">
        <f>'AEO 2023 Table 49 Raw'!M153</f>
        <v>1.4890000000000001E-3</v>
      </c>
      <c r="K166" s="18">
        <f>'AEO 2023 Table 49 Raw'!N153</f>
        <v>1.737E-3</v>
      </c>
      <c r="L166" s="18">
        <f>'AEO 2023 Table 49 Raw'!O153</f>
        <v>1.983E-3</v>
      </c>
      <c r="M166" s="18">
        <f>'AEO 2023 Table 49 Raw'!P153</f>
        <v>2.232E-3</v>
      </c>
      <c r="N166" s="18">
        <f>'AEO 2023 Table 49 Raw'!Q153</f>
        <v>2.4870000000000001E-3</v>
      </c>
      <c r="O166" s="18">
        <f>'AEO 2023 Table 49 Raw'!R153</f>
        <v>2.7399999999999998E-3</v>
      </c>
      <c r="P166" s="18">
        <f>'AEO 2023 Table 49 Raw'!S153</f>
        <v>2.993E-3</v>
      </c>
      <c r="Q166" s="18">
        <f>'AEO 2023 Table 49 Raw'!T153</f>
        <v>3.2499999999999999E-3</v>
      </c>
      <c r="R166" s="18">
        <f>'AEO 2023 Table 49 Raw'!U153</f>
        <v>3.5149999999999999E-3</v>
      </c>
      <c r="S166" s="18">
        <f>'AEO 2023 Table 49 Raw'!V153</f>
        <v>3.79E-3</v>
      </c>
      <c r="T166" s="18">
        <f>'AEO 2023 Table 49 Raw'!W153</f>
        <v>4.0769999999999999E-3</v>
      </c>
      <c r="U166" s="18">
        <f>'AEO 2023 Table 49 Raw'!X153</f>
        <v>4.3750000000000004E-3</v>
      </c>
      <c r="V166" s="18">
        <f>'AEO 2023 Table 49 Raw'!Y153</f>
        <v>4.6839999999999998E-3</v>
      </c>
      <c r="W166" s="18">
        <f>'AEO 2023 Table 49 Raw'!Z153</f>
        <v>5.0029999999999996E-3</v>
      </c>
      <c r="X166" s="18">
        <f>'AEO 2023 Table 49 Raw'!AA153</f>
        <v>5.3359999999999996E-3</v>
      </c>
      <c r="Y166" s="18">
        <f>'AEO 2023 Table 49 Raw'!AB153</f>
        <v>5.6810000000000003E-3</v>
      </c>
      <c r="Z166" s="18">
        <f>'AEO 2023 Table 49 Raw'!AC153</f>
        <v>6.0350000000000004E-3</v>
      </c>
      <c r="AA166" s="18">
        <f>'AEO 2023 Table 49 Raw'!AD153</f>
        <v>6.398E-3</v>
      </c>
      <c r="AB166" s="18">
        <f>'AEO 2023 Table 49 Raw'!AE153</f>
        <v>6.7710000000000001E-3</v>
      </c>
      <c r="AC166" s="18">
        <f>'AEO 2023 Table 49 Raw'!AF153</f>
        <v>7.1539999999999998E-3</v>
      </c>
      <c r="AD166" s="18">
        <f>'AEO 2023 Table 49 Raw'!AG153</f>
        <v>7.5510000000000004E-3</v>
      </c>
      <c r="AE166" s="18">
        <f>'AEO 2023 Table 49 Raw'!AH153</f>
        <v>7.9579999999999998E-3</v>
      </c>
      <c r="AF166" s="30" t="str">
        <f>'AEO 2023 Table 49 Raw'!AI153</f>
        <v>- -</v>
      </c>
    </row>
    <row r="167" spans="1:32" ht="15" customHeight="1">
      <c r="A167" s="7" t="s">
        <v>888</v>
      </c>
      <c r="B167" s="16" t="s">
        <v>751</v>
      </c>
      <c r="C167" s="18">
        <f>'AEO 2023 Table 49 Raw'!F154</f>
        <v>0</v>
      </c>
      <c r="D167" s="18">
        <f>'AEO 2023 Table 49 Raw'!G154</f>
        <v>0</v>
      </c>
      <c r="E167" s="18">
        <f>'AEO 2023 Table 49 Raw'!H154</f>
        <v>3.39E-4</v>
      </c>
      <c r="F167" s="18">
        <f>'AEO 2023 Table 49 Raw'!I154</f>
        <v>7.0500000000000001E-4</v>
      </c>
      <c r="G167" s="18">
        <f>'AEO 2023 Table 49 Raw'!J154</f>
        <v>1.0939999999999999E-3</v>
      </c>
      <c r="H167" s="18">
        <f>'AEO 2023 Table 49 Raw'!K154</f>
        <v>1.498E-3</v>
      </c>
      <c r="I167" s="18">
        <f>'AEO 2023 Table 49 Raw'!L154</f>
        <v>1.913E-3</v>
      </c>
      <c r="J167" s="18">
        <f>'AEO 2023 Table 49 Raw'!M154</f>
        <v>2.3310000000000002E-3</v>
      </c>
      <c r="K167" s="18">
        <f>'AEO 2023 Table 49 Raw'!N154</f>
        <v>2.7430000000000002E-3</v>
      </c>
      <c r="L167" s="18">
        <f>'AEO 2023 Table 49 Raw'!O154</f>
        <v>3.15E-3</v>
      </c>
      <c r="M167" s="18">
        <f>'AEO 2023 Table 49 Raw'!P154</f>
        <v>3.5609999999999999E-3</v>
      </c>
      <c r="N167" s="18">
        <f>'AEO 2023 Table 49 Raw'!Q154</f>
        <v>3.9750000000000002E-3</v>
      </c>
      <c r="O167" s="18">
        <f>'AEO 2023 Table 49 Raw'!R154</f>
        <v>4.3810000000000003E-3</v>
      </c>
      <c r="P167" s="18">
        <f>'AEO 2023 Table 49 Raw'!S154</f>
        <v>4.7840000000000001E-3</v>
      </c>
      <c r="Q167" s="18">
        <f>'AEO 2023 Table 49 Raw'!T154</f>
        <v>5.1879999999999999E-3</v>
      </c>
      <c r="R167" s="18">
        <f>'AEO 2023 Table 49 Raw'!U154</f>
        <v>5.5979999999999997E-3</v>
      </c>
      <c r="S167" s="18">
        <f>'AEO 2023 Table 49 Raw'!V154</f>
        <v>6.019E-3</v>
      </c>
      <c r="T167" s="18">
        <f>'AEO 2023 Table 49 Raw'!W154</f>
        <v>6.4510000000000001E-3</v>
      </c>
      <c r="U167" s="18">
        <f>'AEO 2023 Table 49 Raw'!X154</f>
        <v>6.8929999999999998E-3</v>
      </c>
      <c r="V167" s="18">
        <f>'AEO 2023 Table 49 Raw'!Y154</f>
        <v>7.3410000000000003E-3</v>
      </c>
      <c r="W167" s="18">
        <f>'AEO 2023 Table 49 Raw'!Z154</f>
        <v>7.7970000000000001E-3</v>
      </c>
      <c r="X167" s="18">
        <f>'AEO 2023 Table 49 Raw'!AA154</f>
        <v>8.2649999999999998E-3</v>
      </c>
      <c r="Y167" s="18">
        <f>'AEO 2023 Table 49 Raw'!AB154</f>
        <v>8.7449999999999993E-3</v>
      </c>
      <c r="Z167" s="18">
        <f>'AEO 2023 Table 49 Raw'!AC154</f>
        <v>9.2339999999999992E-3</v>
      </c>
      <c r="AA167" s="18">
        <f>'AEO 2023 Table 49 Raw'!AD154</f>
        <v>9.7330000000000003E-3</v>
      </c>
      <c r="AB167" s="18">
        <f>'AEO 2023 Table 49 Raw'!AE154</f>
        <v>1.0248E-2</v>
      </c>
      <c r="AC167" s="18">
        <f>'AEO 2023 Table 49 Raw'!AF154</f>
        <v>1.0784E-2</v>
      </c>
      <c r="AD167" s="18">
        <f>'AEO 2023 Table 49 Raw'!AG154</f>
        <v>1.1351999999999999E-2</v>
      </c>
      <c r="AE167" s="18">
        <f>'AEO 2023 Table 49 Raw'!AH154</f>
        <v>1.1953E-2</v>
      </c>
      <c r="AF167" s="30" t="str">
        <f>'AEO 2023 Table 49 Raw'!AI154</f>
        <v>- -</v>
      </c>
    </row>
    <row r="168" spans="1:32" ht="15" customHeight="1">
      <c r="A168" s="7" t="s">
        <v>889</v>
      </c>
      <c r="B168" s="16" t="s">
        <v>777</v>
      </c>
      <c r="C168" s="18">
        <f>'AEO 2023 Table 49 Raw'!F155</f>
        <v>5.2911479999999997</v>
      </c>
      <c r="D168" s="18">
        <f>'AEO 2023 Table 49 Raw'!G155</f>
        <v>5.3277859999999997</v>
      </c>
      <c r="E168" s="18">
        <f>'AEO 2023 Table 49 Raw'!H155</f>
        <v>5.361364</v>
      </c>
      <c r="F168" s="18">
        <f>'AEO 2023 Table 49 Raw'!I155</f>
        <v>5.4141409999999999</v>
      </c>
      <c r="G168" s="18">
        <f>'AEO 2023 Table 49 Raw'!J155</f>
        <v>5.4835739999999999</v>
      </c>
      <c r="H168" s="18">
        <f>'AEO 2023 Table 49 Raw'!K155</f>
        <v>5.5588680000000004</v>
      </c>
      <c r="I168" s="18">
        <f>'AEO 2023 Table 49 Raw'!L155</f>
        <v>5.6338869999999996</v>
      </c>
      <c r="J168" s="18">
        <f>'AEO 2023 Table 49 Raw'!M155</f>
        <v>5.6994319999999998</v>
      </c>
      <c r="K168" s="18">
        <f>'AEO 2023 Table 49 Raw'!N155</f>
        <v>5.7560359999999999</v>
      </c>
      <c r="L168" s="18">
        <f>'AEO 2023 Table 49 Raw'!O155</f>
        <v>5.8058969999999999</v>
      </c>
      <c r="M168" s="18">
        <f>'AEO 2023 Table 49 Raw'!P155</f>
        <v>5.8512890000000004</v>
      </c>
      <c r="N168" s="18">
        <f>'AEO 2023 Table 49 Raw'!Q155</f>
        <v>5.8883010000000002</v>
      </c>
      <c r="O168" s="18">
        <f>'AEO 2023 Table 49 Raw'!R155</f>
        <v>5.9090590000000001</v>
      </c>
      <c r="P168" s="18">
        <f>'AEO 2023 Table 49 Raw'!S155</f>
        <v>5.9270550000000002</v>
      </c>
      <c r="Q168" s="18">
        <f>'AEO 2023 Table 49 Raw'!T155</f>
        <v>5.9491949999999996</v>
      </c>
      <c r="R168" s="18">
        <f>'AEO 2023 Table 49 Raw'!U155</f>
        <v>5.9732479999999999</v>
      </c>
      <c r="S168" s="18">
        <f>'AEO 2023 Table 49 Raw'!V155</f>
        <v>5.9989850000000002</v>
      </c>
      <c r="T168" s="18">
        <f>'AEO 2023 Table 49 Raw'!W155</f>
        <v>6.018948</v>
      </c>
      <c r="U168" s="18">
        <f>'AEO 2023 Table 49 Raw'!X155</f>
        <v>6.0332739999999996</v>
      </c>
      <c r="V168" s="18">
        <f>'AEO 2023 Table 49 Raw'!Y155</f>
        <v>6.0349839999999997</v>
      </c>
      <c r="W168" s="18">
        <f>'AEO 2023 Table 49 Raw'!Z155</f>
        <v>6.0468520000000003</v>
      </c>
      <c r="X168" s="18">
        <f>'AEO 2023 Table 49 Raw'!AA155</f>
        <v>6.0650259999999996</v>
      </c>
      <c r="Y168" s="18">
        <f>'AEO 2023 Table 49 Raw'!AB155</f>
        <v>6.0898079999999997</v>
      </c>
      <c r="Z168" s="18">
        <f>'AEO 2023 Table 49 Raw'!AC155</f>
        <v>6.1137839999999999</v>
      </c>
      <c r="AA168" s="18">
        <f>'AEO 2023 Table 49 Raw'!AD155</f>
        <v>6.1291479999999998</v>
      </c>
      <c r="AB168" s="18">
        <f>'AEO 2023 Table 49 Raw'!AE155</f>
        <v>6.1377309999999996</v>
      </c>
      <c r="AC168" s="18">
        <f>'AEO 2023 Table 49 Raw'!AF155</f>
        <v>6.1415920000000002</v>
      </c>
      <c r="AD168" s="18">
        <f>'AEO 2023 Table 49 Raw'!AG155</f>
        <v>6.1392160000000002</v>
      </c>
      <c r="AE168" s="18">
        <f>'AEO 2023 Table 49 Raw'!AH155</f>
        <v>6.1293030000000002</v>
      </c>
      <c r="AF168" s="30">
        <f>'AEO 2023 Table 49 Raw'!AI155</f>
        <v>5.0000000000000001E-3</v>
      </c>
    </row>
    <row r="169" spans="1:32" ht="15" customHeight="1">
      <c r="A169" s="7" t="s">
        <v>890</v>
      </c>
      <c r="B169" s="15" t="s">
        <v>891</v>
      </c>
      <c r="C169" s="18">
        <f>'AEO 2023 Table 49 Raw'!F156</f>
        <v>13.625920000000001</v>
      </c>
      <c r="D169" s="18">
        <f>'AEO 2023 Table 49 Raw'!G156</f>
        <v>13.830966</v>
      </c>
      <c r="E169" s="18">
        <f>'AEO 2023 Table 49 Raw'!H156</f>
        <v>14.042211999999999</v>
      </c>
      <c r="F169" s="18">
        <f>'AEO 2023 Table 49 Raw'!I156</f>
        <v>14.298769</v>
      </c>
      <c r="G169" s="18">
        <f>'AEO 2023 Table 49 Raw'!J156</f>
        <v>14.586748999999999</v>
      </c>
      <c r="H169" s="18">
        <f>'AEO 2023 Table 49 Raw'!K156</f>
        <v>14.883342000000001</v>
      </c>
      <c r="I169" s="18">
        <f>'AEO 2023 Table 49 Raw'!L156</f>
        <v>15.179776</v>
      </c>
      <c r="J169" s="18">
        <f>'AEO 2023 Table 49 Raw'!M156</f>
        <v>15.460215</v>
      </c>
      <c r="K169" s="18">
        <f>'AEO 2023 Table 49 Raw'!N156</f>
        <v>15.724275</v>
      </c>
      <c r="L169" s="18">
        <f>'AEO 2023 Table 49 Raw'!O156</f>
        <v>15.96926</v>
      </c>
      <c r="M169" s="18">
        <f>'AEO 2023 Table 49 Raw'!P156</f>
        <v>16.215009999999999</v>
      </c>
      <c r="N169" s="18">
        <f>'AEO 2023 Table 49 Raw'!Q156</f>
        <v>16.438492</v>
      </c>
      <c r="O169" s="18">
        <f>'AEO 2023 Table 49 Raw'!R156</f>
        <v>16.629252999999999</v>
      </c>
      <c r="P169" s="18">
        <f>'AEO 2023 Table 49 Raw'!S156</f>
        <v>16.807797999999998</v>
      </c>
      <c r="Q169" s="18">
        <f>'AEO 2023 Table 49 Raw'!T156</f>
        <v>16.990765</v>
      </c>
      <c r="R169" s="18">
        <f>'AEO 2023 Table 49 Raw'!U156</f>
        <v>17.179614999999998</v>
      </c>
      <c r="S169" s="18">
        <f>'AEO 2023 Table 49 Raw'!V156</f>
        <v>17.374410999999998</v>
      </c>
      <c r="T169" s="18">
        <f>'AEO 2023 Table 49 Raw'!W156</f>
        <v>17.565836000000001</v>
      </c>
      <c r="U169" s="18">
        <f>'AEO 2023 Table 49 Raw'!X156</f>
        <v>17.747601</v>
      </c>
      <c r="V169" s="18">
        <f>'AEO 2023 Table 49 Raw'!Y156</f>
        <v>17.920214000000001</v>
      </c>
      <c r="W169" s="18">
        <f>'AEO 2023 Table 49 Raw'!Z156</f>
        <v>18.102879999999999</v>
      </c>
      <c r="X169" s="18">
        <f>'AEO 2023 Table 49 Raw'!AA156</f>
        <v>18.310333</v>
      </c>
      <c r="Y169" s="18">
        <f>'AEO 2023 Table 49 Raw'!AB156</f>
        <v>18.536829000000001</v>
      </c>
      <c r="Z169" s="18">
        <f>'AEO 2023 Table 49 Raw'!AC156</f>
        <v>18.754881000000001</v>
      </c>
      <c r="AA169" s="18">
        <f>'AEO 2023 Table 49 Raw'!AD156</f>
        <v>18.954508000000001</v>
      </c>
      <c r="AB169" s="18">
        <f>'AEO 2023 Table 49 Raw'!AE156</f>
        <v>19.148928000000002</v>
      </c>
      <c r="AC169" s="18">
        <f>'AEO 2023 Table 49 Raw'!AF156</f>
        <v>19.338676</v>
      </c>
      <c r="AD169" s="18">
        <f>'AEO 2023 Table 49 Raw'!AG156</f>
        <v>19.511382999999999</v>
      </c>
      <c r="AE169" s="18">
        <f>'AEO 2023 Table 49 Raw'!AH156</f>
        <v>19.669333000000002</v>
      </c>
      <c r="AF169" s="30">
        <f>'AEO 2023 Table 49 Raw'!AI156</f>
        <v>1.2999999999999999E-2</v>
      </c>
    </row>
    <row r="170" spans="1:32" ht="15" customHeight="1">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30"/>
    </row>
    <row r="171" spans="1:32" ht="15" customHeight="1">
      <c r="B171" s="15" t="s">
        <v>148</v>
      </c>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30"/>
    </row>
    <row r="172" spans="1:32" ht="12" customHeight="1">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30"/>
    </row>
    <row r="173" spans="1:32" ht="15" customHeight="1">
      <c r="B173" s="15" t="s">
        <v>823</v>
      </c>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30"/>
    </row>
    <row r="174" spans="1:32" ht="15" customHeight="1">
      <c r="B174" s="15" t="s">
        <v>734</v>
      </c>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30"/>
    </row>
    <row r="175" spans="1:32" ht="15" customHeight="1">
      <c r="A175" s="7" t="s">
        <v>892</v>
      </c>
      <c r="B175" s="16" t="s">
        <v>736</v>
      </c>
      <c r="C175" s="18">
        <f>'AEO 2023 Table 49 Raw'!F160</f>
        <v>17.217651</v>
      </c>
      <c r="D175" s="18">
        <f>'AEO 2023 Table 49 Raw'!G160</f>
        <v>17.744102000000002</v>
      </c>
      <c r="E175" s="18">
        <f>'AEO 2023 Table 49 Raw'!H160</f>
        <v>18.613112999999998</v>
      </c>
      <c r="F175" s="18">
        <f>'AEO 2023 Table 49 Raw'!I160</f>
        <v>19.406454</v>
      </c>
      <c r="G175" s="18">
        <f>'AEO 2023 Table 49 Raw'!J160</f>
        <v>19.919450999999999</v>
      </c>
      <c r="H175" s="18">
        <f>'AEO 2023 Table 49 Raw'!K160</f>
        <v>20.357067000000001</v>
      </c>
      <c r="I175" s="18">
        <f>'AEO 2023 Table 49 Raw'!L160</f>
        <v>20.345766000000001</v>
      </c>
      <c r="J175" s="18">
        <f>'AEO 2023 Table 49 Raw'!M160</f>
        <v>20.365276000000001</v>
      </c>
      <c r="K175" s="18">
        <f>'AEO 2023 Table 49 Raw'!N160</f>
        <v>20.329483</v>
      </c>
      <c r="L175" s="18">
        <f>'AEO 2023 Table 49 Raw'!O160</f>
        <v>20.286487999999999</v>
      </c>
      <c r="M175" s="18">
        <f>'AEO 2023 Table 49 Raw'!P160</f>
        <v>20.227633000000001</v>
      </c>
      <c r="N175" s="18">
        <f>'AEO 2023 Table 49 Raw'!Q160</f>
        <v>20.160954</v>
      </c>
      <c r="O175" s="18">
        <f>'AEO 2023 Table 49 Raw'!R160</f>
        <v>20.104237000000001</v>
      </c>
      <c r="P175" s="18">
        <f>'AEO 2023 Table 49 Raw'!S160</f>
        <v>20.056694</v>
      </c>
      <c r="Q175" s="18">
        <f>'AEO 2023 Table 49 Raw'!T160</f>
        <v>20.015709000000001</v>
      </c>
      <c r="R175" s="18">
        <f>'AEO 2023 Table 49 Raw'!U160</f>
        <v>19.980319999999999</v>
      </c>
      <c r="S175" s="18">
        <f>'AEO 2023 Table 49 Raw'!V160</f>
        <v>19.946562</v>
      </c>
      <c r="T175" s="18">
        <f>'AEO 2023 Table 49 Raw'!W160</f>
        <v>19.921679000000001</v>
      </c>
      <c r="U175" s="18">
        <f>'AEO 2023 Table 49 Raw'!X160</f>
        <v>19.899581999999999</v>
      </c>
      <c r="V175" s="18">
        <f>'AEO 2023 Table 49 Raw'!Y160</f>
        <v>19.880113999999999</v>
      </c>
      <c r="W175" s="18">
        <f>'AEO 2023 Table 49 Raw'!Z160</f>
        <v>19.863033000000001</v>
      </c>
      <c r="X175" s="18">
        <f>'AEO 2023 Table 49 Raw'!AA160</f>
        <v>19.847951999999999</v>
      </c>
      <c r="Y175" s="18">
        <f>'AEO 2023 Table 49 Raw'!AB160</f>
        <v>19.834671</v>
      </c>
      <c r="Z175" s="18">
        <f>'AEO 2023 Table 49 Raw'!AC160</f>
        <v>19.822828000000001</v>
      </c>
      <c r="AA175" s="18">
        <f>'AEO 2023 Table 49 Raw'!AD160</f>
        <v>19.812082</v>
      </c>
      <c r="AB175" s="18">
        <f>'AEO 2023 Table 49 Raw'!AE160</f>
        <v>19.802446</v>
      </c>
      <c r="AC175" s="18">
        <f>'AEO 2023 Table 49 Raw'!AF160</f>
        <v>19.793932000000002</v>
      </c>
      <c r="AD175" s="18">
        <f>'AEO 2023 Table 49 Raw'!AG160</f>
        <v>19.786345000000001</v>
      </c>
      <c r="AE175" s="18">
        <f>'AEO 2023 Table 49 Raw'!AH160</f>
        <v>19.779591</v>
      </c>
      <c r="AF175" s="30">
        <f>'AEO 2023 Table 49 Raw'!AI160</f>
        <v>5.0000000000000001E-3</v>
      </c>
    </row>
    <row r="176" spans="1:32" ht="15" customHeight="1">
      <c r="A176" s="7" t="s">
        <v>893</v>
      </c>
      <c r="B176" s="16" t="s">
        <v>738</v>
      </c>
      <c r="C176" s="18">
        <f>'AEO 2023 Table 49 Raw'!F161</f>
        <v>12.602778000000001</v>
      </c>
      <c r="D176" s="18">
        <f>'AEO 2023 Table 49 Raw'!G161</f>
        <v>13.424471</v>
      </c>
      <c r="E176" s="18">
        <f>'AEO 2023 Table 49 Raw'!H161</f>
        <v>13.844147</v>
      </c>
      <c r="F176" s="18">
        <f>'AEO 2023 Table 49 Raw'!I161</f>
        <v>14.268711</v>
      </c>
      <c r="G176" s="18">
        <f>'AEO 2023 Table 49 Raw'!J161</f>
        <v>14.534000000000001</v>
      </c>
      <c r="H176" s="18">
        <f>'AEO 2023 Table 49 Raw'!K161</f>
        <v>14.870362999999999</v>
      </c>
      <c r="I176" s="18">
        <f>'AEO 2023 Table 49 Raw'!L161</f>
        <v>14.893618999999999</v>
      </c>
      <c r="J176" s="18">
        <f>'AEO 2023 Table 49 Raw'!M161</f>
        <v>14.980943</v>
      </c>
      <c r="K176" s="18">
        <f>'AEO 2023 Table 49 Raw'!N161</f>
        <v>15.045360000000001</v>
      </c>
      <c r="L176" s="18">
        <f>'AEO 2023 Table 49 Raw'!O161</f>
        <v>15.091772000000001</v>
      </c>
      <c r="M176" s="18">
        <f>'AEO 2023 Table 49 Raw'!P161</f>
        <v>15.092649</v>
      </c>
      <c r="N176" s="18">
        <f>'AEO 2023 Table 49 Raw'!Q161</f>
        <v>15.080295</v>
      </c>
      <c r="O176" s="18">
        <f>'AEO 2023 Table 49 Raw'!R161</f>
        <v>15.0722</v>
      </c>
      <c r="P176" s="18">
        <f>'AEO 2023 Table 49 Raw'!S161</f>
        <v>15.068865000000001</v>
      </c>
      <c r="Q176" s="18">
        <f>'AEO 2023 Table 49 Raw'!T161</f>
        <v>15.063532</v>
      </c>
      <c r="R176" s="18">
        <f>'AEO 2023 Table 49 Raw'!U161</f>
        <v>15.059089</v>
      </c>
      <c r="S176" s="18">
        <f>'AEO 2023 Table 49 Raw'!V161</f>
        <v>15.055775000000001</v>
      </c>
      <c r="T176" s="18">
        <f>'AEO 2023 Table 49 Raw'!W161</f>
        <v>15.053272</v>
      </c>
      <c r="U176" s="18">
        <f>'AEO 2023 Table 49 Raw'!X161</f>
        <v>15.051292999999999</v>
      </c>
      <c r="V176" s="18">
        <f>'AEO 2023 Table 49 Raw'!Y161</f>
        <v>14.504057</v>
      </c>
      <c r="W176" s="18">
        <f>'AEO 2023 Table 49 Raw'!Z161</f>
        <v>14.523482</v>
      </c>
      <c r="X176" s="18">
        <f>'AEO 2023 Table 49 Raw'!AA161</f>
        <v>14.552607999999999</v>
      </c>
      <c r="Y176" s="18">
        <f>'AEO 2023 Table 49 Raw'!AB161</f>
        <v>14.596041</v>
      </c>
      <c r="Z176" s="18">
        <f>'AEO 2023 Table 49 Raw'!AC161</f>
        <v>14.656158</v>
      </c>
      <c r="AA176" s="18">
        <f>'AEO 2023 Table 49 Raw'!AD161</f>
        <v>14.731966</v>
      </c>
      <c r="AB176" s="18">
        <f>'AEO 2023 Table 49 Raw'!AE161</f>
        <v>14.818673</v>
      </c>
      <c r="AC176" s="18">
        <f>'AEO 2023 Table 49 Raw'!AF161</f>
        <v>14.907721</v>
      </c>
      <c r="AD176" s="18">
        <f>'AEO 2023 Table 49 Raw'!AG161</f>
        <v>14.987799000000001</v>
      </c>
      <c r="AE176" s="18">
        <f>'AEO 2023 Table 49 Raw'!AH161</f>
        <v>15.053252000000001</v>
      </c>
      <c r="AF176" s="30">
        <f>'AEO 2023 Table 49 Raw'!AI161</f>
        <v>6.0000000000000001E-3</v>
      </c>
    </row>
    <row r="177" spans="1:32" ht="15" customHeight="1">
      <c r="A177" s="7" t="s">
        <v>894</v>
      </c>
      <c r="B177" s="16" t="s">
        <v>382</v>
      </c>
      <c r="C177" s="18">
        <f>'AEO 2023 Table 49 Raw'!F162</f>
        <v>12.370099</v>
      </c>
      <c r="D177" s="18">
        <f>'AEO 2023 Table 49 Raw'!G162</f>
        <v>12.423861</v>
      </c>
      <c r="E177" s="18">
        <f>'AEO 2023 Table 49 Raw'!H162</f>
        <v>12.629719</v>
      </c>
      <c r="F177" s="18">
        <f>'AEO 2023 Table 49 Raw'!I162</f>
        <v>12.777949</v>
      </c>
      <c r="G177" s="18">
        <f>'AEO 2023 Table 49 Raw'!J162</f>
        <v>12.891643</v>
      </c>
      <c r="H177" s="18">
        <f>'AEO 2023 Table 49 Raw'!K162</f>
        <v>13.075706</v>
      </c>
      <c r="I177" s="18">
        <f>'AEO 2023 Table 49 Raw'!L162</f>
        <v>13.197225</v>
      </c>
      <c r="J177" s="18">
        <f>'AEO 2023 Table 49 Raw'!M162</f>
        <v>13.404845999999999</v>
      </c>
      <c r="K177" s="18">
        <f>'AEO 2023 Table 49 Raw'!N162</f>
        <v>13.653918000000001</v>
      </c>
      <c r="L177" s="18">
        <f>'AEO 2023 Table 49 Raw'!O162</f>
        <v>13.885319000000001</v>
      </c>
      <c r="M177" s="18">
        <f>'AEO 2023 Table 49 Raw'!P162</f>
        <v>14.103802999999999</v>
      </c>
      <c r="N177" s="18">
        <f>'AEO 2023 Table 49 Raw'!Q162</f>
        <v>14.261164000000001</v>
      </c>
      <c r="O177" s="18">
        <f>'AEO 2023 Table 49 Raw'!R162</f>
        <v>14.349313</v>
      </c>
      <c r="P177" s="18">
        <f>'AEO 2023 Table 49 Raw'!S162</f>
        <v>14.374276999999999</v>
      </c>
      <c r="Q177" s="18">
        <f>'AEO 2023 Table 49 Raw'!T162</f>
        <v>14.390862</v>
      </c>
      <c r="R177" s="18">
        <f>'AEO 2023 Table 49 Raw'!U162</f>
        <v>14.392963999999999</v>
      </c>
      <c r="S177" s="18">
        <f>'AEO 2023 Table 49 Raw'!V162</f>
        <v>14.388192999999999</v>
      </c>
      <c r="T177" s="18">
        <f>'AEO 2023 Table 49 Raw'!W162</f>
        <v>14.383031000000001</v>
      </c>
      <c r="U177" s="18">
        <f>'AEO 2023 Table 49 Raw'!X162</f>
        <v>14.379376000000001</v>
      </c>
      <c r="V177" s="18">
        <f>'AEO 2023 Table 49 Raw'!Y162</f>
        <v>14.376702999999999</v>
      </c>
      <c r="W177" s="18">
        <f>'AEO 2023 Table 49 Raw'!Z162</f>
        <v>14.375076</v>
      </c>
      <c r="X177" s="18">
        <f>'AEO 2023 Table 49 Raw'!AA162</f>
        <v>14.373309000000001</v>
      </c>
      <c r="Y177" s="18">
        <f>'AEO 2023 Table 49 Raw'!AB162</f>
        <v>14.371249000000001</v>
      </c>
      <c r="Z177" s="18">
        <f>'AEO 2023 Table 49 Raw'!AC162</f>
        <v>14.369225999999999</v>
      </c>
      <c r="AA177" s="18">
        <f>'AEO 2023 Table 49 Raw'!AD162</f>
        <v>14.367286</v>
      </c>
      <c r="AB177" s="18">
        <f>'AEO 2023 Table 49 Raw'!AE162</f>
        <v>14.365677</v>
      </c>
      <c r="AC177" s="18">
        <f>'AEO 2023 Table 49 Raw'!AF162</f>
        <v>14.364300999999999</v>
      </c>
      <c r="AD177" s="18">
        <f>'AEO 2023 Table 49 Raw'!AG162</f>
        <v>14.363234</v>
      </c>
      <c r="AE177" s="18">
        <f>'AEO 2023 Table 49 Raw'!AH162</f>
        <v>14.362272000000001</v>
      </c>
      <c r="AF177" s="30">
        <f>'AEO 2023 Table 49 Raw'!AI162</f>
        <v>5.0000000000000001E-3</v>
      </c>
    </row>
    <row r="178" spans="1:32" ht="15" customHeight="1">
      <c r="A178" s="7" t="s">
        <v>895</v>
      </c>
      <c r="B178" s="16" t="s">
        <v>741</v>
      </c>
      <c r="C178" s="18">
        <f>'AEO 2023 Table 49 Raw'!F163</f>
        <v>12.486860999999999</v>
      </c>
      <c r="D178" s="18">
        <f>'AEO 2023 Table 49 Raw'!G163</f>
        <v>12.486860999999999</v>
      </c>
      <c r="E178" s="18">
        <f>'AEO 2023 Table 49 Raw'!H163</f>
        <v>12.486860999999999</v>
      </c>
      <c r="F178" s="18">
        <f>'AEO 2023 Table 49 Raw'!I163</f>
        <v>12.486860999999999</v>
      </c>
      <c r="G178" s="18">
        <f>'AEO 2023 Table 49 Raw'!J163</f>
        <v>12.486863</v>
      </c>
      <c r="H178" s="18">
        <f>'AEO 2023 Table 49 Raw'!K163</f>
        <v>12.486863</v>
      </c>
      <c r="I178" s="18">
        <f>'AEO 2023 Table 49 Raw'!L163</f>
        <v>12.486863</v>
      </c>
      <c r="J178" s="18">
        <f>'AEO 2023 Table 49 Raw'!M163</f>
        <v>12.486863</v>
      </c>
      <c r="K178" s="18">
        <f>'AEO 2023 Table 49 Raw'!N163</f>
        <v>12.48686</v>
      </c>
      <c r="L178" s="18">
        <f>'AEO 2023 Table 49 Raw'!O163</f>
        <v>12.486863</v>
      </c>
      <c r="M178" s="18">
        <f>'AEO 2023 Table 49 Raw'!P163</f>
        <v>12.486859000000001</v>
      </c>
      <c r="N178" s="18">
        <f>'AEO 2023 Table 49 Raw'!Q163</f>
        <v>12.486859000000001</v>
      </c>
      <c r="O178" s="18">
        <f>'AEO 2023 Table 49 Raw'!R163</f>
        <v>12.486859000000001</v>
      </c>
      <c r="P178" s="18">
        <f>'AEO 2023 Table 49 Raw'!S163</f>
        <v>12.486858</v>
      </c>
      <c r="Q178" s="18">
        <f>'AEO 2023 Table 49 Raw'!T163</f>
        <v>12.486863</v>
      </c>
      <c r="R178" s="18">
        <f>'AEO 2023 Table 49 Raw'!U163</f>
        <v>12.486863</v>
      </c>
      <c r="S178" s="18">
        <f>'AEO 2023 Table 49 Raw'!V163</f>
        <v>12.486863</v>
      </c>
      <c r="T178" s="18">
        <f>'AEO 2023 Table 49 Raw'!W163</f>
        <v>12.486860999999999</v>
      </c>
      <c r="U178" s="18">
        <f>'AEO 2023 Table 49 Raw'!X163</f>
        <v>12.486860999999999</v>
      </c>
      <c r="V178" s="18">
        <f>'AEO 2023 Table 49 Raw'!Y163</f>
        <v>12.486863</v>
      </c>
      <c r="W178" s="18">
        <f>'AEO 2023 Table 49 Raw'!Z163</f>
        <v>12.486860999999999</v>
      </c>
      <c r="X178" s="18">
        <f>'AEO 2023 Table 49 Raw'!AA163</f>
        <v>12.486864000000001</v>
      </c>
      <c r="Y178" s="18">
        <f>'AEO 2023 Table 49 Raw'!AB163</f>
        <v>12.486860999999999</v>
      </c>
      <c r="Z178" s="18">
        <f>'AEO 2023 Table 49 Raw'!AC163</f>
        <v>12.486860999999999</v>
      </c>
      <c r="AA178" s="18">
        <f>'AEO 2023 Table 49 Raw'!AD163</f>
        <v>12.48686</v>
      </c>
      <c r="AB178" s="18">
        <f>'AEO 2023 Table 49 Raw'!AE163</f>
        <v>12.486864000000001</v>
      </c>
      <c r="AC178" s="18">
        <f>'AEO 2023 Table 49 Raw'!AF163</f>
        <v>12.486863</v>
      </c>
      <c r="AD178" s="18">
        <f>'AEO 2023 Table 49 Raw'!AG163</f>
        <v>12.486864000000001</v>
      </c>
      <c r="AE178" s="18">
        <f>'AEO 2023 Table 49 Raw'!AH163</f>
        <v>12.486860999999999</v>
      </c>
      <c r="AF178" s="30">
        <f>'AEO 2023 Table 49 Raw'!AI163</f>
        <v>0</v>
      </c>
    </row>
    <row r="179" spans="1:32" ht="15" customHeight="1">
      <c r="A179" s="7" t="s">
        <v>896</v>
      </c>
      <c r="B179" s="16" t="s">
        <v>743</v>
      </c>
      <c r="C179" s="18">
        <f>'AEO 2023 Table 49 Raw'!F164</f>
        <v>12.856377999999999</v>
      </c>
      <c r="D179" s="18">
        <f>'AEO 2023 Table 49 Raw'!G164</f>
        <v>13.20093</v>
      </c>
      <c r="E179" s="18">
        <f>'AEO 2023 Table 49 Raw'!H164</f>
        <v>13.608930000000001</v>
      </c>
      <c r="F179" s="18">
        <f>'AEO 2023 Table 49 Raw'!I164</f>
        <v>14.025847000000001</v>
      </c>
      <c r="G179" s="18">
        <f>'AEO 2023 Table 49 Raw'!J164</f>
        <v>14.287955999999999</v>
      </c>
      <c r="H179" s="18">
        <f>'AEO 2023 Table 49 Raw'!K164</f>
        <v>14.621302</v>
      </c>
      <c r="I179" s="18">
        <f>'AEO 2023 Table 49 Raw'!L164</f>
        <v>14.646343</v>
      </c>
      <c r="J179" s="18">
        <f>'AEO 2023 Table 49 Raw'!M164</f>
        <v>14.734266999999999</v>
      </c>
      <c r="K179" s="18">
        <f>'AEO 2023 Table 49 Raw'!N164</f>
        <v>14.797757000000001</v>
      </c>
      <c r="L179" s="18">
        <f>'AEO 2023 Table 49 Raw'!O164</f>
        <v>14.841548</v>
      </c>
      <c r="M179" s="18">
        <f>'AEO 2023 Table 49 Raw'!P164</f>
        <v>14.838324</v>
      </c>
      <c r="N179" s="18">
        <f>'AEO 2023 Table 49 Raw'!Q164</f>
        <v>14.82273</v>
      </c>
      <c r="O179" s="18">
        <f>'AEO 2023 Table 49 Raw'!R164</f>
        <v>14.808649000000001</v>
      </c>
      <c r="P179" s="18">
        <f>'AEO 2023 Table 49 Raw'!S164</f>
        <v>14.801766000000001</v>
      </c>
      <c r="Q179" s="18">
        <f>'AEO 2023 Table 49 Raw'!T164</f>
        <v>14.794805999999999</v>
      </c>
      <c r="R179" s="18">
        <f>'AEO 2023 Table 49 Raw'!U164</f>
        <v>14.790613</v>
      </c>
      <c r="S179" s="18">
        <f>'AEO 2023 Table 49 Raw'!V164</f>
        <v>14.787017000000001</v>
      </c>
      <c r="T179" s="18">
        <f>'AEO 2023 Table 49 Raw'!W164</f>
        <v>14.783522</v>
      </c>
      <c r="U179" s="18">
        <f>'AEO 2023 Table 49 Raw'!X164</f>
        <v>14.781934</v>
      </c>
      <c r="V179" s="18">
        <f>'AEO 2023 Table 49 Raw'!Y164</f>
        <v>14.225555999999999</v>
      </c>
      <c r="W179" s="18">
        <f>'AEO 2023 Table 49 Raw'!Z164</f>
        <v>14.235229</v>
      </c>
      <c r="X179" s="18">
        <f>'AEO 2023 Table 49 Raw'!AA164</f>
        <v>14.265335</v>
      </c>
      <c r="Y179" s="18">
        <f>'AEO 2023 Table 49 Raw'!AB164</f>
        <v>14.310340999999999</v>
      </c>
      <c r="Z179" s="18">
        <f>'AEO 2023 Table 49 Raw'!AC164</f>
        <v>14.372424000000001</v>
      </c>
      <c r="AA179" s="18">
        <f>'AEO 2023 Table 49 Raw'!AD164</f>
        <v>14.450157000000001</v>
      </c>
      <c r="AB179" s="18">
        <f>'AEO 2023 Table 49 Raw'!AE164</f>
        <v>14.539440000000001</v>
      </c>
      <c r="AC179" s="18">
        <f>'AEO 2023 Table 49 Raw'!AF164</f>
        <v>14.631843</v>
      </c>
      <c r="AD179" s="18">
        <f>'AEO 2023 Table 49 Raw'!AG164</f>
        <v>14.715491</v>
      </c>
      <c r="AE179" s="18">
        <f>'AEO 2023 Table 49 Raw'!AH164</f>
        <v>14.784141</v>
      </c>
      <c r="AF179" s="30">
        <f>'AEO 2023 Table 49 Raw'!AI164</f>
        <v>5.0000000000000001E-3</v>
      </c>
    </row>
    <row r="180" spans="1:32" ht="15" customHeight="1">
      <c r="A180" s="7" t="s">
        <v>897</v>
      </c>
      <c r="B180" s="16" t="s">
        <v>745</v>
      </c>
      <c r="C180" s="18">
        <f>'AEO 2023 Table 49 Raw'!F165</f>
        <v>27.219131000000001</v>
      </c>
      <c r="D180" s="18">
        <f>'AEO 2023 Table 49 Raw'!G165</f>
        <v>27.246206000000001</v>
      </c>
      <c r="E180" s="18">
        <f>'AEO 2023 Table 49 Raw'!H165</f>
        <v>27.281479000000001</v>
      </c>
      <c r="F180" s="18">
        <f>'AEO 2023 Table 49 Raw'!I165</f>
        <v>27.325984999999999</v>
      </c>
      <c r="G180" s="18">
        <f>'AEO 2023 Table 49 Raw'!J165</f>
        <v>27.380227999999999</v>
      </c>
      <c r="H180" s="18">
        <f>'AEO 2023 Table 49 Raw'!K165</f>
        <v>27.443396</v>
      </c>
      <c r="I180" s="18">
        <f>'AEO 2023 Table 49 Raw'!L165</f>
        <v>27.474347999999999</v>
      </c>
      <c r="J180" s="18">
        <f>'AEO 2023 Table 49 Raw'!M165</f>
        <v>27.529593999999999</v>
      </c>
      <c r="K180" s="18">
        <f>'AEO 2023 Table 49 Raw'!N165</f>
        <v>27.582577000000001</v>
      </c>
      <c r="L180" s="18">
        <f>'AEO 2023 Table 49 Raw'!O165</f>
        <v>27.631516000000001</v>
      </c>
      <c r="M180" s="18">
        <f>'AEO 2023 Table 49 Raw'!P165</f>
        <v>27.674510999999999</v>
      </c>
      <c r="N180" s="18">
        <f>'AEO 2023 Table 49 Raw'!Q165</f>
        <v>27.700320999999999</v>
      </c>
      <c r="O180" s="18">
        <f>'AEO 2023 Table 49 Raw'!R165</f>
        <v>27.708849000000001</v>
      </c>
      <c r="P180" s="18">
        <f>'AEO 2023 Table 49 Raw'!S165</f>
        <v>27.716260999999999</v>
      </c>
      <c r="Q180" s="18">
        <f>'AEO 2023 Table 49 Raw'!T165</f>
        <v>27.722021000000002</v>
      </c>
      <c r="R180" s="18">
        <f>'AEO 2023 Table 49 Raw'!U165</f>
        <v>27.722662</v>
      </c>
      <c r="S180" s="18">
        <f>'AEO 2023 Table 49 Raw'!V165</f>
        <v>27.722632999999998</v>
      </c>
      <c r="T180" s="18">
        <f>'AEO 2023 Table 49 Raw'!W165</f>
        <v>27.722607</v>
      </c>
      <c r="U180" s="18">
        <f>'AEO 2023 Table 49 Raw'!X165</f>
        <v>27.722588999999999</v>
      </c>
      <c r="V180" s="18">
        <f>'AEO 2023 Table 49 Raw'!Y165</f>
        <v>27.722577999999999</v>
      </c>
      <c r="W180" s="18">
        <f>'AEO 2023 Table 49 Raw'!Z165</f>
        <v>27.722567000000002</v>
      </c>
      <c r="X180" s="18">
        <f>'AEO 2023 Table 49 Raw'!AA165</f>
        <v>27.722564999999999</v>
      </c>
      <c r="Y180" s="18">
        <f>'AEO 2023 Table 49 Raw'!AB165</f>
        <v>27.722549000000001</v>
      </c>
      <c r="Z180" s="18">
        <f>'AEO 2023 Table 49 Raw'!AC165</f>
        <v>27.722548</v>
      </c>
      <c r="AA180" s="18">
        <f>'AEO 2023 Table 49 Raw'!AD165</f>
        <v>27.722542000000001</v>
      </c>
      <c r="AB180" s="18">
        <f>'AEO 2023 Table 49 Raw'!AE165</f>
        <v>27.722548</v>
      </c>
      <c r="AC180" s="18">
        <f>'AEO 2023 Table 49 Raw'!AF165</f>
        <v>27.722542000000001</v>
      </c>
      <c r="AD180" s="18">
        <f>'AEO 2023 Table 49 Raw'!AG165</f>
        <v>27.722542000000001</v>
      </c>
      <c r="AE180" s="18">
        <f>'AEO 2023 Table 49 Raw'!AH165</f>
        <v>27.722532000000001</v>
      </c>
      <c r="AF180" s="30">
        <f>'AEO 2023 Table 49 Raw'!AI165</f>
        <v>1E-3</v>
      </c>
    </row>
    <row r="181" spans="1:32" ht="12" customHeight="1">
      <c r="A181" s="7" t="s">
        <v>898</v>
      </c>
      <c r="B181" s="16" t="s">
        <v>747</v>
      </c>
      <c r="C181" s="18">
        <f>'AEO 2023 Table 49 Raw'!F166</f>
        <v>0</v>
      </c>
      <c r="D181" s="18">
        <f>'AEO 2023 Table 49 Raw'!G166</f>
        <v>23.149602999999999</v>
      </c>
      <c r="E181" s="18">
        <f>'AEO 2023 Table 49 Raw'!H166</f>
        <v>23.792294999999999</v>
      </c>
      <c r="F181" s="18">
        <f>'AEO 2023 Table 49 Raw'!I166</f>
        <v>24.200839999999999</v>
      </c>
      <c r="G181" s="18">
        <f>'AEO 2023 Table 49 Raw'!J166</f>
        <v>24.605046999999999</v>
      </c>
      <c r="H181" s="18">
        <f>'AEO 2023 Table 49 Raw'!K166</f>
        <v>25.171638000000002</v>
      </c>
      <c r="I181" s="18">
        <f>'AEO 2023 Table 49 Raw'!L166</f>
        <v>25.638380000000002</v>
      </c>
      <c r="J181" s="18">
        <f>'AEO 2023 Table 49 Raw'!M166</f>
        <v>26.350712000000001</v>
      </c>
      <c r="K181" s="18">
        <f>'AEO 2023 Table 49 Raw'!N166</f>
        <v>27.125641000000002</v>
      </c>
      <c r="L181" s="18">
        <f>'AEO 2023 Table 49 Raw'!O166</f>
        <v>27.895655000000001</v>
      </c>
      <c r="M181" s="18">
        <f>'AEO 2023 Table 49 Raw'!P166</f>
        <v>28.569617999999998</v>
      </c>
      <c r="N181" s="18">
        <f>'AEO 2023 Table 49 Raw'!Q166</f>
        <v>28.919391999999998</v>
      </c>
      <c r="O181" s="18">
        <f>'AEO 2023 Table 49 Raw'!R166</f>
        <v>29.067191999999999</v>
      </c>
      <c r="P181" s="18">
        <f>'AEO 2023 Table 49 Raw'!S166</f>
        <v>29.093648999999999</v>
      </c>
      <c r="Q181" s="18">
        <f>'AEO 2023 Table 49 Raw'!T166</f>
        <v>29.114096</v>
      </c>
      <c r="R181" s="18">
        <f>'AEO 2023 Table 49 Raw'!U166</f>
        <v>29.116447000000001</v>
      </c>
      <c r="S181" s="18">
        <f>'AEO 2023 Table 49 Raw'!V166</f>
        <v>29.109842</v>
      </c>
      <c r="T181" s="18">
        <f>'AEO 2023 Table 49 Raw'!W166</f>
        <v>29.103829999999999</v>
      </c>
      <c r="U181" s="18">
        <f>'AEO 2023 Table 49 Raw'!X166</f>
        <v>29.098240000000001</v>
      </c>
      <c r="V181" s="18">
        <f>'AEO 2023 Table 49 Raw'!Y166</f>
        <v>29.093197</v>
      </c>
      <c r="W181" s="18">
        <f>'AEO 2023 Table 49 Raw'!Z166</f>
        <v>29.089124999999999</v>
      </c>
      <c r="X181" s="18">
        <f>'AEO 2023 Table 49 Raw'!AA166</f>
        <v>29.085042999999999</v>
      </c>
      <c r="Y181" s="18">
        <f>'AEO 2023 Table 49 Raw'!AB166</f>
        <v>29.081071999999999</v>
      </c>
      <c r="Z181" s="18">
        <f>'AEO 2023 Table 49 Raw'!AC166</f>
        <v>29.077499</v>
      </c>
      <c r="AA181" s="18">
        <f>'AEO 2023 Table 49 Raw'!AD166</f>
        <v>29.074244</v>
      </c>
      <c r="AB181" s="18">
        <f>'AEO 2023 Table 49 Raw'!AE166</f>
        <v>29.071300999999998</v>
      </c>
      <c r="AC181" s="18">
        <f>'AEO 2023 Table 49 Raw'!AF166</f>
        <v>29.068680000000001</v>
      </c>
      <c r="AD181" s="18">
        <f>'AEO 2023 Table 49 Raw'!AG166</f>
        <v>29.066320000000001</v>
      </c>
      <c r="AE181" s="18">
        <f>'AEO 2023 Table 49 Raw'!AH166</f>
        <v>29.064229999999998</v>
      </c>
      <c r="AF181" s="30" t="str">
        <f>'AEO 2023 Table 49 Raw'!AI166</f>
        <v>- -</v>
      </c>
    </row>
    <row r="182" spans="1:32" ht="12" customHeight="1">
      <c r="A182" s="7" t="s">
        <v>899</v>
      </c>
      <c r="B182" s="16" t="s">
        <v>749</v>
      </c>
      <c r="C182" s="18">
        <f>'AEO 2023 Table 49 Raw'!F167</f>
        <v>0</v>
      </c>
      <c r="D182" s="18">
        <f>'AEO 2023 Table 49 Raw'!G167</f>
        <v>18.966135000000001</v>
      </c>
      <c r="E182" s="18">
        <f>'AEO 2023 Table 49 Raw'!H167</f>
        <v>19.217065999999999</v>
      </c>
      <c r="F182" s="18">
        <f>'AEO 2023 Table 49 Raw'!I167</f>
        <v>19.464846000000001</v>
      </c>
      <c r="G182" s="18">
        <f>'AEO 2023 Table 49 Raw'!J167</f>
        <v>19.583196999999998</v>
      </c>
      <c r="H182" s="18">
        <f>'AEO 2023 Table 49 Raw'!K167</f>
        <v>19.765567999999998</v>
      </c>
      <c r="I182" s="18">
        <f>'AEO 2023 Table 49 Raw'!L167</f>
        <v>19.883178999999998</v>
      </c>
      <c r="J182" s="18">
        <f>'AEO 2023 Table 49 Raw'!M167</f>
        <v>20.084596999999999</v>
      </c>
      <c r="K182" s="18">
        <f>'AEO 2023 Table 49 Raw'!N167</f>
        <v>20.313245999999999</v>
      </c>
      <c r="L182" s="18">
        <f>'AEO 2023 Table 49 Raw'!O167</f>
        <v>20.535800999999999</v>
      </c>
      <c r="M182" s="18">
        <f>'AEO 2023 Table 49 Raw'!P167</f>
        <v>20.723002999999999</v>
      </c>
      <c r="N182" s="18">
        <f>'AEO 2023 Table 49 Raw'!Q167</f>
        <v>20.855868999999998</v>
      </c>
      <c r="O182" s="18">
        <f>'AEO 2023 Table 49 Raw'!R167</f>
        <v>20.952625000000001</v>
      </c>
      <c r="P182" s="18">
        <f>'AEO 2023 Table 49 Raw'!S167</f>
        <v>20.993577999999999</v>
      </c>
      <c r="Q182" s="18">
        <f>'AEO 2023 Table 49 Raw'!T167</f>
        <v>21.033982999999999</v>
      </c>
      <c r="R182" s="18">
        <f>'AEO 2023 Table 49 Raw'!U167</f>
        <v>21.055209999999999</v>
      </c>
      <c r="S182" s="18">
        <f>'AEO 2023 Table 49 Raw'!V167</f>
        <v>21.058744000000001</v>
      </c>
      <c r="T182" s="18">
        <f>'AEO 2023 Table 49 Raw'!W167</f>
        <v>21.054012</v>
      </c>
      <c r="U182" s="18">
        <f>'AEO 2023 Table 49 Raw'!X167</f>
        <v>21.050003</v>
      </c>
      <c r="V182" s="18">
        <f>'AEO 2023 Table 49 Raw'!Y167</f>
        <v>21.046147999999999</v>
      </c>
      <c r="W182" s="18">
        <f>'AEO 2023 Table 49 Raw'!Z167</f>
        <v>21.043344000000001</v>
      </c>
      <c r="X182" s="18">
        <f>'AEO 2023 Table 49 Raw'!AA167</f>
        <v>21.040512</v>
      </c>
      <c r="Y182" s="18">
        <f>'AEO 2023 Table 49 Raw'!AB167</f>
        <v>21.038179</v>
      </c>
      <c r="Z182" s="18">
        <f>'AEO 2023 Table 49 Raw'!AC167</f>
        <v>21.036017999999999</v>
      </c>
      <c r="AA182" s="18">
        <f>'AEO 2023 Table 49 Raw'!AD167</f>
        <v>21.033674000000001</v>
      </c>
      <c r="AB182" s="18">
        <f>'AEO 2023 Table 49 Raw'!AE167</f>
        <v>21.031624000000001</v>
      </c>
      <c r="AC182" s="18">
        <f>'AEO 2023 Table 49 Raw'!AF167</f>
        <v>21.030093999999998</v>
      </c>
      <c r="AD182" s="18">
        <f>'AEO 2023 Table 49 Raw'!AG167</f>
        <v>21.028852000000001</v>
      </c>
      <c r="AE182" s="18">
        <f>'AEO 2023 Table 49 Raw'!AH167</f>
        <v>21.027874000000001</v>
      </c>
      <c r="AF182" s="30" t="str">
        <f>'AEO 2023 Table 49 Raw'!AI167</f>
        <v>- -</v>
      </c>
    </row>
    <row r="183" spans="1:32" ht="15" customHeight="1">
      <c r="A183" s="7" t="s">
        <v>900</v>
      </c>
      <c r="B183" s="16" t="s">
        <v>751</v>
      </c>
      <c r="C183" s="18">
        <f>'AEO 2023 Table 49 Raw'!F168</f>
        <v>0</v>
      </c>
      <c r="D183" s="18">
        <f>'AEO 2023 Table 49 Raw'!G168</f>
        <v>0</v>
      </c>
      <c r="E183" s="18">
        <f>'AEO 2023 Table 49 Raw'!H168</f>
        <v>18.589188</v>
      </c>
      <c r="F183" s="18">
        <f>'AEO 2023 Table 49 Raw'!I168</f>
        <v>16.244858000000001</v>
      </c>
      <c r="G183" s="18">
        <f>'AEO 2023 Table 49 Raw'!J168</f>
        <v>16.244858000000001</v>
      </c>
      <c r="H183" s="18">
        <f>'AEO 2023 Table 49 Raw'!K168</f>
        <v>16.244858000000001</v>
      </c>
      <c r="I183" s="18">
        <f>'AEO 2023 Table 49 Raw'!L168</f>
        <v>16.244858000000001</v>
      </c>
      <c r="J183" s="18">
        <f>'AEO 2023 Table 49 Raw'!M168</f>
        <v>16.244858000000001</v>
      </c>
      <c r="K183" s="18">
        <f>'AEO 2023 Table 49 Raw'!N168</f>
        <v>16.244858000000001</v>
      </c>
      <c r="L183" s="18">
        <f>'AEO 2023 Table 49 Raw'!O168</f>
        <v>16.244858000000001</v>
      </c>
      <c r="M183" s="18">
        <f>'AEO 2023 Table 49 Raw'!P168</f>
        <v>16.244858000000001</v>
      </c>
      <c r="N183" s="18">
        <f>'AEO 2023 Table 49 Raw'!Q168</f>
        <v>16.244858000000001</v>
      </c>
      <c r="O183" s="18">
        <f>'AEO 2023 Table 49 Raw'!R168</f>
        <v>16.244858000000001</v>
      </c>
      <c r="P183" s="18">
        <f>'AEO 2023 Table 49 Raw'!S168</f>
        <v>16.244858000000001</v>
      </c>
      <c r="Q183" s="18">
        <f>'AEO 2023 Table 49 Raw'!T168</f>
        <v>16.244858000000001</v>
      </c>
      <c r="R183" s="18">
        <f>'AEO 2023 Table 49 Raw'!U168</f>
        <v>16.244858000000001</v>
      </c>
      <c r="S183" s="18">
        <f>'AEO 2023 Table 49 Raw'!V168</f>
        <v>16.244858000000001</v>
      </c>
      <c r="T183" s="18">
        <f>'AEO 2023 Table 49 Raw'!W168</f>
        <v>16.244858000000001</v>
      </c>
      <c r="U183" s="18">
        <f>'AEO 2023 Table 49 Raw'!X168</f>
        <v>16.244858000000001</v>
      </c>
      <c r="V183" s="18">
        <f>'AEO 2023 Table 49 Raw'!Y168</f>
        <v>16.244858000000001</v>
      </c>
      <c r="W183" s="18">
        <f>'AEO 2023 Table 49 Raw'!Z168</f>
        <v>16.244858000000001</v>
      </c>
      <c r="X183" s="18">
        <f>'AEO 2023 Table 49 Raw'!AA168</f>
        <v>16.244858000000001</v>
      </c>
      <c r="Y183" s="18">
        <f>'AEO 2023 Table 49 Raw'!AB168</f>
        <v>16.244858000000001</v>
      </c>
      <c r="Z183" s="18">
        <f>'AEO 2023 Table 49 Raw'!AC168</f>
        <v>16.244858000000001</v>
      </c>
      <c r="AA183" s="18">
        <f>'AEO 2023 Table 49 Raw'!AD168</f>
        <v>16.244858000000001</v>
      </c>
      <c r="AB183" s="18">
        <f>'AEO 2023 Table 49 Raw'!AE168</f>
        <v>16.244858000000001</v>
      </c>
      <c r="AC183" s="18">
        <f>'AEO 2023 Table 49 Raw'!AF168</f>
        <v>16.244858000000001</v>
      </c>
      <c r="AD183" s="18">
        <f>'AEO 2023 Table 49 Raw'!AG168</f>
        <v>16.244858000000001</v>
      </c>
      <c r="AE183" s="18">
        <f>'AEO 2023 Table 49 Raw'!AH168</f>
        <v>16.244858000000001</v>
      </c>
      <c r="AF183" s="30" t="str">
        <f>'AEO 2023 Table 49 Raw'!AI168</f>
        <v>- -</v>
      </c>
    </row>
    <row r="184" spans="1:32" ht="15" customHeight="1">
      <c r="A184" s="7" t="s">
        <v>901</v>
      </c>
      <c r="B184" s="16" t="s">
        <v>834</v>
      </c>
      <c r="C184" s="18">
        <f>'AEO 2023 Table 49 Raw'!F169</f>
        <v>15.490895999999999</v>
      </c>
      <c r="D184" s="18">
        <f>'AEO 2023 Table 49 Raw'!G169</f>
        <v>16.166305999999999</v>
      </c>
      <c r="E184" s="18">
        <f>'AEO 2023 Table 49 Raw'!H169</f>
        <v>16.862936000000001</v>
      </c>
      <c r="F184" s="18">
        <f>'AEO 2023 Table 49 Raw'!I169</f>
        <v>17.517621999999999</v>
      </c>
      <c r="G184" s="18">
        <f>'AEO 2023 Table 49 Raw'!J169</f>
        <v>17.939973999999999</v>
      </c>
      <c r="H184" s="18">
        <f>'AEO 2023 Table 49 Raw'!K169</f>
        <v>18.351084</v>
      </c>
      <c r="I184" s="18">
        <f>'AEO 2023 Table 49 Raw'!L169</f>
        <v>18.363810999999998</v>
      </c>
      <c r="J184" s="18">
        <f>'AEO 2023 Table 49 Raw'!M169</f>
        <v>18.421906</v>
      </c>
      <c r="K184" s="18">
        <f>'AEO 2023 Table 49 Raw'!N169</f>
        <v>18.436741000000001</v>
      </c>
      <c r="L184" s="18">
        <f>'AEO 2023 Table 49 Raw'!O169</f>
        <v>18.438327999999998</v>
      </c>
      <c r="M184" s="18">
        <f>'AEO 2023 Table 49 Raw'!P169</f>
        <v>18.410077999999999</v>
      </c>
      <c r="N184" s="18">
        <f>'AEO 2023 Table 49 Raw'!Q169</f>
        <v>18.370756</v>
      </c>
      <c r="O184" s="18">
        <f>'AEO 2023 Table 49 Raw'!R169</f>
        <v>18.338426999999999</v>
      </c>
      <c r="P184" s="18">
        <f>'AEO 2023 Table 49 Raw'!S169</f>
        <v>18.312878000000001</v>
      </c>
      <c r="Q184" s="18">
        <f>'AEO 2023 Table 49 Raw'!T169</f>
        <v>18.289845</v>
      </c>
      <c r="R184" s="18">
        <f>'AEO 2023 Table 49 Raw'!U169</f>
        <v>18.270005999999999</v>
      </c>
      <c r="S184" s="18">
        <f>'AEO 2023 Table 49 Raw'!V169</f>
        <v>18.251180999999999</v>
      </c>
      <c r="T184" s="18">
        <f>'AEO 2023 Table 49 Raw'!W169</f>
        <v>18.237627</v>
      </c>
      <c r="U184" s="18">
        <f>'AEO 2023 Table 49 Raw'!X169</f>
        <v>18.225670000000001</v>
      </c>
      <c r="V184" s="18">
        <f>'AEO 2023 Table 49 Raw'!Y169</f>
        <v>17.98377</v>
      </c>
      <c r="W184" s="18">
        <f>'AEO 2023 Table 49 Raw'!Z169</f>
        <v>17.984095</v>
      </c>
      <c r="X184" s="18">
        <f>'AEO 2023 Table 49 Raw'!AA169</f>
        <v>17.989407</v>
      </c>
      <c r="Y184" s="18">
        <f>'AEO 2023 Table 49 Raw'!AB169</f>
        <v>18.001579</v>
      </c>
      <c r="Z184" s="18">
        <f>'AEO 2023 Table 49 Raw'!AC169</f>
        <v>18.021345</v>
      </c>
      <c r="AA184" s="18">
        <f>'AEO 2023 Table 49 Raw'!AD169</f>
        <v>18.048006000000001</v>
      </c>
      <c r="AB184" s="18">
        <f>'AEO 2023 Table 49 Raw'!AE169</f>
        <v>18.079432000000001</v>
      </c>
      <c r="AC184" s="18">
        <f>'AEO 2023 Table 49 Raw'!AF169</f>
        <v>18.112024000000002</v>
      </c>
      <c r="AD184" s="18">
        <f>'AEO 2023 Table 49 Raw'!AG169</f>
        <v>18.141033</v>
      </c>
      <c r="AE184" s="18">
        <f>'AEO 2023 Table 49 Raw'!AH169</f>
        <v>18.164223</v>
      </c>
      <c r="AF184" s="30">
        <f>'AEO 2023 Table 49 Raw'!AI169</f>
        <v>6.0000000000000001E-3</v>
      </c>
    </row>
    <row r="185" spans="1:32" ht="15" customHeight="1">
      <c r="B185" s="15" t="s">
        <v>754</v>
      </c>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30"/>
    </row>
    <row r="186" spans="1:32" ht="15" customHeight="1">
      <c r="A186" s="7" t="s">
        <v>902</v>
      </c>
      <c r="B186" s="16" t="s">
        <v>736</v>
      </c>
      <c r="C186" s="18">
        <f>'AEO 2023 Table 49 Raw'!F171</f>
        <v>10.573097000000001</v>
      </c>
      <c r="D186" s="18">
        <f>'AEO 2023 Table 49 Raw'!G171</f>
        <v>11.142481999999999</v>
      </c>
      <c r="E186" s="18">
        <f>'AEO 2023 Table 49 Raw'!H171</f>
        <v>11.550675</v>
      </c>
      <c r="F186" s="18">
        <f>'AEO 2023 Table 49 Raw'!I171</f>
        <v>11.977062999999999</v>
      </c>
      <c r="G186" s="18">
        <f>'AEO 2023 Table 49 Raw'!J171</f>
        <v>12.422694</v>
      </c>
      <c r="H186" s="18">
        <f>'AEO 2023 Table 49 Raw'!K171</f>
        <v>12.829067</v>
      </c>
      <c r="I186" s="18">
        <f>'AEO 2023 Table 49 Raw'!L171</f>
        <v>12.983183</v>
      </c>
      <c r="J186" s="18">
        <f>'AEO 2023 Table 49 Raw'!M171</f>
        <v>13.298928</v>
      </c>
      <c r="K186" s="18">
        <f>'AEO 2023 Table 49 Raw'!N171</f>
        <v>13.580273999999999</v>
      </c>
      <c r="L186" s="18">
        <f>'AEO 2023 Table 49 Raw'!O171</f>
        <v>13.839663</v>
      </c>
      <c r="M186" s="18">
        <f>'AEO 2023 Table 49 Raw'!P171</f>
        <v>13.962664</v>
      </c>
      <c r="N186" s="18">
        <f>'AEO 2023 Table 49 Raw'!Q171</f>
        <v>13.93507</v>
      </c>
      <c r="O186" s="18">
        <f>'AEO 2023 Table 49 Raw'!R171</f>
        <v>13.911441999999999</v>
      </c>
      <c r="P186" s="18">
        <f>'AEO 2023 Table 49 Raw'!S171</f>
        <v>13.891622999999999</v>
      </c>
      <c r="Q186" s="18">
        <f>'AEO 2023 Table 49 Raw'!T171</f>
        <v>13.875118000000001</v>
      </c>
      <c r="R186" s="18">
        <f>'AEO 2023 Table 49 Raw'!U171</f>
        <v>13.861440999999999</v>
      </c>
      <c r="S186" s="18">
        <f>'AEO 2023 Table 49 Raw'!V171</f>
        <v>13.850263999999999</v>
      </c>
      <c r="T186" s="18">
        <f>'AEO 2023 Table 49 Raw'!W171</f>
        <v>13.841043000000001</v>
      </c>
      <c r="U186" s="18">
        <f>'AEO 2023 Table 49 Raw'!X171</f>
        <v>13.833132000000001</v>
      </c>
      <c r="V186" s="18">
        <f>'AEO 2023 Table 49 Raw'!Y171</f>
        <v>13.826354</v>
      </c>
      <c r="W186" s="18">
        <f>'AEO 2023 Table 49 Raw'!Z171</f>
        <v>13.820491000000001</v>
      </c>
      <c r="X186" s="18">
        <f>'AEO 2023 Table 49 Raw'!AA171</f>
        <v>13.815535000000001</v>
      </c>
      <c r="Y186" s="18">
        <f>'AEO 2023 Table 49 Raw'!AB171</f>
        <v>13.811344</v>
      </c>
      <c r="Z186" s="18">
        <f>'AEO 2023 Table 49 Raw'!AC171</f>
        <v>13.807777</v>
      </c>
      <c r="AA186" s="18">
        <f>'AEO 2023 Table 49 Raw'!AD171</f>
        <v>13.804619000000001</v>
      </c>
      <c r="AB186" s="18">
        <f>'AEO 2023 Table 49 Raw'!AE171</f>
        <v>13.801878</v>
      </c>
      <c r="AC186" s="18">
        <f>'AEO 2023 Table 49 Raw'!AF171</f>
        <v>13.799593</v>
      </c>
      <c r="AD186" s="18">
        <f>'AEO 2023 Table 49 Raw'!AG171</f>
        <v>13.797670999999999</v>
      </c>
      <c r="AE186" s="18">
        <f>'AEO 2023 Table 49 Raw'!AH171</f>
        <v>13.796167000000001</v>
      </c>
      <c r="AF186" s="30">
        <f>'AEO 2023 Table 49 Raw'!AI171</f>
        <v>0.01</v>
      </c>
    </row>
    <row r="187" spans="1:32" ht="15" customHeight="1">
      <c r="A187" s="7" t="s">
        <v>903</v>
      </c>
      <c r="B187" s="16" t="s">
        <v>738</v>
      </c>
      <c r="C187" s="18">
        <f>'AEO 2023 Table 49 Raw'!F172</f>
        <v>7.5891770000000003</v>
      </c>
      <c r="D187" s="18">
        <f>'AEO 2023 Table 49 Raw'!G172</f>
        <v>7.6523339999999997</v>
      </c>
      <c r="E187" s="18">
        <f>'AEO 2023 Table 49 Raw'!H172</f>
        <v>7.8744550000000002</v>
      </c>
      <c r="F187" s="18">
        <f>'AEO 2023 Table 49 Raw'!I172</f>
        <v>8.1242289999999997</v>
      </c>
      <c r="G187" s="18">
        <f>'AEO 2023 Table 49 Raw'!J172</f>
        <v>8.3943469999999998</v>
      </c>
      <c r="H187" s="18">
        <f>'AEO 2023 Table 49 Raw'!K172</f>
        <v>8.6589279999999995</v>
      </c>
      <c r="I187" s="18">
        <f>'AEO 2023 Table 49 Raw'!L172</f>
        <v>8.7443919999999995</v>
      </c>
      <c r="J187" s="18">
        <f>'AEO 2023 Table 49 Raw'!M172</f>
        <v>8.950094</v>
      </c>
      <c r="K187" s="18">
        <f>'AEO 2023 Table 49 Raw'!N172</f>
        <v>9.1302690000000002</v>
      </c>
      <c r="L187" s="18">
        <f>'AEO 2023 Table 49 Raw'!O172</f>
        <v>9.29664</v>
      </c>
      <c r="M187" s="18">
        <f>'AEO 2023 Table 49 Raw'!P172</f>
        <v>9.4047549999999998</v>
      </c>
      <c r="N187" s="18">
        <f>'AEO 2023 Table 49 Raw'!Q172</f>
        <v>9.4433319999999998</v>
      </c>
      <c r="O187" s="18">
        <f>'AEO 2023 Table 49 Raw'!R172</f>
        <v>9.4775770000000001</v>
      </c>
      <c r="P187" s="18">
        <f>'AEO 2023 Table 49 Raw'!S172</f>
        <v>9.4981810000000007</v>
      </c>
      <c r="Q187" s="18">
        <f>'AEO 2023 Table 49 Raw'!T172</f>
        <v>9.5133659999999995</v>
      </c>
      <c r="R187" s="18">
        <f>'AEO 2023 Table 49 Raw'!U172</f>
        <v>9.5167750000000009</v>
      </c>
      <c r="S187" s="18">
        <f>'AEO 2023 Table 49 Raw'!V172</f>
        <v>9.5163709999999995</v>
      </c>
      <c r="T187" s="18">
        <f>'AEO 2023 Table 49 Raw'!W172</f>
        <v>9.5160710000000002</v>
      </c>
      <c r="U187" s="18">
        <f>'AEO 2023 Table 49 Raw'!X172</f>
        <v>9.515841</v>
      </c>
      <c r="V187" s="18">
        <f>'AEO 2023 Table 49 Raw'!Y172</f>
        <v>9.5156679999999998</v>
      </c>
      <c r="W187" s="18">
        <f>'AEO 2023 Table 49 Raw'!Z172</f>
        <v>9.5155329999999996</v>
      </c>
      <c r="X187" s="18">
        <f>'AEO 2023 Table 49 Raw'!AA172</f>
        <v>9.5154340000000008</v>
      </c>
      <c r="Y187" s="18">
        <f>'AEO 2023 Table 49 Raw'!AB172</f>
        <v>9.5153590000000001</v>
      </c>
      <c r="Z187" s="18">
        <f>'AEO 2023 Table 49 Raw'!AC172</f>
        <v>9.5152990000000006</v>
      </c>
      <c r="AA187" s="18">
        <f>'AEO 2023 Table 49 Raw'!AD172</f>
        <v>9.5152549999999998</v>
      </c>
      <c r="AB187" s="18">
        <f>'AEO 2023 Table 49 Raw'!AE172</f>
        <v>9.5152210000000004</v>
      </c>
      <c r="AC187" s="18">
        <f>'AEO 2023 Table 49 Raw'!AF172</f>
        <v>9.5151939999999993</v>
      </c>
      <c r="AD187" s="18">
        <f>'AEO 2023 Table 49 Raw'!AG172</f>
        <v>9.5151730000000008</v>
      </c>
      <c r="AE187" s="18">
        <f>'AEO 2023 Table 49 Raw'!AH172</f>
        <v>9.5151610000000009</v>
      </c>
      <c r="AF187" s="30">
        <f>'AEO 2023 Table 49 Raw'!AI172</f>
        <v>8.0000000000000002E-3</v>
      </c>
    </row>
    <row r="188" spans="1:32" ht="12" customHeight="1">
      <c r="A188" s="7" t="s">
        <v>904</v>
      </c>
      <c r="B188" s="16" t="s">
        <v>382</v>
      </c>
      <c r="C188" s="18">
        <f>'AEO 2023 Table 49 Raw'!F173</f>
        <v>7.1242470000000004</v>
      </c>
      <c r="D188" s="18">
        <f>'AEO 2023 Table 49 Raw'!G173</f>
        <v>7.216818</v>
      </c>
      <c r="E188" s="18">
        <f>'AEO 2023 Table 49 Raw'!H173</f>
        <v>7.356338</v>
      </c>
      <c r="F188" s="18">
        <f>'AEO 2023 Table 49 Raw'!I173</f>
        <v>7.5275080000000001</v>
      </c>
      <c r="G188" s="18">
        <f>'AEO 2023 Table 49 Raw'!J173</f>
        <v>7.7367439999999998</v>
      </c>
      <c r="H188" s="18">
        <f>'AEO 2023 Table 49 Raw'!K173</f>
        <v>7.9802749999999998</v>
      </c>
      <c r="I188" s="18">
        <f>'AEO 2023 Table 49 Raw'!L173</f>
        <v>8.1329689999999992</v>
      </c>
      <c r="J188" s="18">
        <f>'AEO 2023 Table 49 Raw'!M173</f>
        <v>8.3850580000000008</v>
      </c>
      <c r="K188" s="18">
        <f>'AEO 2023 Table 49 Raw'!N173</f>
        <v>8.6340389999999996</v>
      </c>
      <c r="L188" s="18">
        <f>'AEO 2023 Table 49 Raw'!O173</f>
        <v>8.8846019999999992</v>
      </c>
      <c r="M188" s="18">
        <f>'AEO 2023 Table 49 Raw'!P173</f>
        <v>9.1037320000000008</v>
      </c>
      <c r="N188" s="18">
        <f>'AEO 2023 Table 49 Raw'!Q173</f>
        <v>9.2685969999999998</v>
      </c>
      <c r="O188" s="18">
        <f>'AEO 2023 Table 49 Raw'!R173</f>
        <v>9.3673669999999998</v>
      </c>
      <c r="P188" s="18">
        <f>'AEO 2023 Table 49 Raw'!S173</f>
        <v>9.3986730000000005</v>
      </c>
      <c r="Q188" s="18">
        <f>'AEO 2023 Table 49 Raw'!T173</f>
        <v>9.4239759999999997</v>
      </c>
      <c r="R188" s="18">
        <f>'AEO 2023 Table 49 Raw'!U173</f>
        <v>9.4243430000000004</v>
      </c>
      <c r="S188" s="18">
        <f>'AEO 2023 Table 49 Raw'!V173</f>
        <v>9.4240860000000009</v>
      </c>
      <c r="T188" s="18">
        <f>'AEO 2023 Table 49 Raw'!W173</f>
        <v>9.4238769999999992</v>
      </c>
      <c r="U188" s="18">
        <f>'AEO 2023 Table 49 Raw'!X173</f>
        <v>9.4237210000000005</v>
      </c>
      <c r="V188" s="18">
        <f>'AEO 2023 Table 49 Raw'!Y173</f>
        <v>9.4235749999999996</v>
      </c>
      <c r="W188" s="18">
        <f>'AEO 2023 Table 49 Raw'!Z173</f>
        <v>9.4234550000000006</v>
      </c>
      <c r="X188" s="18">
        <f>'AEO 2023 Table 49 Raw'!AA173</f>
        <v>9.4233600000000006</v>
      </c>
      <c r="Y188" s="18">
        <f>'AEO 2023 Table 49 Raw'!AB173</f>
        <v>9.4233170000000008</v>
      </c>
      <c r="Z188" s="18">
        <f>'AEO 2023 Table 49 Raw'!AC173</f>
        <v>9.4232969999999998</v>
      </c>
      <c r="AA188" s="18">
        <f>'AEO 2023 Table 49 Raw'!AD173</f>
        <v>9.4232879999999994</v>
      </c>
      <c r="AB188" s="18">
        <f>'AEO 2023 Table 49 Raw'!AE173</f>
        <v>9.4232800000000001</v>
      </c>
      <c r="AC188" s="18">
        <f>'AEO 2023 Table 49 Raw'!AF173</f>
        <v>9.4232779999999998</v>
      </c>
      <c r="AD188" s="18">
        <f>'AEO 2023 Table 49 Raw'!AG173</f>
        <v>9.4232709999999997</v>
      </c>
      <c r="AE188" s="18">
        <f>'AEO 2023 Table 49 Raw'!AH173</f>
        <v>9.4232750000000003</v>
      </c>
      <c r="AF188" s="30">
        <f>'AEO 2023 Table 49 Raw'!AI173</f>
        <v>0.01</v>
      </c>
    </row>
    <row r="189" spans="1:32" ht="15" customHeight="1">
      <c r="A189" s="7" t="s">
        <v>905</v>
      </c>
      <c r="B189" s="16" t="s">
        <v>741</v>
      </c>
      <c r="C189" s="18">
        <f>'AEO 2023 Table 49 Raw'!F174</f>
        <v>7.292313</v>
      </c>
      <c r="D189" s="18">
        <f>'AEO 2023 Table 49 Raw'!G174</f>
        <v>7.4887620000000004</v>
      </c>
      <c r="E189" s="18">
        <f>'AEO 2023 Table 49 Raw'!H174</f>
        <v>7.6989830000000001</v>
      </c>
      <c r="F189" s="18">
        <f>'AEO 2023 Table 49 Raw'!I174</f>
        <v>7.9405089999999996</v>
      </c>
      <c r="G189" s="18">
        <f>'AEO 2023 Table 49 Raw'!J174</f>
        <v>8.1946619999999992</v>
      </c>
      <c r="H189" s="18">
        <f>'AEO 2023 Table 49 Raw'!K174</f>
        <v>8.4437359999999995</v>
      </c>
      <c r="I189" s="18">
        <f>'AEO 2023 Table 49 Raw'!L174</f>
        <v>8.5496529999999993</v>
      </c>
      <c r="J189" s="18">
        <f>'AEO 2023 Table 49 Raw'!M174</f>
        <v>8.7321190000000009</v>
      </c>
      <c r="K189" s="18">
        <f>'AEO 2023 Table 49 Raw'!N174</f>
        <v>8.8933470000000003</v>
      </c>
      <c r="L189" s="18">
        <f>'AEO 2023 Table 49 Raw'!O174</f>
        <v>9.0443850000000001</v>
      </c>
      <c r="M189" s="18">
        <f>'AEO 2023 Table 49 Raw'!P174</f>
        <v>9.1423909999999999</v>
      </c>
      <c r="N189" s="18">
        <f>'AEO 2023 Table 49 Raw'!Q174</f>
        <v>9.1668219999999998</v>
      </c>
      <c r="O189" s="18">
        <f>'AEO 2023 Table 49 Raw'!R174</f>
        <v>9.1616040000000005</v>
      </c>
      <c r="P189" s="18">
        <f>'AEO 2023 Table 49 Raw'!S174</f>
        <v>9.1576190000000004</v>
      </c>
      <c r="Q189" s="18">
        <f>'AEO 2023 Table 49 Raw'!T174</f>
        <v>9.1545670000000001</v>
      </c>
      <c r="R189" s="18">
        <f>'AEO 2023 Table 49 Raw'!U174</f>
        <v>9.1522020000000008</v>
      </c>
      <c r="S189" s="18">
        <f>'AEO 2023 Table 49 Raw'!V174</f>
        <v>9.1503770000000006</v>
      </c>
      <c r="T189" s="18">
        <f>'AEO 2023 Table 49 Raw'!W174</f>
        <v>9.148968</v>
      </c>
      <c r="U189" s="18">
        <f>'AEO 2023 Table 49 Raw'!X174</f>
        <v>9.1478660000000005</v>
      </c>
      <c r="V189" s="18">
        <f>'AEO 2023 Table 49 Raw'!Y174</f>
        <v>9.1470079999999996</v>
      </c>
      <c r="W189" s="18">
        <f>'AEO 2023 Table 49 Raw'!Z174</f>
        <v>9.1463330000000003</v>
      </c>
      <c r="X189" s="18">
        <f>'AEO 2023 Table 49 Raw'!AA174</f>
        <v>9.1457940000000004</v>
      </c>
      <c r="Y189" s="18">
        <f>'AEO 2023 Table 49 Raw'!AB174</f>
        <v>9.1453620000000004</v>
      </c>
      <c r="Z189" s="18">
        <f>'AEO 2023 Table 49 Raw'!AC174</f>
        <v>9.145016</v>
      </c>
      <c r="AA189" s="18">
        <f>'AEO 2023 Table 49 Raw'!AD174</f>
        <v>9.1447339999999997</v>
      </c>
      <c r="AB189" s="18">
        <f>'AEO 2023 Table 49 Raw'!AE174</f>
        <v>9.1445059999999998</v>
      </c>
      <c r="AC189" s="18">
        <f>'AEO 2023 Table 49 Raw'!AF174</f>
        <v>9.1443200000000004</v>
      </c>
      <c r="AD189" s="18">
        <f>'AEO 2023 Table 49 Raw'!AG174</f>
        <v>9.1441730000000003</v>
      </c>
      <c r="AE189" s="18">
        <f>'AEO 2023 Table 49 Raw'!AH174</f>
        <v>9.14405</v>
      </c>
      <c r="AF189" s="30">
        <f>'AEO 2023 Table 49 Raw'!AI174</f>
        <v>8.0000000000000002E-3</v>
      </c>
    </row>
    <row r="190" spans="1:32" ht="15" customHeight="1">
      <c r="A190" s="7" t="s">
        <v>906</v>
      </c>
      <c r="B190" s="16" t="s">
        <v>743</v>
      </c>
      <c r="C190" s="18">
        <f>'AEO 2023 Table 49 Raw'!F175</f>
        <v>7.2663060000000002</v>
      </c>
      <c r="D190" s="18">
        <f>'AEO 2023 Table 49 Raw'!G175</f>
        <v>7.4555300000000004</v>
      </c>
      <c r="E190" s="18">
        <f>'AEO 2023 Table 49 Raw'!H175</f>
        <v>7.6718359999999999</v>
      </c>
      <c r="F190" s="18">
        <f>'AEO 2023 Table 49 Raw'!I175</f>
        <v>7.9160760000000003</v>
      </c>
      <c r="G190" s="18">
        <f>'AEO 2023 Table 49 Raw'!J175</f>
        <v>8.1797450000000005</v>
      </c>
      <c r="H190" s="18">
        <f>'AEO 2023 Table 49 Raw'!K175</f>
        <v>8.4372439999999997</v>
      </c>
      <c r="I190" s="18">
        <f>'AEO 2023 Table 49 Raw'!L175</f>
        <v>8.5197730000000007</v>
      </c>
      <c r="J190" s="18">
        <f>'AEO 2023 Table 49 Raw'!M175</f>
        <v>8.7195079999999994</v>
      </c>
      <c r="K190" s="18">
        <f>'AEO 2023 Table 49 Raw'!N175</f>
        <v>8.8943320000000003</v>
      </c>
      <c r="L190" s="18">
        <f>'AEO 2023 Table 49 Raw'!O175</f>
        <v>9.0558060000000005</v>
      </c>
      <c r="M190" s="18">
        <f>'AEO 2023 Table 49 Raw'!P175</f>
        <v>9.1607590000000005</v>
      </c>
      <c r="N190" s="18">
        <f>'AEO 2023 Table 49 Raw'!Q175</f>
        <v>9.1982040000000005</v>
      </c>
      <c r="O190" s="18">
        <f>'AEO 2023 Table 49 Raw'!R175</f>
        <v>9.2316839999999996</v>
      </c>
      <c r="P190" s="18">
        <f>'AEO 2023 Table 49 Raw'!S175</f>
        <v>9.2516850000000002</v>
      </c>
      <c r="Q190" s="18">
        <f>'AEO 2023 Table 49 Raw'!T175</f>
        <v>9.266845</v>
      </c>
      <c r="R190" s="18">
        <f>'AEO 2023 Table 49 Raw'!U175</f>
        <v>9.2707099999999993</v>
      </c>
      <c r="S190" s="18">
        <f>'AEO 2023 Table 49 Raw'!V175</f>
        <v>9.2705110000000008</v>
      </c>
      <c r="T190" s="18">
        <f>'AEO 2023 Table 49 Raw'!W175</f>
        <v>9.2702580000000001</v>
      </c>
      <c r="U190" s="18">
        <f>'AEO 2023 Table 49 Raw'!X175</f>
        <v>9.2700849999999999</v>
      </c>
      <c r="V190" s="18">
        <f>'AEO 2023 Table 49 Raw'!Y175</f>
        <v>9.2699850000000001</v>
      </c>
      <c r="W190" s="18">
        <f>'AEO 2023 Table 49 Raw'!Z175</f>
        <v>9.2699289999999994</v>
      </c>
      <c r="X190" s="18">
        <f>'AEO 2023 Table 49 Raw'!AA175</f>
        <v>9.2698719999999994</v>
      </c>
      <c r="Y190" s="18">
        <f>'AEO 2023 Table 49 Raw'!AB175</f>
        <v>9.2698280000000004</v>
      </c>
      <c r="Z190" s="18">
        <f>'AEO 2023 Table 49 Raw'!AC175</f>
        <v>9.2698</v>
      </c>
      <c r="AA190" s="18">
        <f>'AEO 2023 Table 49 Raw'!AD175</f>
        <v>9.2698009999999993</v>
      </c>
      <c r="AB190" s="18">
        <f>'AEO 2023 Table 49 Raw'!AE175</f>
        <v>9.2698009999999993</v>
      </c>
      <c r="AC190" s="18">
        <f>'AEO 2023 Table 49 Raw'!AF175</f>
        <v>9.2697959999999995</v>
      </c>
      <c r="AD190" s="18">
        <f>'AEO 2023 Table 49 Raw'!AG175</f>
        <v>9.2697909999999997</v>
      </c>
      <c r="AE190" s="18">
        <f>'AEO 2023 Table 49 Raw'!AH175</f>
        <v>9.2697839999999996</v>
      </c>
      <c r="AF190" s="30">
        <f>'AEO 2023 Table 49 Raw'!AI175</f>
        <v>8.9999999999999993E-3</v>
      </c>
    </row>
    <row r="191" spans="1:32" ht="15" customHeight="1">
      <c r="A191" s="7" t="s">
        <v>907</v>
      </c>
      <c r="B191" s="16" t="s">
        <v>745</v>
      </c>
      <c r="C191" s="18">
        <f>'AEO 2023 Table 49 Raw'!F176</f>
        <v>17.261649999999999</v>
      </c>
      <c r="D191" s="18">
        <f>'AEO 2023 Table 49 Raw'!G176</f>
        <v>17.508955</v>
      </c>
      <c r="E191" s="18">
        <f>'AEO 2023 Table 49 Raw'!H176</f>
        <v>17.854617999999999</v>
      </c>
      <c r="F191" s="18">
        <f>'AEO 2023 Table 49 Raw'!I176</f>
        <v>18.280691000000001</v>
      </c>
      <c r="G191" s="18">
        <f>'AEO 2023 Table 49 Raw'!J176</f>
        <v>18.794691</v>
      </c>
      <c r="H191" s="18">
        <f>'AEO 2023 Table 49 Raw'!K176</f>
        <v>19.322081000000001</v>
      </c>
      <c r="I191" s="18">
        <f>'AEO 2023 Table 49 Raw'!L176</f>
        <v>19.567142</v>
      </c>
      <c r="J191" s="18">
        <f>'AEO 2023 Table 49 Raw'!M176</f>
        <v>20.083326</v>
      </c>
      <c r="K191" s="18">
        <f>'AEO 2023 Table 49 Raw'!N176</f>
        <v>20.583573999999999</v>
      </c>
      <c r="L191" s="18">
        <f>'AEO 2023 Table 49 Raw'!O176</f>
        <v>21.050308000000001</v>
      </c>
      <c r="M191" s="18">
        <f>'AEO 2023 Table 49 Raw'!P176</f>
        <v>21.371737</v>
      </c>
      <c r="N191" s="18">
        <f>'AEO 2023 Table 49 Raw'!Q176</f>
        <v>21.448775999999999</v>
      </c>
      <c r="O191" s="18">
        <f>'AEO 2023 Table 49 Raw'!R176</f>
        <v>21.473773999999999</v>
      </c>
      <c r="P191" s="18">
        <f>'AEO 2023 Table 49 Raw'!S176</f>
        <v>21.561295999999999</v>
      </c>
      <c r="Q191" s="18">
        <f>'AEO 2023 Table 49 Raw'!T176</f>
        <v>21.629854000000002</v>
      </c>
      <c r="R191" s="18">
        <f>'AEO 2023 Table 49 Raw'!U176</f>
        <v>21.681643999999999</v>
      </c>
      <c r="S191" s="18">
        <f>'AEO 2023 Table 49 Raw'!V176</f>
        <v>21.724883999999999</v>
      </c>
      <c r="T191" s="18">
        <f>'AEO 2023 Table 49 Raw'!W176</f>
        <v>21.749371</v>
      </c>
      <c r="U191" s="18">
        <f>'AEO 2023 Table 49 Raw'!X176</f>
        <v>21.766476000000001</v>
      </c>
      <c r="V191" s="18">
        <f>'AEO 2023 Table 49 Raw'!Y176</f>
        <v>21.779071999999999</v>
      </c>
      <c r="W191" s="18">
        <f>'AEO 2023 Table 49 Raw'!Z176</f>
        <v>21.780203</v>
      </c>
      <c r="X191" s="18">
        <f>'AEO 2023 Table 49 Raw'!AA176</f>
        <v>21.780716000000002</v>
      </c>
      <c r="Y191" s="18">
        <f>'AEO 2023 Table 49 Raw'!AB176</f>
        <v>21.779817999999999</v>
      </c>
      <c r="Z191" s="18">
        <f>'AEO 2023 Table 49 Raw'!AC176</f>
        <v>21.778154000000001</v>
      </c>
      <c r="AA191" s="18">
        <f>'AEO 2023 Table 49 Raw'!AD176</f>
        <v>21.776806000000001</v>
      </c>
      <c r="AB191" s="18">
        <f>'AEO 2023 Table 49 Raw'!AE176</f>
        <v>21.776888</v>
      </c>
      <c r="AC191" s="18">
        <f>'AEO 2023 Table 49 Raw'!AF176</f>
        <v>21.776876000000001</v>
      </c>
      <c r="AD191" s="18">
        <f>'AEO 2023 Table 49 Raw'!AG176</f>
        <v>21.775303000000001</v>
      </c>
      <c r="AE191" s="18">
        <f>'AEO 2023 Table 49 Raw'!AH176</f>
        <v>21.771277999999999</v>
      </c>
      <c r="AF191" s="30">
        <f>'AEO 2023 Table 49 Raw'!AI176</f>
        <v>8.0000000000000002E-3</v>
      </c>
    </row>
    <row r="192" spans="1:32" ht="15" customHeight="1">
      <c r="A192" s="7" t="s">
        <v>908</v>
      </c>
      <c r="B192" s="16" t="s">
        <v>747</v>
      </c>
      <c r="C192" s="18">
        <f>'AEO 2023 Table 49 Raw'!F177</f>
        <v>0</v>
      </c>
      <c r="D192" s="18">
        <f>'AEO 2023 Table 49 Raw'!G177</f>
        <v>0</v>
      </c>
      <c r="E192" s="18">
        <f>'AEO 2023 Table 49 Raw'!H177</f>
        <v>14.554</v>
      </c>
      <c r="F192" s="18">
        <f>'AEO 2023 Table 49 Raw'!I177</f>
        <v>15.066958</v>
      </c>
      <c r="G192" s="18">
        <f>'AEO 2023 Table 49 Raw'!J177</f>
        <v>15.341419999999999</v>
      </c>
      <c r="H192" s="18">
        <f>'AEO 2023 Table 49 Raw'!K177</f>
        <v>15.709078999999999</v>
      </c>
      <c r="I192" s="18">
        <f>'AEO 2023 Table 49 Raw'!L177</f>
        <v>15.967656</v>
      </c>
      <c r="J192" s="18">
        <f>'AEO 2023 Table 49 Raw'!M177</f>
        <v>16.337116000000002</v>
      </c>
      <c r="K192" s="18">
        <f>'AEO 2023 Table 49 Raw'!N177</f>
        <v>16.689360000000001</v>
      </c>
      <c r="L192" s="18">
        <f>'AEO 2023 Table 49 Raw'!O177</f>
        <v>17.07855</v>
      </c>
      <c r="M192" s="18">
        <f>'AEO 2023 Table 49 Raw'!P177</f>
        <v>17.488775</v>
      </c>
      <c r="N192" s="18">
        <f>'AEO 2023 Table 49 Raw'!Q177</f>
        <v>17.886354000000001</v>
      </c>
      <c r="O192" s="18">
        <f>'AEO 2023 Table 49 Raw'!R177</f>
        <v>18.199643999999999</v>
      </c>
      <c r="P192" s="18">
        <f>'AEO 2023 Table 49 Raw'!S177</f>
        <v>18.308191000000001</v>
      </c>
      <c r="Q192" s="18">
        <f>'AEO 2023 Table 49 Raw'!T177</f>
        <v>18.502431999999999</v>
      </c>
      <c r="R192" s="18">
        <f>'AEO 2023 Table 49 Raw'!U177</f>
        <v>18.604255999999999</v>
      </c>
      <c r="S192" s="18">
        <f>'AEO 2023 Table 49 Raw'!V177</f>
        <v>18.599921999999999</v>
      </c>
      <c r="T192" s="18">
        <f>'AEO 2023 Table 49 Raw'!W177</f>
        <v>18.595988999999999</v>
      </c>
      <c r="U192" s="18">
        <f>'AEO 2023 Table 49 Raw'!X177</f>
        <v>18.588878999999999</v>
      </c>
      <c r="V192" s="18">
        <f>'AEO 2023 Table 49 Raw'!Y177</f>
        <v>18.580458</v>
      </c>
      <c r="W192" s="18">
        <f>'AEO 2023 Table 49 Raw'!Z177</f>
        <v>18.572319</v>
      </c>
      <c r="X192" s="18">
        <f>'AEO 2023 Table 49 Raw'!AA177</f>
        <v>18.565365</v>
      </c>
      <c r="Y192" s="18">
        <f>'AEO 2023 Table 49 Raw'!AB177</f>
        <v>18.559593</v>
      </c>
      <c r="Z192" s="18">
        <f>'AEO 2023 Table 49 Raw'!AC177</f>
        <v>18.554870999999999</v>
      </c>
      <c r="AA192" s="18">
        <f>'AEO 2023 Table 49 Raw'!AD177</f>
        <v>18.550796999999999</v>
      </c>
      <c r="AB192" s="18">
        <f>'AEO 2023 Table 49 Raw'!AE177</f>
        <v>18.547432000000001</v>
      </c>
      <c r="AC192" s="18">
        <f>'AEO 2023 Table 49 Raw'!AF177</f>
        <v>18.545000000000002</v>
      </c>
      <c r="AD192" s="18">
        <f>'AEO 2023 Table 49 Raw'!AG177</f>
        <v>18.404453</v>
      </c>
      <c r="AE192" s="18">
        <f>'AEO 2023 Table 49 Raw'!AH177</f>
        <v>18.411501000000001</v>
      </c>
      <c r="AF192" s="30" t="str">
        <f>'AEO 2023 Table 49 Raw'!AI177</f>
        <v>- -</v>
      </c>
    </row>
    <row r="193" spans="1:32" ht="15" customHeight="1">
      <c r="A193" s="7" t="s">
        <v>909</v>
      </c>
      <c r="B193" s="16" t="s">
        <v>749</v>
      </c>
      <c r="C193" s="18">
        <f>'AEO 2023 Table 49 Raw'!F178</f>
        <v>0</v>
      </c>
      <c r="D193" s="18">
        <f>'AEO 2023 Table 49 Raw'!G178</f>
        <v>0</v>
      </c>
      <c r="E193" s="18">
        <f>'AEO 2023 Table 49 Raw'!H178</f>
        <v>10.500056000000001</v>
      </c>
      <c r="F193" s="18">
        <f>'AEO 2023 Table 49 Raw'!I178</f>
        <v>10.814230999999999</v>
      </c>
      <c r="G193" s="18">
        <f>'AEO 2023 Table 49 Raw'!J178</f>
        <v>10.961114999999999</v>
      </c>
      <c r="H193" s="18">
        <f>'AEO 2023 Table 49 Raw'!K178</f>
        <v>11.15465</v>
      </c>
      <c r="I193" s="18">
        <f>'AEO 2023 Table 49 Raw'!L178</f>
        <v>11.297912999999999</v>
      </c>
      <c r="J193" s="18">
        <f>'AEO 2023 Table 49 Raw'!M178</f>
        <v>11.516861</v>
      </c>
      <c r="K193" s="18">
        <f>'AEO 2023 Table 49 Raw'!N178</f>
        <v>11.773405</v>
      </c>
      <c r="L193" s="18">
        <f>'AEO 2023 Table 49 Raw'!O178</f>
        <v>12.060518</v>
      </c>
      <c r="M193" s="18">
        <f>'AEO 2023 Table 49 Raw'!P178</f>
        <v>12.363200000000001</v>
      </c>
      <c r="N193" s="18">
        <f>'AEO 2023 Table 49 Raw'!Q178</f>
        <v>12.652893000000001</v>
      </c>
      <c r="O193" s="18">
        <f>'AEO 2023 Table 49 Raw'!R178</f>
        <v>12.906107</v>
      </c>
      <c r="P193" s="18">
        <f>'AEO 2023 Table 49 Raw'!S178</f>
        <v>12.960440999999999</v>
      </c>
      <c r="Q193" s="18">
        <f>'AEO 2023 Table 49 Raw'!T178</f>
        <v>13.11445</v>
      </c>
      <c r="R193" s="18">
        <f>'AEO 2023 Table 49 Raw'!U178</f>
        <v>13.196939</v>
      </c>
      <c r="S193" s="18">
        <f>'AEO 2023 Table 49 Raw'!V178</f>
        <v>13.203151</v>
      </c>
      <c r="T193" s="18">
        <f>'AEO 2023 Table 49 Raw'!W178</f>
        <v>13.201480999999999</v>
      </c>
      <c r="U193" s="18">
        <f>'AEO 2023 Table 49 Raw'!X178</f>
        <v>13.196258</v>
      </c>
      <c r="V193" s="18">
        <f>'AEO 2023 Table 49 Raw'!Y178</f>
        <v>13.188408000000001</v>
      </c>
      <c r="W193" s="18">
        <f>'AEO 2023 Table 49 Raw'!Z178</f>
        <v>13.181312999999999</v>
      </c>
      <c r="X193" s="18">
        <f>'AEO 2023 Table 49 Raw'!AA178</f>
        <v>13.175032</v>
      </c>
      <c r="Y193" s="18">
        <f>'AEO 2023 Table 49 Raw'!AB178</f>
        <v>13.169506</v>
      </c>
      <c r="Z193" s="18">
        <f>'AEO 2023 Table 49 Raw'!AC178</f>
        <v>13.164567</v>
      </c>
      <c r="AA193" s="18">
        <f>'AEO 2023 Table 49 Raw'!AD178</f>
        <v>13.160104</v>
      </c>
      <c r="AB193" s="18">
        <f>'AEO 2023 Table 49 Raw'!AE178</f>
        <v>13.156112</v>
      </c>
      <c r="AC193" s="18">
        <f>'AEO 2023 Table 49 Raw'!AF178</f>
        <v>13.152601000000001</v>
      </c>
      <c r="AD193" s="18">
        <f>'AEO 2023 Table 49 Raw'!AG178</f>
        <v>13.149487000000001</v>
      </c>
      <c r="AE193" s="18">
        <f>'AEO 2023 Table 49 Raw'!AH178</f>
        <v>13.146787</v>
      </c>
      <c r="AF193" s="30" t="str">
        <f>'AEO 2023 Table 49 Raw'!AI178</f>
        <v>- -</v>
      </c>
    </row>
    <row r="194" spans="1:32" ht="12" customHeight="1">
      <c r="A194" s="7" t="s">
        <v>910</v>
      </c>
      <c r="B194" s="16" t="s">
        <v>751</v>
      </c>
      <c r="C194" s="18">
        <f>'AEO 2023 Table 49 Raw'!F179</f>
        <v>0</v>
      </c>
      <c r="D194" s="18">
        <f>'AEO 2023 Table 49 Raw'!G179</f>
        <v>0</v>
      </c>
      <c r="E194" s="18">
        <f>'AEO 2023 Table 49 Raw'!H179</f>
        <v>11.516575</v>
      </c>
      <c r="F194" s="18">
        <f>'AEO 2023 Table 49 Raw'!I179</f>
        <v>11.516892</v>
      </c>
      <c r="G194" s="18">
        <f>'AEO 2023 Table 49 Raw'!J179</f>
        <v>11.516843</v>
      </c>
      <c r="H194" s="18">
        <f>'AEO 2023 Table 49 Raw'!K179</f>
        <v>11.516837000000001</v>
      </c>
      <c r="I194" s="18">
        <f>'AEO 2023 Table 49 Raw'!L179</f>
        <v>11.516859999999999</v>
      </c>
      <c r="J194" s="18">
        <f>'AEO 2023 Table 49 Raw'!M179</f>
        <v>11.516875000000001</v>
      </c>
      <c r="K194" s="18">
        <f>'AEO 2023 Table 49 Raw'!N179</f>
        <v>11.516899</v>
      </c>
      <c r="L194" s="18">
        <f>'AEO 2023 Table 49 Raw'!O179</f>
        <v>11.516926</v>
      </c>
      <c r="M194" s="18">
        <f>'AEO 2023 Table 49 Raw'!P179</f>
        <v>11.516949</v>
      </c>
      <c r="N194" s="18">
        <f>'AEO 2023 Table 49 Raw'!Q179</f>
        <v>11.516963000000001</v>
      </c>
      <c r="O194" s="18">
        <f>'AEO 2023 Table 49 Raw'!R179</f>
        <v>11.516961999999999</v>
      </c>
      <c r="P194" s="18">
        <f>'AEO 2023 Table 49 Raw'!S179</f>
        <v>11.516961999999999</v>
      </c>
      <c r="Q194" s="18">
        <f>'AEO 2023 Table 49 Raw'!T179</f>
        <v>11.516928</v>
      </c>
      <c r="R194" s="18">
        <f>'AEO 2023 Table 49 Raw'!U179</f>
        <v>11.516892</v>
      </c>
      <c r="S194" s="18">
        <f>'AEO 2023 Table 49 Raw'!V179</f>
        <v>11.516885</v>
      </c>
      <c r="T194" s="18">
        <f>'AEO 2023 Table 49 Raw'!W179</f>
        <v>11.516885</v>
      </c>
      <c r="U194" s="18">
        <f>'AEO 2023 Table 49 Raw'!X179</f>
        <v>11.516887000000001</v>
      </c>
      <c r="V194" s="18">
        <f>'AEO 2023 Table 49 Raw'!Y179</f>
        <v>11.516885</v>
      </c>
      <c r="W194" s="18">
        <f>'AEO 2023 Table 49 Raw'!Z179</f>
        <v>11.516883</v>
      </c>
      <c r="X194" s="18">
        <f>'AEO 2023 Table 49 Raw'!AA179</f>
        <v>11.516883</v>
      </c>
      <c r="Y194" s="18">
        <f>'AEO 2023 Table 49 Raw'!AB179</f>
        <v>11.516883</v>
      </c>
      <c r="Z194" s="18">
        <f>'AEO 2023 Table 49 Raw'!AC179</f>
        <v>11.516882000000001</v>
      </c>
      <c r="AA194" s="18">
        <f>'AEO 2023 Table 49 Raw'!AD179</f>
        <v>11.516881</v>
      </c>
      <c r="AB194" s="18">
        <f>'AEO 2023 Table 49 Raw'!AE179</f>
        <v>11.516878999999999</v>
      </c>
      <c r="AC194" s="18">
        <f>'AEO 2023 Table 49 Raw'!AF179</f>
        <v>11.516878999999999</v>
      </c>
      <c r="AD194" s="18">
        <f>'AEO 2023 Table 49 Raw'!AG179</f>
        <v>11.516878</v>
      </c>
      <c r="AE194" s="18">
        <f>'AEO 2023 Table 49 Raw'!AH179</f>
        <v>11.516882000000001</v>
      </c>
      <c r="AF194" s="30" t="str">
        <f>'AEO 2023 Table 49 Raw'!AI179</f>
        <v>- -</v>
      </c>
    </row>
    <row r="195" spans="1:32" ht="15" customHeight="1">
      <c r="A195" s="7" t="s">
        <v>911</v>
      </c>
      <c r="B195" s="16" t="s">
        <v>845</v>
      </c>
      <c r="C195" s="18">
        <f>'AEO 2023 Table 49 Raw'!F180</f>
        <v>9.5238990000000001</v>
      </c>
      <c r="D195" s="18">
        <f>'AEO 2023 Table 49 Raw'!G180</f>
        <v>9.8844469999999998</v>
      </c>
      <c r="E195" s="18">
        <f>'AEO 2023 Table 49 Raw'!H180</f>
        <v>10.223267</v>
      </c>
      <c r="F195" s="18">
        <f>'AEO 2023 Table 49 Raw'!I180</f>
        <v>10.585305999999999</v>
      </c>
      <c r="G195" s="18">
        <f>'AEO 2023 Table 49 Raw'!J180</f>
        <v>10.967629000000001</v>
      </c>
      <c r="H195" s="18">
        <f>'AEO 2023 Table 49 Raw'!K180</f>
        <v>11.325177</v>
      </c>
      <c r="I195" s="18">
        <f>'AEO 2023 Table 49 Raw'!L180</f>
        <v>11.455857999999999</v>
      </c>
      <c r="J195" s="18">
        <f>'AEO 2023 Table 49 Raw'!M180</f>
        <v>11.734303000000001</v>
      </c>
      <c r="K195" s="18">
        <f>'AEO 2023 Table 49 Raw'!N180</f>
        <v>11.981159999999999</v>
      </c>
      <c r="L195" s="18">
        <f>'AEO 2023 Table 49 Raw'!O180</f>
        <v>12.208940999999999</v>
      </c>
      <c r="M195" s="18">
        <f>'AEO 2023 Table 49 Raw'!P180</f>
        <v>12.331969000000001</v>
      </c>
      <c r="N195" s="18">
        <f>'AEO 2023 Table 49 Raw'!Q180</f>
        <v>12.336569000000001</v>
      </c>
      <c r="O195" s="18">
        <f>'AEO 2023 Table 49 Raw'!R180</f>
        <v>12.340868</v>
      </c>
      <c r="P195" s="18">
        <f>'AEO 2023 Table 49 Raw'!S180</f>
        <v>12.340595</v>
      </c>
      <c r="Q195" s="18">
        <f>'AEO 2023 Table 49 Raw'!T180</f>
        <v>12.339437</v>
      </c>
      <c r="R195" s="18">
        <f>'AEO 2023 Table 49 Raw'!U180</f>
        <v>12.334250000000001</v>
      </c>
      <c r="S195" s="18">
        <f>'AEO 2023 Table 49 Raw'!V180</f>
        <v>12.328588</v>
      </c>
      <c r="T195" s="18">
        <f>'AEO 2023 Table 49 Raw'!W180</f>
        <v>12.323949000000001</v>
      </c>
      <c r="U195" s="18">
        <f>'AEO 2023 Table 49 Raw'!X180</f>
        <v>12.32001</v>
      </c>
      <c r="V195" s="18">
        <f>'AEO 2023 Table 49 Raw'!Y180</f>
        <v>12.316662000000001</v>
      </c>
      <c r="W195" s="18">
        <f>'AEO 2023 Table 49 Raw'!Z180</f>
        <v>12.313787</v>
      </c>
      <c r="X195" s="18">
        <f>'AEO 2023 Table 49 Raw'!AA180</f>
        <v>12.311344</v>
      </c>
      <c r="Y195" s="18">
        <f>'AEO 2023 Table 49 Raw'!AB180</f>
        <v>12.309291999999999</v>
      </c>
      <c r="Z195" s="18">
        <f>'AEO 2023 Table 49 Raw'!AC180</f>
        <v>12.30757</v>
      </c>
      <c r="AA195" s="18">
        <f>'AEO 2023 Table 49 Raw'!AD180</f>
        <v>12.306087</v>
      </c>
      <c r="AB195" s="18">
        <f>'AEO 2023 Table 49 Raw'!AE180</f>
        <v>12.304835000000001</v>
      </c>
      <c r="AC195" s="18">
        <f>'AEO 2023 Table 49 Raw'!AF180</f>
        <v>12.303853999999999</v>
      </c>
      <c r="AD195" s="18">
        <f>'AEO 2023 Table 49 Raw'!AG180</f>
        <v>12.303074000000001</v>
      </c>
      <c r="AE195" s="18">
        <f>'AEO 2023 Table 49 Raw'!AH180</f>
        <v>12.302524999999999</v>
      </c>
      <c r="AF195" s="30">
        <f>'AEO 2023 Table 49 Raw'!AI180</f>
        <v>8.9999999999999993E-3</v>
      </c>
    </row>
    <row r="196" spans="1:32" ht="15" customHeight="1">
      <c r="B196" s="15" t="s">
        <v>766</v>
      </c>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30"/>
    </row>
    <row r="197" spans="1:32" ht="15" customHeight="1">
      <c r="A197" s="7" t="s">
        <v>912</v>
      </c>
      <c r="B197" s="16" t="s">
        <v>736</v>
      </c>
      <c r="C197" s="18">
        <f>'AEO 2023 Table 49 Raw'!F182</f>
        <v>6.6741390000000003</v>
      </c>
      <c r="D197" s="18">
        <f>'AEO 2023 Table 49 Raw'!G182</f>
        <v>6.8853859999999996</v>
      </c>
      <c r="E197" s="18">
        <f>'AEO 2023 Table 49 Raw'!H182</f>
        <v>7.1007699999999998</v>
      </c>
      <c r="F197" s="18">
        <f>'AEO 2023 Table 49 Raw'!I182</f>
        <v>7.3030390000000001</v>
      </c>
      <c r="G197" s="18">
        <f>'AEO 2023 Table 49 Raw'!J182</f>
        <v>7.4948730000000001</v>
      </c>
      <c r="H197" s="18">
        <f>'AEO 2023 Table 49 Raw'!K182</f>
        <v>7.6626659999999998</v>
      </c>
      <c r="I197" s="18">
        <f>'AEO 2023 Table 49 Raw'!L182</f>
        <v>7.732456</v>
      </c>
      <c r="J197" s="18">
        <f>'AEO 2023 Table 49 Raw'!M182</f>
        <v>7.8400639999999999</v>
      </c>
      <c r="K197" s="18">
        <f>'AEO 2023 Table 49 Raw'!N182</f>
        <v>7.9515180000000001</v>
      </c>
      <c r="L197" s="18">
        <f>'AEO 2023 Table 49 Raw'!O182</f>
        <v>8.0549769999999992</v>
      </c>
      <c r="M197" s="18">
        <f>'AEO 2023 Table 49 Raw'!P182</f>
        <v>8.1152309999999996</v>
      </c>
      <c r="N197" s="18">
        <f>'AEO 2023 Table 49 Raw'!Q182</f>
        <v>8.1184750000000001</v>
      </c>
      <c r="O197" s="18">
        <f>'AEO 2023 Table 49 Raw'!R182</f>
        <v>8.1210090000000008</v>
      </c>
      <c r="P197" s="18">
        <f>'AEO 2023 Table 49 Raw'!S182</f>
        <v>8.1194799999999994</v>
      </c>
      <c r="Q197" s="18">
        <f>'AEO 2023 Table 49 Raw'!T182</f>
        <v>8.1211660000000006</v>
      </c>
      <c r="R197" s="18">
        <f>'AEO 2023 Table 49 Raw'!U182</f>
        <v>8.1205200000000008</v>
      </c>
      <c r="S197" s="18">
        <f>'AEO 2023 Table 49 Raw'!V182</f>
        <v>8.1178039999999996</v>
      </c>
      <c r="T197" s="18">
        <f>'AEO 2023 Table 49 Raw'!W182</f>
        <v>8.1165520000000004</v>
      </c>
      <c r="U197" s="18">
        <f>'AEO 2023 Table 49 Raw'!X182</f>
        <v>8.1156939999999995</v>
      </c>
      <c r="V197" s="18">
        <f>'AEO 2023 Table 49 Raw'!Y182</f>
        <v>8.1152800000000003</v>
      </c>
      <c r="W197" s="18">
        <f>'AEO 2023 Table 49 Raw'!Z182</f>
        <v>8.1129940000000005</v>
      </c>
      <c r="X197" s="18">
        <f>'AEO 2023 Table 49 Raw'!AA182</f>
        <v>8.1129859999999994</v>
      </c>
      <c r="Y197" s="18">
        <f>'AEO 2023 Table 49 Raw'!AB182</f>
        <v>8.1133609999999994</v>
      </c>
      <c r="Z197" s="18">
        <f>'AEO 2023 Table 49 Raw'!AC182</f>
        <v>8.1141509999999997</v>
      </c>
      <c r="AA197" s="18">
        <f>'AEO 2023 Table 49 Raw'!AD182</f>
        <v>8.1152329999999999</v>
      </c>
      <c r="AB197" s="18">
        <f>'AEO 2023 Table 49 Raw'!AE182</f>
        <v>8.1162170000000007</v>
      </c>
      <c r="AC197" s="18">
        <f>'AEO 2023 Table 49 Raw'!AF182</f>
        <v>8.1175329999999999</v>
      </c>
      <c r="AD197" s="18">
        <f>'AEO 2023 Table 49 Raw'!AG182</f>
        <v>8.1193810000000006</v>
      </c>
      <c r="AE197" s="18">
        <f>'AEO 2023 Table 49 Raw'!AH182</f>
        <v>8.1195070000000005</v>
      </c>
      <c r="AF197" s="30">
        <f>'AEO 2023 Table 49 Raw'!AI182</f>
        <v>7.0000000000000001E-3</v>
      </c>
    </row>
    <row r="198" spans="1:32" ht="15" customHeight="1">
      <c r="A198" s="7" t="s">
        <v>913</v>
      </c>
      <c r="B198" s="16" t="s">
        <v>738</v>
      </c>
      <c r="C198" s="18">
        <f>'AEO 2023 Table 49 Raw'!F183</f>
        <v>6.9584929999999998</v>
      </c>
      <c r="D198" s="18">
        <f>'AEO 2023 Table 49 Raw'!G183</f>
        <v>5.9504339999999996</v>
      </c>
      <c r="E198" s="18">
        <f>'AEO 2023 Table 49 Raw'!H183</f>
        <v>6.0052680000000001</v>
      </c>
      <c r="F198" s="18">
        <f>'AEO 2023 Table 49 Raw'!I183</f>
        <v>6.0689669999999998</v>
      </c>
      <c r="G198" s="18">
        <f>'AEO 2023 Table 49 Raw'!J183</f>
        <v>6.1342939999999997</v>
      </c>
      <c r="H198" s="18">
        <f>'AEO 2023 Table 49 Raw'!K183</f>
        <v>6.2195330000000002</v>
      </c>
      <c r="I198" s="18">
        <f>'AEO 2023 Table 49 Raw'!L183</f>
        <v>6.2749100000000002</v>
      </c>
      <c r="J198" s="18">
        <f>'AEO 2023 Table 49 Raw'!M183</f>
        <v>6.3636439999999999</v>
      </c>
      <c r="K198" s="18">
        <f>'AEO 2023 Table 49 Raw'!N183</f>
        <v>6.4494819999999997</v>
      </c>
      <c r="L198" s="18">
        <f>'AEO 2023 Table 49 Raw'!O183</f>
        <v>6.5364389999999997</v>
      </c>
      <c r="M198" s="18">
        <f>'AEO 2023 Table 49 Raw'!P183</f>
        <v>6.6164870000000002</v>
      </c>
      <c r="N198" s="18">
        <f>'AEO 2023 Table 49 Raw'!Q183</f>
        <v>6.6860059999999999</v>
      </c>
      <c r="O198" s="18">
        <f>'AEO 2023 Table 49 Raw'!R183</f>
        <v>6.7271580000000002</v>
      </c>
      <c r="P198" s="18">
        <f>'AEO 2023 Table 49 Raw'!S183</f>
        <v>6.7527999999999997</v>
      </c>
      <c r="Q198" s="18">
        <f>'AEO 2023 Table 49 Raw'!T183</f>
        <v>6.7797749999999999</v>
      </c>
      <c r="R198" s="18">
        <f>'AEO 2023 Table 49 Raw'!U183</f>
        <v>6.7684090000000001</v>
      </c>
      <c r="S198" s="18">
        <f>'AEO 2023 Table 49 Raw'!V183</f>
        <v>6.7596400000000001</v>
      </c>
      <c r="T198" s="18">
        <f>'AEO 2023 Table 49 Raw'!W183</f>
        <v>6.7570889999999997</v>
      </c>
      <c r="U198" s="18">
        <f>'AEO 2023 Table 49 Raw'!X183</f>
        <v>6.7734519999999998</v>
      </c>
      <c r="V198" s="18">
        <f>'AEO 2023 Table 49 Raw'!Y183</f>
        <v>6.7756749999999997</v>
      </c>
      <c r="W198" s="18">
        <f>'AEO 2023 Table 49 Raw'!Z183</f>
        <v>6.7945039999999999</v>
      </c>
      <c r="X198" s="18">
        <f>'AEO 2023 Table 49 Raw'!AA183</f>
        <v>6.7961799999999997</v>
      </c>
      <c r="Y198" s="18">
        <f>'AEO 2023 Table 49 Raw'!AB183</f>
        <v>6.7973249999999998</v>
      </c>
      <c r="Z198" s="18">
        <f>'AEO 2023 Table 49 Raw'!AC183</f>
        <v>6.7981189999999998</v>
      </c>
      <c r="AA198" s="18">
        <f>'AEO 2023 Table 49 Raw'!AD183</f>
        <v>6.7981499999999997</v>
      </c>
      <c r="AB198" s="18">
        <f>'AEO 2023 Table 49 Raw'!AE183</f>
        <v>6.7977189999999998</v>
      </c>
      <c r="AC198" s="18">
        <f>'AEO 2023 Table 49 Raw'!AF183</f>
        <v>6.7972159999999997</v>
      </c>
      <c r="AD198" s="18">
        <f>'AEO 2023 Table 49 Raw'!AG183</f>
        <v>6.7968830000000002</v>
      </c>
      <c r="AE198" s="18">
        <f>'AEO 2023 Table 49 Raw'!AH183</f>
        <v>6.79582</v>
      </c>
      <c r="AF198" s="30">
        <f>'AEO 2023 Table 49 Raw'!AI183</f>
        <v>-1E-3</v>
      </c>
    </row>
    <row r="199" spans="1:32" ht="15" customHeight="1">
      <c r="A199" s="7" t="s">
        <v>914</v>
      </c>
      <c r="B199" s="16" t="s">
        <v>382</v>
      </c>
      <c r="C199" s="18">
        <f>'AEO 2023 Table 49 Raw'!F184</f>
        <v>6.8185469999999997</v>
      </c>
      <c r="D199" s="18">
        <f>'AEO 2023 Table 49 Raw'!G184</f>
        <v>5.9032299999999998</v>
      </c>
      <c r="E199" s="18">
        <f>'AEO 2023 Table 49 Raw'!H184</f>
        <v>5.965395</v>
      </c>
      <c r="F199" s="18">
        <f>'AEO 2023 Table 49 Raw'!I184</f>
        <v>6.0361710000000004</v>
      </c>
      <c r="G199" s="18">
        <f>'AEO 2023 Table 49 Raw'!J184</f>
        <v>6.112959</v>
      </c>
      <c r="H199" s="18">
        <f>'AEO 2023 Table 49 Raw'!K184</f>
        <v>6.213965</v>
      </c>
      <c r="I199" s="18">
        <f>'AEO 2023 Table 49 Raw'!L184</f>
        <v>6.2799240000000003</v>
      </c>
      <c r="J199" s="18">
        <f>'AEO 2023 Table 49 Raw'!M184</f>
        <v>6.3891819999999999</v>
      </c>
      <c r="K199" s="18">
        <f>'AEO 2023 Table 49 Raw'!N184</f>
        <v>6.498729</v>
      </c>
      <c r="L199" s="18">
        <f>'AEO 2023 Table 49 Raw'!O184</f>
        <v>6.6139749999999999</v>
      </c>
      <c r="M199" s="18">
        <f>'AEO 2023 Table 49 Raw'!P184</f>
        <v>6.7271210000000004</v>
      </c>
      <c r="N199" s="18">
        <f>'AEO 2023 Table 49 Raw'!Q184</f>
        <v>6.8235080000000004</v>
      </c>
      <c r="O199" s="18">
        <f>'AEO 2023 Table 49 Raw'!R184</f>
        <v>6.8659860000000004</v>
      </c>
      <c r="P199" s="18">
        <f>'AEO 2023 Table 49 Raw'!S184</f>
        <v>6.8856020000000004</v>
      </c>
      <c r="Q199" s="18">
        <f>'AEO 2023 Table 49 Raw'!T184</f>
        <v>6.9033810000000004</v>
      </c>
      <c r="R199" s="18">
        <f>'AEO 2023 Table 49 Raw'!U184</f>
        <v>6.914129</v>
      </c>
      <c r="S199" s="18">
        <f>'AEO 2023 Table 49 Raw'!V184</f>
        <v>6.9251120000000004</v>
      </c>
      <c r="T199" s="18">
        <f>'AEO 2023 Table 49 Raw'!W184</f>
        <v>6.9330420000000004</v>
      </c>
      <c r="U199" s="18">
        <f>'AEO 2023 Table 49 Raw'!X184</f>
        <v>6.9392069999999997</v>
      </c>
      <c r="V199" s="18">
        <f>'AEO 2023 Table 49 Raw'!Y184</f>
        <v>6.9466010000000002</v>
      </c>
      <c r="W199" s="18">
        <f>'AEO 2023 Table 49 Raw'!Z184</f>
        <v>6.9523789999999996</v>
      </c>
      <c r="X199" s="18">
        <f>'AEO 2023 Table 49 Raw'!AA184</f>
        <v>6.9593179999999997</v>
      </c>
      <c r="Y199" s="18">
        <f>'AEO 2023 Table 49 Raw'!AB184</f>
        <v>6.964785</v>
      </c>
      <c r="Z199" s="18">
        <f>'AEO 2023 Table 49 Raw'!AC184</f>
        <v>6.9700829999999998</v>
      </c>
      <c r="AA199" s="18">
        <f>'AEO 2023 Table 49 Raw'!AD184</f>
        <v>6.9742800000000003</v>
      </c>
      <c r="AB199" s="18">
        <f>'AEO 2023 Table 49 Raw'!AE184</f>
        <v>6.9769509999999997</v>
      </c>
      <c r="AC199" s="18">
        <f>'AEO 2023 Table 49 Raw'!AF184</f>
        <v>6.9795540000000003</v>
      </c>
      <c r="AD199" s="18">
        <f>'AEO 2023 Table 49 Raw'!AG184</f>
        <v>6.9818160000000002</v>
      </c>
      <c r="AE199" s="18">
        <f>'AEO 2023 Table 49 Raw'!AH184</f>
        <v>6.977468</v>
      </c>
      <c r="AF199" s="30">
        <f>'AEO 2023 Table 49 Raw'!AI184</f>
        <v>1E-3</v>
      </c>
    </row>
    <row r="200" spans="1:32" ht="12" customHeight="1">
      <c r="A200" s="7" t="s">
        <v>915</v>
      </c>
      <c r="B200" s="16" t="s">
        <v>741</v>
      </c>
      <c r="C200" s="18">
        <f>'AEO 2023 Table 49 Raw'!F185</f>
        <v>6.2556570000000002</v>
      </c>
      <c r="D200" s="18">
        <f>'AEO 2023 Table 49 Raw'!G185</f>
        <v>6.4596869999999997</v>
      </c>
      <c r="E200" s="18">
        <f>'AEO 2023 Table 49 Raw'!H185</f>
        <v>6.6800740000000003</v>
      </c>
      <c r="F200" s="18">
        <f>'AEO 2023 Table 49 Raw'!I185</f>
        <v>6.8737430000000002</v>
      </c>
      <c r="G200" s="18">
        <f>'AEO 2023 Table 49 Raw'!J185</f>
        <v>7.0331239999999999</v>
      </c>
      <c r="H200" s="18">
        <f>'AEO 2023 Table 49 Raw'!K185</f>
        <v>7.2060760000000004</v>
      </c>
      <c r="I200" s="18">
        <f>'AEO 2023 Table 49 Raw'!L185</f>
        <v>7.2511210000000004</v>
      </c>
      <c r="J200" s="18">
        <f>'AEO 2023 Table 49 Raw'!M185</f>
        <v>7.345504</v>
      </c>
      <c r="K200" s="18">
        <f>'AEO 2023 Table 49 Raw'!N185</f>
        <v>7.4420549999999999</v>
      </c>
      <c r="L200" s="18">
        <f>'AEO 2023 Table 49 Raw'!O185</f>
        <v>7.5334620000000001</v>
      </c>
      <c r="M200" s="18">
        <f>'AEO 2023 Table 49 Raw'!P185</f>
        <v>7.5824939999999996</v>
      </c>
      <c r="N200" s="18">
        <f>'AEO 2023 Table 49 Raw'!Q185</f>
        <v>7.5837409999999998</v>
      </c>
      <c r="O200" s="18">
        <f>'AEO 2023 Table 49 Raw'!R185</f>
        <v>7.5813899999999999</v>
      </c>
      <c r="P200" s="18">
        <f>'AEO 2023 Table 49 Raw'!S185</f>
        <v>7.5656610000000004</v>
      </c>
      <c r="Q200" s="18">
        <f>'AEO 2023 Table 49 Raw'!T185</f>
        <v>7.5737249999999996</v>
      </c>
      <c r="R200" s="18">
        <f>'AEO 2023 Table 49 Raw'!U185</f>
        <v>7.5745699999999996</v>
      </c>
      <c r="S200" s="18">
        <f>'AEO 2023 Table 49 Raw'!V185</f>
        <v>7.5788080000000004</v>
      </c>
      <c r="T200" s="18">
        <f>'AEO 2023 Table 49 Raw'!W185</f>
        <v>7.5749139999999997</v>
      </c>
      <c r="U200" s="18">
        <f>'AEO 2023 Table 49 Raw'!X185</f>
        <v>7.570665</v>
      </c>
      <c r="V200" s="18">
        <f>'AEO 2023 Table 49 Raw'!Y185</f>
        <v>7.5667759999999999</v>
      </c>
      <c r="W200" s="18">
        <f>'AEO 2023 Table 49 Raw'!Z185</f>
        <v>7.5620849999999997</v>
      </c>
      <c r="X200" s="18">
        <f>'AEO 2023 Table 49 Raw'!AA185</f>
        <v>7.5601019999999997</v>
      </c>
      <c r="Y200" s="18">
        <f>'AEO 2023 Table 49 Raw'!AB185</f>
        <v>7.5581149999999999</v>
      </c>
      <c r="Z200" s="18">
        <f>'AEO 2023 Table 49 Raw'!AC185</f>
        <v>7.5558339999999999</v>
      </c>
      <c r="AA200" s="18">
        <f>'AEO 2023 Table 49 Raw'!AD185</f>
        <v>7.5544390000000003</v>
      </c>
      <c r="AB200" s="18">
        <f>'AEO 2023 Table 49 Raw'!AE185</f>
        <v>7.5529849999999996</v>
      </c>
      <c r="AC200" s="18">
        <f>'AEO 2023 Table 49 Raw'!AF185</f>
        <v>7.5517859999999999</v>
      </c>
      <c r="AD200" s="18">
        <f>'AEO 2023 Table 49 Raw'!AG185</f>
        <v>7.550821</v>
      </c>
      <c r="AE200" s="18">
        <f>'AEO 2023 Table 49 Raw'!AH185</f>
        <v>7.549836</v>
      </c>
      <c r="AF200" s="30">
        <f>'AEO 2023 Table 49 Raw'!AI185</f>
        <v>7.0000000000000001E-3</v>
      </c>
    </row>
    <row r="201" spans="1:32" ht="15" customHeight="1">
      <c r="A201" s="7" t="s">
        <v>916</v>
      </c>
      <c r="B201" s="16" t="s">
        <v>743</v>
      </c>
      <c r="C201" s="18">
        <f>'AEO 2023 Table 49 Raw'!F186</f>
        <v>0</v>
      </c>
      <c r="D201" s="18">
        <f>'AEO 2023 Table 49 Raw'!G186</f>
        <v>0</v>
      </c>
      <c r="E201" s="18">
        <f>'AEO 2023 Table 49 Raw'!H186</f>
        <v>0</v>
      </c>
      <c r="F201" s="18">
        <f>'AEO 2023 Table 49 Raw'!I186</f>
        <v>0</v>
      </c>
      <c r="G201" s="18">
        <f>'AEO 2023 Table 49 Raw'!J186</f>
        <v>0</v>
      </c>
      <c r="H201" s="18">
        <f>'AEO 2023 Table 49 Raw'!K186</f>
        <v>0</v>
      </c>
      <c r="I201" s="18">
        <f>'AEO 2023 Table 49 Raw'!L186</f>
        <v>0</v>
      </c>
      <c r="J201" s="18">
        <f>'AEO 2023 Table 49 Raw'!M186</f>
        <v>0</v>
      </c>
      <c r="K201" s="18">
        <f>'AEO 2023 Table 49 Raw'!N186</f>
        <v>0</v>
      </c>
      <c r="L201" s="18">
        <f>'AEO 2023 Table 49 Raw'!O186</f>
        <v>0</v>
      </c>
      <c r="M201" s="18">
        <f>'AEO 2023 Table 49 Raw'!P186</f>
        <v>0</v>
      </c>
      <c r="N201" s="18">
        <f>'AEO 2023 Table 49 Raw'!Q186</f>
        <v>0</v>
      </c>
      <c r="O201" s="18">
        <f>'AEO 2023 Table 49 Raw'!R186</f>
        <v>0</v>
      </c>
      <c r="P201" s="18">
        <f>'AEO 2023 Table 49 Raw'!S186</f>
        <v>0</v>
      </c>
      <c r="Q201" s="18">
        <f>'AEO 2023 Table 49 Raw'!T186</f>
        <v>0</v>
      </c>
      <c r="R201" s="18">
        <f>'AEO 2023 Table 49 Raw'!U186</f>
        <v>0</v>
      </c>
      <c r="S201" s="18">
        <f>'AEO 2023 Table 49 Raw'!V186</f>
        <v>0</v>
      </c>
      <c r="T201" s="18">
        <f>'AEO 2023 Table 49 Raw'!W186</f>
        <v>0</v>
      </c>
      <c r="U201" s="18">
        <f>'AEO 2023 Table 49 Raw'!X186</f>
        <v>0</v>
      </c>
      <c r="V201" s="18">
        <f>'AEO 2023 Table 49 Raw'!Y186</f>
        <v>0</v>
      </c>
      <c r="W201" s="18">
        <f>'AEO 2023 Table 49 Raw'!Z186</f>
        <v>0</v>
      </c>
      <c r="X201" s="18">
        <f>'AEO 2023 Table 49 Raw'!AA186</f>
        <v>0</v>
      </c>
      <c r="Y201" s="18">
        <f>'AEO 2023 Table 49 Raw'!AB186</f>
        <v>0</v>
      </c>
      <c r="Z201" s="18">
        <f>'AEO 2023 Table 49 Raw'!AC186</f>
        <v>0</v>
      </c>
      <c r="AA201" s="18">
        <f>'AEO 2023 Table 49 Raw'!AD186</f>
        <v>0</v>
      </c>
      <c r="AB201" s="18">
        <f>'AEO 2023 Table 49 Raw'!AE186</f>
        <v>0</v>
      </c>
      <c r="AC201" s="18">
        <f>'AEO 2023 Table 49 Raw'!AF186</f>
        <v>0</v>
      </c>
      <c r="AD201" s="18">
        <f>'AEO 2023 Table 49 Raw'!AG186</f>
        <v>0</v>
      </c>
      <c r="AE201" s="18">
        <f>'AEO 2023 Table 49 Raw'!AH186</f>
        <v>0</v>
      </c>
      <c r="AF201" s="30" t="str">
        <f>'AEO 2023 Table 49 Raw'!AI186</f>
        <v>- -</v>
      </c>
    </row>
    <row r="202" spans="1:32" ht="15" customHeight="1">
      <c r="A202" s="7" t="s">
        <v>917</v>
      </c>
      <c r="B202" s="16" t="s">
        <v>745</v>
      </c>
      <c r="C202" s="18">
        <f>'AEO 2023 Table 49 Raw'!F187</f>
        <v>10.834061999999999</v>
      </c>
      <c r="D202" s="18">
        <f>'AEO 2023 Table 49 Raw'!G187</f>
        <v>10.882737000000001</v>
      </c>
      <c r="E202" s="18">
        <f>'AEO 2023 Table 49 Raw'!H187</f>
        <v>10.965192999999999</v>
      </c>
      <c r="F202" s="18">
        <f>'AEO 2023 Table 49 Raw'!I187</f>
        <v>11.063807000000001</v>
      </c>
      <c r="G202" s="18">
        <f>'AEO 2023 Table 49 Raw'!J187</f>
        <v>11.156404</v>
      </c>
      <c r="H202" s="18">
        <f>'AEO 2023 Table 49 Raw'!K187</f>
        <v>11.255855</v>
      </c>
      <c r="I202" s="18">
        <f>'AEO 2023 Table 49 Raw'!L187</f>
        <v>11.298655999999999</v>
      </c>
      <c r="J202" s="18">
        <f>'AEO 2023 Table 49 Raw'!M187</f>
        <v>11.379512</v>
      </c>
      <c r="K202" s="18">
        <f>'AEO 2023 Table 49 Raw'!N187</f>
        <v>11.452457000000001</v>
      </c>
      <c r="L202" s="18">
        <f>'AEO 2023 Table 49 Raw'!O187</f>
        <v>11.503895999999999</v>
      </c>
      <c r="M202" s="18">
        <f>'AEO 2023 Table 49 Raw'!P187</f>
        <v>11.541494</v>
      </c>
      <c r="N202" s="18">
        <f>'AEO 2023 Table 49 Raw'!Q187</f>
        <v>11.560162999999999</v>
      </c>
      <c r="O202" s="18">
        <f>'AEO 2023 Table 49 Raw'!R187</f>
        <v>11.565863999999999</v>
      </c>
      <c r="P202" s="18">
        <f>'AEO 2023 Table 49 Raw'!S187</f>
        <v>11.567833</v>
      </c>
      <c r="Q202" s="18">
        <f>'AEO 2023 Table 49 Raw'!T187</f>
        <v>11.568663000000001</v>
      </c>
      <c r="R202" s="18">
        <f>'AEO 2023 Table 49 Raw'!U187</f>
        <v>11.569290000000001</v>
      </c>
      <c r="S202" s="18">
        <f>'AEO 2023 Table 49 Raw'!V187</f>
        <v>11.570100999999999</v>
      </c>
      <c r="T202" s="18">
        <f>'AEO 2023 Table 49 Raw'!W187</f>
        <v>11.571146000000001</v>
      </c>
      <c r="U202" s="18">
        <f>'AEO 2023 Table 49 Raw'!X187</f>
        <v>11.572354000000001</v>
      </c>
      <c r="V202" s="18">
        <f>'AEO 2023 Table 49 Raw'!Y187</f>
        <v>11.573858</v>
      </c>
      <c r="W202" s="18">
        <f>'AEO 2023 Table 49 Raw'!Z187</f>
        <v>11.575640999999999</v>
      </c>
      <c r="X202" s="18">
        <f>'AEO 2023 Table 49 Raw'!AA187</f>
        <v>11.577692000000001</v>
      </c>
      <c r="Y202" s="18">
        <f>'AEO 2023 Table 49 Raw'!AB187</f>
        <v>11.579997000000001</v>
      </c>
      <c r="Z202" s="18">
        <f>'AEO 2023 Table 49 Raw'!AC187</f>
        <v>11.582563</v>
      </c>
      <c r="AA202" s="18">
        <f>'AEO 2023 Table 49 Raw'!AD187</f>
        <v>11.585383</v>
      </c>
      <c r="AB202" s="18">
        <f>'AEO 2023 Table 49 Raw'!AE187</f>
        <v>11.588468000000001</v>
      </c>
      <c r="AC202" s="18">
        <f>'AEO 2023 Table 49 Raw'!AF187</f>
        <v>11.591818999999999</v>
      </c>
      <c r="AD202" s="18">
        <f>'AEO 2023 Table 49 Raw'!AG187</f>
        <v>11.595432000000001</v>
      </c>
      <c r="AE202" s="18">
        <f>'AEO 2023 Table 49 Raw'!AH187</f>
        <v>11.599314</v>
      </c>
      <c r="AF202" s="30">
        <f>'AEO 2023 Table 49 Raw'!AI187</f>
        <v>2E-3</v>
      </c>
    </row>
    <row r="203" spans="1:32" ht="15" customHeight="1">
      <c r="A203" s="7" t="s">
        <v>918</v>
      </c>
      <c r="B203" s="16" t="s">
        <v>747</v>
      </c>
      <c r="C203" s="18">
        <f>'AEO 2023 Table 49 Raw'!F188</f>
        <v>0</v>
      </c>
      <c r="D203" s="18">
        <f>'AEO 2023 Table 49 Raw'!G188</f>
        <v>0</v>
      </c>
      <c r="E203" s="18">
        <f>'AEO 2023 Table 49 Raw'!H188</f>
        <v>1.546092</v>
      </c>
      <c r="F203" s="18">
        <f>'AEO 2023 Table 49 Raw'!I188</f>
        <v>9.1608459999999994</v>
      </c>
      <c r="G203" s="18">
        <f>'AEO 2023 Table 49 Raw'!J188</f>
        <v>9.3004219999999993</v>
      </c>
      <c r="H203" s="18">
        <f>'AEO 2023 Table 49 Raw'!K188</f>
        <v>9.4658329999999999</v>
      </c>
      <c r="I203" s="18">
        <f>'AEO 2023 Table 49 Raw'!L188</f>
        <v>9.5699210000000008</v>
      </c>
      <c r="J203" s="18">
        <f>'AEO 2023 Table 49 Raw'!M188</f>
        <v>9.7473799999999997</v>
      </c>
      <c r="K203" s="18">
        <f>'AEO 2023 Table 49 Raw'!N188</f>
        <v>9.9584469999999996</v>
      </c>
      <c r="L203" s="18">
        <f>'AEO 2023 Table 49 Raw'!O188</f>
        <v>10.186888</v>
      </c>
      <c r="M203" s="18">
        <f>'AEO 2023 Table 49 Raw'!P188</f>
        <v>10.415521</v>
      </c>
      <c r="N203" s="18">
        <f>'AEO 2023 Table 49 Raw'!Q188</f>
        <v>10.609234000000001</v>
      </c>
      <c r="O203" s="18">
        <f>'AEO 2023 Table 49 Raw'!R188</f>
        <v>10.7691</v>
      </c>
      <c r="P203" s="18">
        <f>'AEO 2023 Table 49 Raw'!S188</f>
        <v>10.802932999999999</v>
      </c>
      <c r="Q203" s="18">
        <f>'AEO 2023 Table 49 Raw'!T188</f>
        <v>10.912004</v>
      </c>
      <c r="R203" s="18">
        <f>'AEO 2023 Table 49 Raw'!U188</f>
        <v>10.986414999999999</v>
      </c>
      <c r="S203" s="18">
        <f>'AEO 2023 Table 49 Raw'!V188</f>
        <v>10.983292</v>
      </c>
      <c r="T203" s="18">
        <f>'AEO 2023 Table 49 Raw'!W188</f>
        <v>10.980130000000001</v>
      </c>
      <c r="U203" s="18">
        <f>'AEO 2023 Table 49 Raw'!X188</f>
        <v>10.976409</v>
      </c>
      <c r="V203" s="18">
        <f>'AEO 2023 Table 49 Raw'!Y188</f>
        <v>10.973062000000001</v>
      </c>
      <c r="W203" s="18">
        <f>'AEO 2023 Table 49 Raw'!Z188</f>
        <v>10.970227</v>
      </c>
      <c r="X203" s="18">
        <f>'AEO 2023 Table 49 Raw'!AA188</f>
        <v>10.967943999999999</v>
      </c>
      <c r="Y203" s="18">
        <f>'AEO 2023 Table 49 Raw'!AB188</f>
        <v>10.966212000000001</v>
      </c>
      <c r="Z203" s="18">
        <f>'AEO 2023 Table 49 Raw'!AC188</f>
        <v>10.964848999999999</v>
      </c>
      <c r="AA203" s="18">
        <f>'AEO 2023 Table 49 Raw'!AD188</f>
        <v>10.963751</v>
      </c>
      <c r="AB203" s="18">
        <f>'AEO 2023 Table 49 Raw'!AE188</f>
        <v>10.962980999999999</v>
      </c>
      <c r="AC203" s="18">
        <f>'AEO 2023 Table 49 Raw'!AF188</f>
        <v>10.962510999999999</v>
      </c>
      <c r="AD203" s="18">
        <f>'AEO 2023 Table 49 Raw'!AG188</f>
        <v>10.962237</v>
      </c>
      <c r="AE203" s="18">
        <f>'AEO 2023 Table 49 Raw'!AH188</f>
        <v>10.962166</v>
      </c>
      <c r="AF203" s="30" t="str">
        <f>'AEO 2023 Table 49 Raw'!AI188</f>
        <v>- -</v>
      </c>
    </row>
    <row r="204" spans="1:32" ht="12" customHeight="1">
      <c r="A204" s="7" t="s">
        <v>919</v>
      </c>
      <c r="B204" s="16" t="s">
        <v>749</v>
      </c>
      <c r="C204" s="18">
        <f>'AEO 2023 Table 49 Raw'!F189</f>
        <v>0</v>
      </c>
      <c r="D204" s="18">
        <f>'AEO 2023 Table 49 Raw'!G189</f>
        <v>0</v>
      </c>
      <c r="E204" s="18">
        <f>'AEO 2023 Table 49 Raw'!H189</f>
        <v>1.4758230000000001</v>
      </c>
      <c r="F204" s="18">
        <f>'AEO 2023 Table 49 Raw'!I189</f>
        <v>9.1335519999999999</v>
      </c>
      <c r="G204" s="18">
        <f>'AEO 2023 Table 49 Raw'!J189</f>
        <v>9.2343279999999996</v>
      </c>
      <c r="H204" s="18">
        <f>'AEO 2023 Table 49 Raw'!K189</f>
        <v>9.358587</v>
      </c>
      <c r="I204" s="18">
        <f>'AEO 2023 Table 49 Raw'!L189</f>
        <v>9.4461300000000001</v>
      </c>
      <c r="J204" s="18">
        <f>'AEO 2023 Table 49 Raw'!M189</f>
        <v>9.5957139999999992</v>
      </c>
      <c r="K204" s="18">
        <f>'AEO 2023 Table 49 Raw'!N189</f>
        <v>9.7735020000000006</v>
      </c>
      <c r="L204" s="18">
        <f>'AEO 2023 Table 49 Raw'!O189</f>
        <v>9.9693310000000004</v>
      </c>
      <c r="M204" s="18">
        <f>'AEO 2023 Table 49 Raw'!P189</f>
        <v>10.168096999999999</v>
      </c>
      <c r="N204" s="18">
        <f>'AEO 2023 Table 49 Raw'!Q189</f>
        <v>10.36797</v>
      </c>
      <c r="O204" s="18">
        <f>'AEO 2023 Table 49 Raw'!R189</f>
        <v>10.540552999999999</v>
      </c>
      <c r="P204" s="18">
        <f>'AEO 2023 Table 49 Raw'!S189</f>
        <v>10.621840000000001</v>
      </c>
      <c r="Q204" s="18">
        <f>'AEO 2023 Table 49 Raw'!T189</f>
        <v>10.736190000000001</v>
      </c>
      <c r="R204" s="18">
        <f>'AEO 2023 Table 49 Raw'!U189</f>
        <v>10.815049</v>
      </c>
      <c r="S204" s="18">
        <f>'AEO 2023 Table 49 Raw'!V189</f>
        <v>10.815234</v>
      </c>
      <c r="T204" s="18">
        <f>'AEO 2023 Table 49 Raw'!W189</f>
        <v>10.812087</v>
      </c>
      <c r="U204" s="18">
        <f>'AEO 2023 Table 49 Raw'!X189</f>
        <v>10.809372</v>
      </c>
      <c r="V204" s="18">
        <f>'AEO 2023 Table 49 Raw'!Y189</f>
        <v>10.807116000000001</v>
      </c>
      <c r="W204" s="18">
        <f>'AEO 2023 Table 49 Raw'!Z189</f>
        <v>10.805244</v>
      </c>
      <c r="X204" s="18">
        <f>'AEO 2023 Table 49 Raw'!AA189</f>
        <v>10.803461</v>
      </c>
      <c r="Y204" s="18">
        <f>'AEO 2023 Table 49 Raw'!AB189</f>
        <v>10.801928999999999</v>
      </c>
      <c r="Z204" s="18">
        <f>'AEO 2023 Table 49 Raw'!AC189</f>
        <v>10.800634000000001</v>
      </c>
      <c r="AA204" s="18">
        <f>'AEO 2023 Table 49 Raw'!AD189</f>
        <v>10.799677000000001</v>
      </c>
      <c r="AB204" s="18">
        <f>'AEO 2023 Table 49 Raw'!AE189</f>
        <v>10.798836</v>
      </c>
      <c r="AC204" s="18">
        <f>'AEO 2023 Table 49 Raw'!AF189</f>
        <v>10.798045</v>
      </c>
      <c r="AD204" s="18">
        <f>'AEO 2023 Table 49 Raw'!AG189</f>
        <v>10.797352999999999</v>
      </c>
      <c r="AE204" s="18">
        <f>'AEO 2023 Table 49 Raw'!AH189</f>
        <v>10.796787999999999</v>
      </c>
      <c r="AF204" s="30" t="str">
        <f>'AEO 2023 Table 49 Raw'!AI189</f>
        <v>- -</v>
      </c>
    </row>
    <row r="205" spans="1:32" ht="15" customHeight="1">
      <c r="A205" s="7" t="s">
        <v>920</v>
      </c>
      <c r="B205" s="16" t="s">
        <v>751</v>
      </c>
      <c r="C205" s="18">
        <f>'AEO 2023 Table 49 Raw'!F190</f>
        <v>0</v>
      </c>
      <c r="D205" s="18">
        <f>'AEO 2023 Table 49 Raw'!G190</f>
        <v>0</v>
      </c>
      <c r="E205" s="18">
        <f>'AEO 2023 Table 49 Raw'!H190</f>
        <v>7.1006340000000003</v>
      </c>
      <c r="F205" s="18">
        <f>'AEO 2023 Table 49 Raw'!I190</f>
        <v>7.1107120000000004</v>
      </c>
      <c r="G205" s="18">
        <f>'AEO 2023 Table 49 Raw'!J190</f>
        <v>7.1105</v>
      </c>
      <c r="H205" s="18">
        <f>'AEO 2023 Table 49 Raw'!K190</f>
        <v>7.1102169999999996</v>
      </c>
      <c r="I205" s="18">
        <f>'AEO 2023 Table 49 Raw'!L190</f>
        <v>7.1100539999999999</v>
      </c>
      <c r="J205" s="18">
        <f>'AEO 2023 Table 49 Raw'!M190</f>
        <v>7.1097359999999998</v>
      </c>
      <c r="K205" s="18">
        <f>'AEO 2023 Table 49 Raw'!N190</f>
        <v>7.1092810000000002</v>
      </c>
      <c r="L205" s="18">
        <f>'AEO 2023 Table 49 Raw'!O190</f>
        <v>7.1089209999999996</v>
      </c>
      <c r="M205" s="18">
        <f>'AEO 2023 Table 49 Raw'!P190</f>
        <v>7.1088060000000004</v>
      </c>
      <c r="N205" s="18">
        <f>'AEO 2023 Table 49 Raw'!Q190</f>
        <v>7.1087930000000004</v>
      </c>
      <c r="O205" s="18">
        <f>'AEO 2023 Table 49 Raw'!R190</f>
        <v>7.1089270000000004</v>
      </c>
      <c r="P205" s="18">
        <f>'AEO 2023 Table 49 Raw'!S190</f>
        <v>7.1091139999999999</v>
      </c>
      <c r="Q205" s="18">
        <f>'AEO 2023 Table 49 Raw'!T190</f>
        <v>7.1093440000000001</v>
      </c>
      <c r="R205" s="18">
        <f>'AEO 2023 Table 49 Raw'!U190</f>
        <v>7.1095709999999999</v>
      </c>
      <c r="S205" s="18">
        <f>'AEO 2023 Table 49 Raw'!V190</f>
        <v>7.1097910000000004</v>
      </c>
      <c r="T205" s="18">
        <f>'AEO 2023 Table 49 Raw'!W190</f>
        <v>7.1100370000000002</v>
      </c>
      <c r="U205" s="18">
        <f>'AEO 2023 Table 49 Raw'!X190</f>
        <v>7.11029</v>
      </c>
      <c r="V205" s="18">
        <f>'AEO 2023 Table 49 Raw'!Y190</f>
        <v>7.1105460000000003</v>
      </c>
      <c r="W205" s="18">
        <f>'AEO 2023 Table 49 Raw'!Z190</f>
        <v>7.1107950000000004</v>
      </c>
      <c r="X205" s="18">
        <f>'AEO 2023 Table 49 Raw'!AA190</f>
        <v>7.1110420000000003</v>
      </c>
      <c r="Y205" s="18">
        <f>'AEO 2023 Table 49 Raw'!AB190</f>
        <v>7.1113249999999999</v>
      </c>
      <c r="Z205" s="18">
        <f>'AEO 2023 Table 49 Raw'!AC190</f>
        <v>7.1116159999999997</v>
      </c>
      <c r="AA205" s="18">
        <f>'AEO 2023 Table 49 Raw'!AD190</f>
        <v>7.1118969999999999</v>
      </c>
      <c r="AB205" s="18">
        <f>'AEO 2023 Table 49 Raw'!AE190</f>
        <v>7.1121860000000003</v>
      </c>
      <c r="AC205" s="18">
        <f>'AEO 2023 Table 49 Raw'!AF190</f>
        <v>7.1124729999999996</v>
      </c>
      <c r="AD205" s="18">
        <f>'AEO 2023 Table 49 Raw'!AG190</f>
        <v>7.1127539999999998</v>
      </c>
      <c r="AE205" s="18">
        <f>'AEO 2023 Table 49 Raw'!AH190</f>
        <v>7.1130310000000003</v>
      </c>
      <c r="AF205" s="30" t="str">
        <f>'AEO 2023 Table 49 Raw'!AI190</f>
        <v>- -</v>
      </c>
    </row>
    <row r="206" spans="1:32" ht="15" customHeight="1">
      <c r="A206" s="7" t="s">
        <v>921</v>
      </c>
      <c r="B206" s="16" t="s">
        <v>856</v>
      </c>
      <c r="C206" s="18">
        <f>'AEO 2023 Table 49 Raw'!F191</f>
        <v>6.6682579999999998</v>
      </c>
      <c r="D206" s="18">
        <f>'AEO 2023 Table 49 Raw'!G191</f>
        <v>6.8779690000000002</v>
      </c>
      <c r="E206" s="18">
        <f>'AEO 2023 Table 49 Raw'!H191</f>
        <v>7.0932440000000003</v>
      </c>
      <c r="F206" s="18">
        <f>'AEO 2023 Table 49 Raw'!I191</f>
        <v>7.295369</v>
      </c>
      <c r="G206" s="18">
        <f>'AEO 2023 Table 49 Raw'!J191</f>
        <v>7.4868059999999996</v>
      </c>
      <c r="H206" s="18">
        <f>'AEO 2023 Table 49 Raw'!K191</f>
        <v>7.6548530000000001</v>
      </c>
      <c r="I206" s="18">
        <f>'AEO 2023 Table 49 Raw'!L191</f>
        <v>7.7247519999999996</v>
      </c>
      <c r="J206" s="18">
        <f>'AEO 2023 Table 49 Raw'!M191</f>
        <v>7.8325329999999997</v>
      </c>
      <c r="K206" s="18">
        <f>'AEO 2023 Table 49 Raw'!N191</f>
        <v>7.9440169999999997</v>
      </c>
      <c r="L206" s="18">
        <f>'AEO 2023 Table 49 Raw'!O191</f>
        <v>8.0473739999999996</v>
      </c>
      <c r="M206" s="18">
        <f>'AEO 2023 Table 49 Raw'!P191</f>
        <v>8.1074850000000005</v>
      </c>
      <c r="N206" s="18">
        <f>'AEO 2023 Table 49 Raw'!Q191</f>
        <v>8.1106049999999996</v>
      </c>
      <c r="O206" s="18">
        <f>'AEO 2023 Table 49 Raw'!R191</f>
        <v>8.1128280000000004</v>
      </c>
      <c r="P206" s="18">
        <f>'AEO 2023 Table 49 Raw'!S191</f>
        <v>8.110811</v>
      </c>
      <c r="Q206" s="18">
        <f>'AEO 2023 Table 49 Raw'!T191</f>
        <v>8.1122490000000003</v>
      </c>
      <c r="R206" s="18">
        <f>'AEO 2023 Table 49 Raw'!U191</f>
        <v>8.1112169999999999</v>
      </c>
      <c r="S206" s="18">
        <f>'AEO 2023 Table 49 Raw'!V191</f>
        <v>8.1081789999999998</v>
      </c>
      <c r="T206" s="18">
        <f>'AEO 2023 Table 49 Raw'!W191</f>
        <v>8.1064579999999999</v>
      </c>
      <c r="U206" s="18">
        <f>'AEO 2023 Table 49 Raw'!X191</f>
        <v>8.1051339999999996</v>
      </c>
      <c r="V206" s="18">
        <f>'AEO 2023 Table 49 Raw'!Y191</f>
        <v>8.1041930000000004</v>
      </c>
      <c r="W206" s="18">
        <f>'AEO 2023 Table 49 Raw'!Z191</f>
        <v>8.1013950000000001</v>
      </c>
      <c r="X206" s="18">
        <f>'AEO 2023 Table 49 Raw'!AA191</f>
        <v>8.1007890000000007</v>
      </c>
      <c r="Y206" s="18">
        <f>'AEO 2023 Table 49 Raw'!AB191</f>
        <v>8.1005280000000006</v>
      </c>
      <c r="Z206" s="18">
        <f>'AEO 2023 Table 49 Raw'!AC191</f>
        <v>8.1006370000000008</v>
      </c>
      <c r="AA206" s="18">
        <f>'AEO 2023 Table 49 Raw'!AD191</f>
        <v>8.1010089999999995</v>
      </c>
      <c r="AB206" s="18">
        <f>'AEO 2023 Table 49 Raw'!AE191</f>
        <v>8.1012559999999993</v>
      </c>
      <c r="AC206" s="18">
        <f>'AEO 2023 Table 49 Raw'!AF191</f>
        <v>8.1018030000000003</v>
      </c>
      <c r="AD206" s="18">
        <f>'AEO 2023 Table 49 Raw'!AG191</f>
        <v>8.1028509999999994</v>
      </c>
      <c r="AE206" s="18">
        <f>'AEO 2023 Table 49 Raw'!AH191</f>
        <v>8.1022010000000009</v>
      </c>
      <c r="AF206" s="30">
        <f>'AEO 2023 Table 49 Raw'!AI191</f>
        <v>7.0000000000000001E-3</v>
      </c>
    </row>
    <row r="207" spans="1:32" ht="15" customHeight="1">
      <c r="A207" s="7" t="s">
        <v>922</v>
      </c>
      <c r="B207" s="15" t="s">
        <v>858</v>
      </c>
      <c r="C207" s="18">
        <f>'AEO 2023 Table 49 Raw'!F192</f>
        <v>7.9471449999999999</v>
      </c>
      <c r="D207" s="18">
        <f>'AEO 2023 Table 49 Raw'!G192</f>
        <v>8.2543640000000007</v>
      </c>
      <c r="E207" s="18">
        <f>'AEO 2023 Table 49 Raw'!H192</f>
        <v>8.5904810000000005</v>
      </c>
      <c r="F207" s="18">
        <f>'AEO 2023 Table 49 Raw'!I192</f>
        <v>8.8457699999999999</v>
      </c>
      <c r="G207" s="18">
        <f>'AEO 2023 Table 49 Raw'!J192</f>
        <v>9.0590299999999999</v>
      </c>
      <c r="H207" s="18">
        <f>'AEO 2023 Table 49 Raw'!K192</f>
        <v>9.2583249999999992</v>
      </c>
      <c r="I207" s="18">
        <f>'AEO 2023 Table 49 Raw'!L192</f>
        <v>9.3410189999999993</v>
      </c>
      <c r="J207" s="18">
        <f>'AEO 2023 Table 49 Raw'!M192</f>
        <v>9.4975710000000007</v>
      </c>
      <c r="K207" s="18">
        <f>'AEO 2023 Table 49 Raw'!N192</f>
        <v>9.6603539999999999</v>
      </c>
      <c r="L207" s="18">
        <f>'AEO 2023 Table 49 Raw'!O192</f>
        <v>9.8132570000000001</v>
      </c>
      <c r="M207" s="18">
        <f>'AEO 2023 Table 49 Raw'!P192</f>
        <v>9.9121790000000001</v>
      </c>
      <c r="N207" s="18">
        <f>'AEO 2023 Table 49 Raw'!Q192</f>
        <v>9.9437929999999994</v>
      </c>
      <c r="O207" s="18">
        <f>'AEO 2023 Table 49 Raw'!R192</f>
        <v>9.970364</v>
      </c>
      <c r="P207" s="18">
        <f>'AEO 2023 Table 49 Raw'!S192</f>
        <v>9.9892579999999995</v>
      </c>
      <c r="Q207" s="18">
        <f>'AEO 2023 Table 49 Raw'!T192</f>
        <v>10.008831000000001</v>
      </c>
      <c r="R207" s="18">
        <f>'AEO 2023 Table 49 Raw'!U192</f>
        <v>10.024055000000001</v>
      </c>
      <c r="S207" s="18">
        <f>'AEO 2023 Table 49 Raw'!V192</f>
        <v>10.040035</v>
      </c>
      <c r="T207" s="18">
        <f>'AEO 2023 Table 49 Raw'!W192</f>
        <v>10.060394000000001</v>
      </c>
      <c r="U207" s="18">
        <f>'AEO 2023 Table 49 Raw'!X192</f>
        <v>10.085262999999999</v>
      </c>
      <c r="V207" s="18">
        <f>'AEO 2023 Table 49 Raw'!Y192</f>
        <v>10.094213999999999</v>
      </c>
      <c r="W207" s="18">
        <f>'AEO 2023 Table 49 Raw'!Z192</f>
        <v>10.119984000000001</v>
      </c>
      <c r="X207" s="18">
        <f>'AEO 2023 Table 49 Raw'!AA192</f>
        <v>10.137542</v>
      </c>
      <c r="Y207" s="18">
        <f>'AEO 2023 Table 49 Raw'!AB192</f>
        <v>10.154536</v>
      </c>
      <c r="Z207" s="18">
        <f>'AEO 2023 Table 49 Raw'!AC192</f>
        <v>10.186927000000001</v>
      </c>
      <c r="AA207" s="18">
        <f>'AEO 2023 Table 49 Raw'!AD192</f>
        <v>10.224152</v>
      </c>
      <c r="AB207" s="18">
        <f>'AEO 2023 Table 49 Raw'!AE192</f>
        <v>10.257011</v>
      </c>
      <c r="AC207" s="18">
        <f>'AEO 2023 Table 49 Raw'!AF192</f>
        <v>10.285439</v>
      </c>
      <c r="AD207" s="18">
        <f>'AEO 2023 Table 49 Raw'!AG192</f>
        <v>10.300746</v>
      </c>
      <c r="AE207" s="18">
        <f>'AEO 2023 Table 49 Raw'!AH192</f>
        <v>10.316784</v>
      </c>
      <c r="AF207" s="30">
        <f>'AEO 2023 Table 49 Raw'!AI192</f>
        <v>8.9999999999999993E-3</v>
      </c>
    </row>
    <row r="208" spans="1:32" ht="15" customHeight="1">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30"/>
    </row>
    <row r="209" spans="1:32" ht="12" customHeight="1">
      <c r="B209" s="15" t="s">
        <v>923</v>
      </c>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30"/>
    </row>
    <row r="210" spans="1:32" ht="15" customHeight="1">
      <c r="B210" s="15" t="s">
        <v>734</v>
      </c>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30"/>
    </row>
    <row r="211" spans="1:32" ht="15" customHeight="1">
      <c r="A211" s="7" t="s">
        <v>924</v>
      </c>
      <c r="B211" s="16" t="s">
        <v>736</v>
      </c>
      <c r="C211" s="18">
        <f>'AEO 2023 Table 49 Raw'!F195</f>
        <v>136.25962799999999</v>
      </c>
      <c r="D211" s="18">
        <f>'AEO 2023 Table 49 Raw'!G195</f>
        <v>127.083748</v>
      </c>
      <c r="E211" s="18">
        <f>'AEO 2023 Table 49 Raw'!H195</f>
        <v>133.41915900000001</v>
      </c>
      <c r="F211" s="18">
        <f>'AEO 2023 Table 49 Raw'!I195</f>
        <v>141.29763800000001</v>
      </c>
      <c r="G211" s="18">
        <f>'AEO 2023 Table 49 Raw'!J195</f>
        <v>144.63111900000001</v>
      </c>
      <c r="H211" s="18">
        <f>'AEO 2023 Table 49 Raw'!K195</f>
        <v>145.40922499999999</v>
      </c>
      <c r="I211" s="18">
        <f>'AEO 2023 Table 49 Raw'!L195</f>
        <v>147.62912</v>
      </c>
      <c r="J211" s="18">
        <f>'AEO 2023 Table 49 Raw'!M195</f>
        <v>150.128998</v>
      </c>
      <c r="K211" s="18">
        <f>'AEO 2023 Table 49 Raw'!N195</f>
        <v>150.970383</v>
      </c>
      <c r="L211" s="18">
        <f>'AEO 2023 Table 49 Raw'!O195</f>
        <v>152.288467</v>
      </c>
      <c r="M211" s="18">
        <f>'AEO 2023 Table 49 Raw'!P195</f>
        <v>156.49388099999999</v>
      </c>
      <c r="N211" s="18">
        <f>'AEO 2023 Table 49 Raw'!Q195</f>
        <v>160.13542200000001</v>
      </c>
      <c r="O211" s="18">
        <f>'AEO 2023 Table 49 Raw'!R195</f>
        <v>159.71426400000001</v>
      </c>
      <c r="P211" s="18">
        <f>'AEO 2023 Table 49 Raw'!S195</f>
        <v>159.57615699999999</v>
      </c>
      <c r="Q211" s="18">
        <f>'AEO 2023 Table 49 Raw'!T195</f>
        <v>160.86213699999999</v>
      </c>
      <c r="R211" s="18">
        <f>'AEO 2023 Table 49 Raw'!U195</f>
        <v>163.664276</v>
      </c>
      <c r="S211" s="18">
        <f>'AEO 2023 Table 49 Raw'!V195</f>
        <v>167.86442600000001</v>
      </c>
      <c r="T211" s="18">
        <f>'AEO 2023 Table 49 Raw'!W195</f>
        <v>172.60517899999999</v>
      </c>
      <c r="U211" s="18">
        <f>'AEO 2023 Table 49 Raw'!X195</f>
        <v>176.71751399999999</v>
      </c>
      <c r="V211" s="18">
        <f>'AEO 2023 Table 49 Raw'!Y195</f>
        <v>179.862381</v>
      </c>
      <c r="W211" s="18">
        <f>'AEO 2023 Table 49 Raw'!Z195</f>
        <v>182.68057300000001</v>
      </c>
      <c r="X211" s="18">
        <f>'AEO 2023 Table 49 Raw'!AA195</f>
        <v>184.57264699999999</v>
      </c>
      <c r="Y211" s="18">
        <f>'AEO 2023 Table 49 Raw'!AB195</f>
        <v>185.50657699999999</v>
      </c>
      <c r="Z211" s="18">
        <f>'AEO 2023 Table 49 Raw'!AC195</f>
        <v>187.05418399999999</v>
      </c>
      <c r="AA211" s="18">
        <f>'AEO 2023 Table 49 Raw'!AD195</f>
        <v>189.480423</v>
      </c>
      <c r="AB211" s="18">
        <f>'AEO 2023 Table 49 Raw'!AE195</f>
        <v>191.96052599999999</v>
      </c>
      <c r="AC211" s="18">
        <f>'AEO 2023 Table 49 Raw'!AF195</f>
        <v>194.57195999999999</v>
      </c>
      <c r="AD211" s="18">
        <f>'AEO 2023 Table 49 Raw'!AG195</f>
        <v>196.99954199999999</v>
      </c>
      <c r="AE211" s="18">
        <f>'AEO 2023 Table 49 Raw'!AH195</f>
        <v>199.49633800000001</v>
      </c>
      <c r="AF211" s="30">
        <f>'AEO 2023 Table 49 Raw'!AI195</f>
        <v>1.4E-2</v>
      </c>
    </row>
    <row r="212" spans="1:32" ht="15" customHeight="1">
      <c r="A212" s="7" t="s">
        <v>925</v>
      </c>
      <c r="B212" s="16" t="s">
        <v>738</v>
      </c>
      <c r="C212" s="18">
        <f>'AEO 2023 Table 49 Raw'!F196</f>
        <v>103.20974699999999</v>
      </c>
      <c r="D212" s="18">
        <f>'AEO 2023 Table 49 Raw'!G196</f>
        <v>95.244079999999997</v>
      </c>
      <c r="E212" s="18">
        <f>'AEO 2023 Table 49 Raw'!H196</f>
        <v>99.025429000000003</v>
      </c>
      <c r="F212" s="18">
        <f>'AEO 2023 Table 49 Raw'!I196</f>
        <v>103.943382</v>
      </c>
      <c r="G212" s="18">
        <f>'AEO 2023 Table 49 Raw'!J196</f>
        <v>105.53124200000001</v>
      </c>
      <c r="H212" s="18">
        <f>'AEO 2023 Table 49 Raw'!K196</f>
        <v>105.30883799999999</v>
      </c>
      <c r="I212" s="18">
        <f>'AEO 2023 Table 49 Raw'!L196</f>
        <v>106.18671399999999</v>
      </c>
      <c r="J212" s="18">
        <f>'AEO 2023 Table 49 Raw'!M196</f>
        <v>107.30914300000001</v>
      </c>
      <c r="K212" s="18">
        <f>'AEO 2023 Table 49 Raw'!N196</f>
        <v>107.291557</v>
      </c>
      <c r="L212" s="18">
        <f>'AEO 2023 Table 49 Raw'!O196</f>
        <v>107.659126</v>
      </c>
      <c r="M212" s="18">
        <f>'AEO 2023 Table 49 Raw'!P196</f>
        <v>110.098778</v>
      </c>
      <c r="N212" s="18">
        <f>'AEO 2023 Table 49 Raw'!Q196</f>
        <v>112.162796</v>
      </c>
      <c r="O212" s="18">
        <f>'AEO 2023 Table 49 Raw'!R196</f>
        <v>111.41445899999999</v>
      </c>
      <c r="P212" s="18">
        <f>'AEO 2023 Table 49 Raw'!S196</f>
        <v>110.904526</v>
      </c>
      <c r="Q212" s="18">
        <f>'AEO 2023 Table 49 Raw'!T196</f>
        <v>111.41738100000001</v>
      </c>
      <c r="R212" s="18">
        <f>'AEO 2023 Table 49 Raw'!U196</f>
        <v>113.004105</v>
      </c>
      <c r="S212" s="18">
        <f>'AEO 2023 Table 49 Raw'!V196</f>
        <v>115.57209</v>
      </c>
      <c r="T212" s="18">
        <f>'AEO 2023 Table 49 Raw'!W196</f>
        <v>118.523758</v>
      </c>
      <c r="U212" s="18">
        <f>'AEO 2023 Table 49 Raw'!X196</f>
        <v>121.055161</v>
      </c>
      <c r="V212" s="18">
        <f>'AEO 2023 Table 49 Raw'!Y196</f>
        <v>122.93707999999999</v>
      </c>
      <c r="W212" s="18">
        <f>'AEO 2023 Table 49 Raw'!Z196</f>
        <v>124.610107</v>
      </c>
      <c r="X212" s="18">
        <f>'AEO 2023 Table 49 Raw'!AA196</f>
        <v>125.66645800000001</v>
      </c>
      <c r="Y212" s="18">
        <f>'AEO 2023 Table 49 Raw'!AB196</f>
        <v>126.086716</v>
      </c>
      <c r="Z212" s="18">
        <f>'AEO 2023 Table 49 Raw'!AC196</f>
        <v>126.93946099999999</v>
      </c>
      <c r="AA212" s="18">
        <f>'AEO 2023 Table 49 Raw'!AD196</f>
        <v>128.40110799999999</v>
      </c>
      <c r="AB212" s="18">
        <f>'AEO 2023 Table 49 Raw'!AE196</f>
        <v>129.91007999999999</v>
      </c>
      <c r="AC212" s="18">
        <f>'AEO 2023 Table 49 Raw'!AF196</f>
        <v>131.51786799999999</v>
      </c>
      <c r="AD212" s="18">
        <f>'AEO 2023 Table 49 Raw'!AG196</f>
        <v>133.01074199999999</v>
      </c>
      <c r="AE212" s="18">
        <f>'AEO 2023 Table 49 Raw'!AH196</f>
        <v>134.55900600000001</v>
      </c>
      <c r="AF212" s="30">
        <f>'AEO 2023 Table 49 Raw'!AI196</f>
        <v>0.01</v>
      </c>
    </row>
    <row r="213" spans="1:32" ht="15" customHeight="1">
      <c r="A213" s="7" t="s">
        <v>926</v>
      </c>
      <c r="B213" s="16" t="s">
        <v>382</v>
      </c>
      <c r="C213" s="18">
        <f>'AEO 2023 Table 49 Raw'!F197</f>
        <v>0</v>
      </c>
      <c r="D213" s="18">
        <f>'AEO 2023 Table 49 Raw'!G197</f>
        <v>0.24643200000000001</v>
      </c>
      <c r="E213" s="18">
        <f>'AEO 2023 Table 49 Raw'!H197</f>
        <v>0.252305</v>
      </c>
      <c r="F213" s="18">
        <f>'AEO 2023 Table 49 Raw'!I197</f>
        <v>0.25668299999999999</v>
      </c>
      <c r="G213" s="18">
        <f>'AEO 2023 Table 49 Raw'!J197</f>
        <v>0.26075300000000001</v>
      </c>
      <c r="H213" s="18">
        <f>'AEO 2023 Table 49 Raw'!K197</f>
        <v>0.26159500000000002</v>
      </c>
      <c r="I213" s="18">
        <f>'AEO 2023 Table 49 Raw'!L197</f>
        <v>0.26821200000000001</v>
      </c>
      <c r="J213" s="18">
        <f>'AEO 2023 Table 49 Raw'!M197</f>
        <v>0.27779700000000002</v>
      </c>
      <c r="K213" s="18">
        <f>'AEO 2023 Table 49 Raw'!N197</f>
        <v>0.28732200000000002</v>
      </c>
      <c r="L213" s="18">
        <f>'AEO 2023 Table 49 Raw'!O197</f>
        <v>0.29986000000000002</v>
      </c>
      <c r="M213" s="18">
        <f>'AEO 2023 Table 49 Raw'!P197</f>
        <v>0.31739499999999998</v>
      </c>
      <c r="N213" s="18">
        <f>'AEO 2023 Table 49 Raw'!Q197</f>
        <v>0.33456799999999998</v>
      </c>
      <c r="O213" s="18">
        <f>'AEO 2023 Table 49 Raw'!R197</f>
        <v>0.34320800000000001</v>
      </c>
      <c r="P213" s="18">
        <f>'AEO 2023 Table 49 Raw'!S197</f>
        <v>0.35411399999999998</v>
      </c>
      <c r="Q213" s="18">
        <f>'AEO 2023 Table 49 Raw'!T197</f>
        <v>0.372087</v>
      </c>
      <c r="R213" s="18">
        <f>'AEO 2023 Table 49 Raw'!U197</f>
        <v>0.39916099999999999</v>
      </c>
      <c r="S213" s="18">
        <f>'AEO 2023 Table 49 Raw'!V197</f>
        <v>0.434471</v>
      </c>
      <c r="T213" s="18">
        <f>'AEO 2023 Table 49 Raw'!W197</f>
        <v>0.47616599999999998</v>
      </c>
      <c r="U213" s="18">
        <f>'AEO 2023 Table 49 Raw'!X197</f>
        <v>0.51893299999999998</v>
      </c>
      <c r="V213" s="18">
        <f>'AEO 2023 Table 49 Raw'!Y197</f>
        <v>0.56271400000000005</v>
      </c>
      <c r="W213" s="18">
        <f>'AEO 2023 Table 49 Raw'!Z197</f>
        <v>0.60917600000000005</v>
      </c>
      <c r="X213" s="18">
        <f>'AEO 2023 Table 49 Raw'!AA197</f>
        <v>0.659076</v>
      </c>
      <c r="Y213" s="18">
        <f>'AEO 2023 Table 49 Raw'!AB197</f>
        <v>0.70908000000000004</v>
      </c>
      <c r="Z213" s="18">
        <f>'AEO 2023 Table 49 Raw'!AC197</f>
        <v>0.76338300000000003</v>
      </c>
      <c r="AA213" s="18">
        <f>'AEO 2023 Table 49 Raw'!AD197</f>
        <v>0.82072199999999995</v>
      </c>
      <c r="AB213" s="18">
        <f>'AEO 2023 Table 49 Raw'!AE197</f>
        <v>0.87785199999999997</v>
      </c>
      <c r="AC213" s="18">
        <f>'AEO 2023 Table 49 Raw'!AF197</f>
        <v>0.93330599999999997</v>
      </c>
      <c r="AD213" s="18">
        <f>'AEO 2023 Table 49 Raw'!AG197</f>
        <v>0.98619400000000002</v>
      </c>
      <c r="AE213" s="18">
        <f>'AEO 2023 Table 49 Raw'!AH197</f>
        <v>1.037256</v>
      </c>
      <c r="AF213" s="30" t="str">
        <f>'AEO 2023 Table 49 Raw'!AI197</f>
        <v>- -</v>
      </c>
    </row>
    <row r="214" spans="1:32" ht="15" customHeight="1">
      <c r="A214" s="7" t="s">
        <v>927</v>
      </c>
      <c r="B214" s="16" t="s">
        <v>741</v>
      </c>
      <c r="C214" s="18">
        <f>'AEO 2023 Table 49 Raw'!F198</f>
        <v>0</v>
      </c>
      <c r="D214" s="18">
        <f>'AEO 2023 Table 49 Raw'!G198</f>
        <v>0</v>
      </c>
      <c r="E214" s="18">
        <f>'AEO 2023 Table 49 Raw'!H198</f>
        <v>0</v>
      </c>
      <c r="F214" s="18">
        <f>'AEO 2023 Table 49 Raw'!I198</f>
        <v>0</v>
      </c>
      <c r="G214" s="18">
        <f>'AEO 2023 Table 49 Raw'!J198</f>
        <v>0</v>
      </c>
      <c r="H214" s="18">
        <f>'AEO 2023 Table 49 Raw'!K198</f>
        <v>0</v>
      </c>
      <c r="I214" s="18">
        <f>'AEO 2023 Table 49 Raw'!L198</f>
        <v>0</v>
      </c>
      <c r="J214" s="18">
        <f>'AEO 2023 Table 49 Raw'!M198</f>
        <v>0</v>
      </c>
      <c r="K214" s="18">
        <f>'AEO 2023 Table 49 Raw'!N198</f>
        <v>0</v>
      </c>
      <c r="L214" s="18">
        <f>'AEO 2023 Table 49 Raw'!O198</f>
        <v>0</v>
      </c>
      <c r="M214" s="18">
        <f>'AEO 2023 Table 49 Raw'!P198</f>
        <v>0</v>
      </c>
      <c r="N214" s="18">
        <f>'AEO 2023 Table 49 Raw'!Q198</f>
        <v>0</v>
      </c>
      <c r="O214" s="18">
        <f>'AEO 2023 Table 49 Raw'!R198</f>
        <v>0</v>
      </c>
      <c r="P214" s="18">
        <f>'AEO 2023 Table 49 Raw'!S198</f>
        <v>0</v>
      </c>
      <c r="Q214" s="18">
        <f>'AEO 2023 Table 49 Raw'!T198</f>
        <v>0</v>
      </c>
      <c r="R214" s="18">
        <f>'AEO 2023 Table 49 Raw'!U198</f>
        <v>0</v>
      </c>
      <c r="S214" s="18">
        <f>'AEO 2023 Table 49 Raw'!V198</f>
        <v>0</v>
      </c>
      <c r="T214" s="18">
        <f>'AEO 2023 Table 49 Raw'!W198</f>
        <v>0</v>
      </c>
      <c r="U214" s="18">
        <f>'AEO 2023 Table 49 Raw'!X198</f>
        <v>0</v>
      </c>
      <c r="V214" s="18">
        <f>'AEO 2023 Table 49 Raw'!Y198</f>
        <v>0</v>
      </c>
      <c r="W214" s="18">
        <f>'AEO 2023 Table 49 Raw'!Z198</f>
        <v>0</v>
      </c>
      <c r="X214" s="18">
        <f>'AEO 2023 Table 49 Raw'!AA198</f>
        <v>0</v>
      </c>
      <c r="Y214" s="18">
        <f>'AEO 2023 Table 49 Raw'!AB198</f>
        <v>0</v>
      </c>
      <c r="Z214" s="18">
        <f>'AEO 2023 Table 49 Raw'!AC198</f>
        <v>0</v>
      </c>
      <c r="AA214" s="18">
        <f>'AEO 2023 Table 49 Raw'!AD198</f>
        <v>0</v>
      </c>
      <c r="AB214" s="18">
        <f>'AEO 2023 Table 49 Raw'!AE198</f>
        <v>0</v>
      </c>
      <c r="AC214" s="18">
        <f>'AEO 2023 Table 49 Raw'!AF198</f>
        <v>0</v>
      </c>
      <c r="AD214" s="18">
        <f>'AEO 2023 Table 49 Raw'!AG198</f>
        <v>0</v>
      </c>
      <c r="AE214" s="18">
        <f>'AEO 2023 Table 49 Raw'!AH198</f>
        <v>0</v>
      </c>
      <c r="AF214" s="30" t="str">
        <f>'AEO 2023 Table 49 Raw'!AI198</f>
        <v>- -</v>
      </c>
    </row>
    <row r="215" spans="1:32" ht="15" customHeight="1">
      <c r="A215" s="7" t="s">
        <v>928</v>
      </c>
      <c r="B215" s="16" t="s">
        <v>743</v>
      </c>
      <c r="C215" s="18">
        <f>'AEO 2023 Table 49 Raw'!F199</f>
        <v>12.653598000000001</v>
      </c>
      <c r="D215" s="18">
        <f>'AEO 2023 Table 49 Raw'!G199</f>
        <v>11.552336</v>
      </c>
      <c r="E215" s="18">
        <f>'AEO 2023 Table 49 Raw'!H199</f>
        <v>11.600343000000001</v>
      </c>
      <c r="F215" s="18">
        <f>'AEO 2023 Table 49 Raw'!I199</f>
        <v>11.461596</v>
      </c>
      <c r="G215" s="18">
        <f>'AEO 2023 Table 49 Raw'!J199</f>
        <v>11.168632000000001</v>
      </c>
      <c r="H215" s="18">
        <f>'AEO 2023 Table 49 Raw'!K199</f>
        <v>10.981567</v>
      </c>
      <c r="I215" s="18">
        <f>'AEO 2023 Table 49 Raw'!L199</f>
        <v>10.765105999999999</v>
      </c>
      <c r="J215" s="18">
        <f>'AEO 2023 Table 49 Raw'!M199</f>
        <v>10.686363999999999</v>
      </c>
      <c r="K215" s="18">
        <f>'AEO 2023 Table 49 Raw'!N199</f>
        <v>10.625061000000001</v>
      </c>
      <c r="L215" s="18">
        <f>'AEO 2023 Table 49 Raw'!O199</f>
        <v>10.755540999999999</v>
      </c>
      <c r="M215" s="18">
        <f>'AEO 2023 Table 49 Raw'!P199</f>
        <v>11.056151</v>
      </c>
      <c r="N215" s="18">
        <f>'AEO 2023 Table 49 Raw'!Q199</f>
        <v>11.360353</v>
      </c>
      <c r="O215" s="18">
        <f>'AEO 2023 Table 49 Raw'!R199</f>
        <v>11.320587</v>
      </c>
      <c r="P215" s="18">
        <f>'AEO 2023 Table 49 Raw'!S199</f>
        <v>11.322226000000001</v>
      </c>
      <c r="Q215" s="18">
        <f>'AEO 2023 Table 49 Raw'!T199</f>
        <v>11.399566999999999</v>
      </c>
      <c r="R215" s="18">
        <f>'AEO 2023 Table 49 Raw'!U199</f>
        <v>11.618492</v>
      </c>
      <c r="S215" s="18">
        <f>'AEO 2023 Table 49 Raw'!V199</f>
        <v>11.918831000000001</v>
      </c>
      <c r="T215" s="18">
        <f>'AEO 2023 Table 49 Raw'!W199</f>
        <v>12.273879000000001</v>
      </c>
      <c r="U215" s="18">
        <f>'AEO 2023 Table 49 Raw'!X199</f>
        <v>12.613292</v>
      </c>
      <c r="V215" s="18">
        <f>'AEO 2023 Table 49 Raw'!Y199</f>
        <v>12.243190999999999</v>
      </c>
      <c r="W215" s="18">
        <f>'AEO 2023 Table 49 Raw'!Z199</f>
        <v>12.456396</v>
      </c>
      <c r="X215" s="18">
        <f>'AEO 2023 Table 49 Raw'!AA199</f>
        <v>12.600669999999999</v>
      </c>
      <c r="Y215" s="18">
        <f>'AEO 2023 Table 49 Raw'!AB199</f>
        <v>12.702261999999999</v>
      </c>
      <c r="Z215" s="18">
        <f>'AEO 2023 Table 49 Raw'!AC199</f>
        <v>12.914300000000001</v>
      </c>
      <c r="AA215" s="18">
        <f>'AEO 2023 Table 49 Raw'!AD199</f>
        <v>13.190873</v>
      </c>
      <c r="AB215" s="18">
        <f>'AEO 2023 Table 49 Raw'!AE199</f>
        <v>13.456709999999999</v>
      </c>
      <c r="AC215" s="18">
        <f>'AEO 2023 Table 49 Raw'!AF199</f>
        <v>13.725542000000001</v>
      </c>
      <c r="AD215" s="18">
        <f>'AEO 2023 Table 49 Raw'!AG199</f>
        <v>13.975149</v>
      </c>
      <c r="AE215" s="18">
        <f>'AEO 2023 Table 49 Raw'!AH199</f>
        <v>14.198510000000001</v>
      </c>
      <c r="AF215" s="30">
        <f>'AEO 2023 Table 49 Raw'!AI199</f>
        <v>4.0000000000000001E-3</v>
      </c>
    </row>
    <row r="216" spans="1:32" ht="15" customHeight="1">
      <c r="A216" s="7" t="s">
        <v>929</v>
      </c>
      <c r="B216" s="16" t="s">
        <v>745</v>
      </c>
      <c r="C216" s="18">
        <f>'AEO 2023 Table 49 Raw'!F200</f>
        <v>0</v>
      </c>
      <c r="D216" s="18">
        <f>'AEO 2023 Table 49 Raw'!G200</f>
        <v>0</v>
      </c>
      <c r="E216" s="18">
        <f>'AEO 2023 Table 49 Raw'!H200</f>
        <v>0</v>
      </c>
      <c r="F216" s="18">
        <f>'AEO 2023 Table 49 Raw'!I200</f>
        <v>0</v>
      </c>
      <c r="G216" s="18">
        <f>'AEO 2023 Table 49 Raw'!J200</f>
        <v>0</v>
      </c>
      <c r="H216" s="18">
        <f>'AEO 2023 Table 49 Raw'!K200</f>
        <v>0</v>
      </c>
      <c r="I216" s="18">
        <f>'AEO 2023 Table 49 Raw'!L200</f>
        <v>0</v>
      </c>
      <c r="J216" s="18">
        <f>'AEO 2023 Table 49 Raw'!M200</f>
        <v>0</v>
      </c>
      <c r="K216" s="18">
        <f>'AEO 2023 Table 49 Raw'!N200</f>
        <v>0</v>
      </c>
      <c r="L216" s="18">
        <f>'AEO 2023 Table 49 Raw'!O200</f>
        <v>0</v>
      </c>
      <c r="M216" s="18">
        <f>'AEO 2023 Table 49 Raw'!P200</f>
        <v>0</v>
      </c>
      <c r="N216" s="18">
        <f>'AEO 2023 Table 49 Raw'!Q200</f>
        <v>0</v>
      </c>
      <c r="O216" s="18">
        <f>'AEO 2023 Table 49 Raw'!R200</f>
        <v>0</v>
      </c>
      <c r="P216" s="18">
        <f>'AEO 2023 Table 49 Raw'!S200</f>
        <v>0</v>
      </c>
      <c r="Q216" s="18">
        <f>'AEO 2023 Table 49 Raw'!T200</f>
        <v>0</v>
      </c>
      <c r="R216" s="18">
        <f>'AEO 2023 Table 49 Raw'!U200</f>
        <v>0</v>
      </c>
      <c r="S216" s="18">
        <f>'AEO 2023 Table 49 Raw'!V200</f>
        <v>0</v>
      </c>
      <c r="T216" s="18">
        <f>'AEO 2023 Table 49 Raw'!W200</f>
        <v>0</v>
      </c>
      <c r="U216" s="18">
        <f>'AEO 2023 Table 49 Raw'!X200</f>
        <v>0</v>
      </c>
      <c r="V216" s="18">
        <f>'AEO 2023 Table 49 Raw'!Y200</f>
        <v>0</v>
      </c>
      <c r="W216" s="18">
        <f>'AEO 2023 Table 49 Raw'!Z200</f>
        <v>0</v>
      </c>
      <c r="X216" s="18">
        <f>'AEO 2023 Table 49 Raw'!AA200</f>
        <v>0</v>
      </c>
      <c r="Y216" s="18">
        <f>'AEO 2023 Table 49 Raw'!AB200</f>
        <v>0</v>
      </c>
      <c r="Z216" s="18">
        <f>'AEO 2023 Table 49 Raw'!AC200</f>
        <v>0</v>
      </c>
      <c r="AA216" s="18">
        <f>'AEO 2023 Table 49 Raw'!AD200</f>
        <v>0</v>
      </c>
      <c r="AB216" s="18">
        <f>'AEO 2023 Table 49 Raw'!AE200</f>
        <v>0</v>
      </c>
      <c r="AC216" s="18">
        <f>'AEO 2023 Table 49 Raw'!AF200</f>
        <v>0</v>
      </c>
      <c r="AD216" s="18">
        <f>'AEO 2023 Table 49 Raw'!AG200</f>
        <v>0</v>
      </c>
      <c r="AE216" s="18">
        <f>'AEO 2023 Table 49 Raw'!AH200</f>
        <v>0</v>
      </c>
      <c r="AF216" s="30" t="str">
        <f>'AEO 2023 Table 49 Raw'!AI200</f>
        <v>- -</v>
      </c>
    </row>
    <row r="217" spans="1:32" ht="15" customHeight="1">
      <c r="A217" s="7" t="s">
        <v>930</v>
      </c>
      <c r="B217" s="16" t="s">
        <v>747</v>
      </c>
      <c r="C217" s="18">
        <f>'AEO 2023 Table 49 Raw'!F201</f>
        <v>0</v>
      </c>
      <c r="D217" s="18">
        <f>'AEO 2023 Table 49 Raw'!G201</f>
        <v>0.28171600000000002</v>
      </c>
      <c r="E217" s="18">
        <f>'AEO 2023 Table 49 Raw'!H201</f>
        <v>0.29282999999999998</v>
      </c>
      <c r="F217" s="18">
        <f>'AEO 2023 Table 49 Raw'!I201</f>
        <v>0.30618499999999998</v>
      </c>
      <c r="G217" s="18">
        <f>'AEO 2023 Table 49 Raw'!J201</f>
        <v>0.31391400000000003</v>
      </c>
      <c r="H217" s="18">
        <f>'AEO 2023 Table 49 Raw'!K201</f>
        <v>0.31940200000000002</v>
      </c>
      <c r="I217" s="18">
        <f>'AEO 2023 Table 49 Raw'!L201</f>
        <v>0.33374900000000002</v>
      </c>
      <c r="J217" s="18">
        <f>'AEO 2023 Table 49 Raw'!M201</f>
        <v>0.35278199999999998</v>
      </c>
      <c r="K217" s="18">
        <f>'AEO 2023 Table 49 Raw'!N201</f>
        <v>0.37166100000000002</v>
      </c>
      <c r="L217" s="18">
        <f>'AEO 2023 Table 49 Raw'!O201</f>
        <v>0.394899</v>
      </c>
      <c r="M217" s="18">
        <f>'AEO 2023 Table 49 Raw'!P201</f>
        <v>0.42931200000000003</v>
      </c>
      <c r="N217" s="18">
        <f>'AEO 2023 Table 49 Raw'!Q201</f>
        <v>0.465165</v>
      </c>
      <c r="O217" s="18">
        <f>'AEO 2023 Table 49 Raw'!R201</f>
        <v>0.49295899999999998</v>
      </c>
      <c r="P217" s="18">
        <f>'AEO 2023 Table 49 Raw'!S201</f>
        <v>0.52596799999999999</v>
      </c>
      <c r="Q217" s="18">
        <f>'AEO 2023 Table 49 Raw'!T201</f>
        <v>0.56994900000000004</v>
      </c>
      <c r="R217" s="18">
        <f>'AEO 2023 Table 49 Raw'!U201</f>
        <v>0.62658499999999995</v>
      </c>
      <c r="S217" s="18">
        <f>'AEO 2023 Table 49 Raw'!V201</f>
        <v>0.69688099999999997</v>
      </c>
      <c r="T217" s="18">
        <f>'AEO 2023 Table 49 Raw'!W201</f>
        <v>0.77812400000000004</v>
      </c>
      <c r="U217" s="18">
        <f>'AEO 2023 Table 49 Raw'!X201</f>
        <v>0.86447499999999999</v>
      </c>
      <c r="V217" s="18">
        <f>'AEO 2023 Table 49 Raw'!Y201</f>
        <v>0.95209299999999997</v>
      </c>
      <c r="W217" s="18">
        <f>'AEO 2023 Table 49 Raw'!Z201</f>
        <v>1.0415030000000001</v>
      </c>
      <c r="X217" s="18">
        <f>'AEO 2023 Table 49 Raw'!AA201</f>
        <v>1.126533</v>
      </c>
      <c r="Y217" s="18">
        <f>'AEO 2023 Table 49 Raw'!AB201</f>
        <v>1.2035450000000001</v>
      </c>
      <c r="Z217" s="18">
        <f>'AEO 2023 Table 49 Raw'!AC201</f>
        <v>1.2802739999999999</v>
      </c>
      <c r="AA217" s="18">
        <f>'AEO 2023 Table 49 Raw'!AD201</f>
        <v>1.3577939999999999</v>
      </c>
      <c r="AB217" s="18">
        <f>'AEO 2023 Table 49 Raw'!AE201</f>
        <v>1.429962</v>
      </c>
      <c r="AC217" s="18">
        <f>'AEO 2023 Table 49 Raw'!AF201</f>
        <v>1.4971000000000001</v>
      </c>
      <c r="AD217" s="18">
        <f>'AEO 2023 Table 49 Raw'!AG201</f>
        <v>1.556692</v>
      </c>
      <c r="AE217" s="18">
        <f>'AEO 2023 Table 49 Raw'!AH201</f>
        <v>1.61103</v>
      </c>
      <c r="AF217" s="30" t="str">
        <f>'AEO 2023 Table 49 Raw'!AI201</f>
        <v>- -</v>
      </c>
    </row>
    <row r="218" spans="1:32" ht="15" customHeight="1">
      <c r="A218" s="7" t="s">
        <v>931</v>
      </c>
      <c r="B218" s="16" t="s">
        <v>749</v>
      </c>
      <c r="C218" s="18">
        <f>'AEO 2023 Table 49 Raw'!F202</f>
        <v>0</v>
      </c>
      <c r="D218" s="18">
        <f>'AEO 2023 Table 49 Raw'!G202</f>
        <v>0.30658000000000002</v>
      </c>
      <c r="E218" s="18">
        <f>'AEO 2023 Table 49 Raw'!H202</f>
        <v>0.31281100000000001</v>
      </c>
      <c r="F218" s="18">
        <f>'AEO 2023 Table 49 Raw'!I202</f>
        <v>0.31875500000000001</v>
      </c>
      <c r="G218" s="18">
        <f>'AEO 2023 Table 49 Raw'!J202</f>
        <v>0.31956699999999999</v>
      </c>
      <c r="H218" s="18">
        <f>'AEO 2023 Table 49 Raw'!K202</f>
        <v>0.319911</v>
      </c>
      <c r="I218" s="18">
        <f>'AEO 2023 Table 49 Raw'!L202</f>
        <v>0.327262</v>
      </c>
      <c r="J218" s="18">
        <f>'AEO 2023 Table 49 Raw'!M202</f>
        <v>0.33962900000000001</v>
      </c>
      <c r="K218" s="18">
        <f>'AEO 2023 Table 49 Raw'!N202</f>
        <v>0.35427700000000001</v>
      </c>
      <c r="L218" s="18">
        <f>'AEO 2023 Table 49 Raw'!O202</f>
        <v>0.37685000000000002</v>
      </c>
      <c r="M218" s="18">
        <f>'AEO 2023 Table 49 Raw'!P202</f>
        <v>0.41139100000000001</v>
      </c>
      <c r="N218" s="18">
        <f>'AEO 2023 Table 49 Raw'!Q202</f>
        <v>0.45125700000000002</v>
      </c>
      <c r="O218" s="18">
        <f>'AEO 2023 Table 49 Raw'!R202</f>
        <v>0.48465000000000003</v>
      </c>
      <c r="P218" s="18">
        <f>'AEO 2023 Table 49 Raw'!S202</f>
        <v>0.52488500000000005</v>
      </c>
      <c r="Q218" s="18">
        <f>'AEO 2023 Table 49 Raw'!T202</f>
        <v>0.576963</v>
      </c>
      <c r="R218" s="18">
        <f>'AEO 2023 Table 49 Raw'!U202</f>
        <v>0.64406799999999997</v>
      </c>
      <c r="S218" s="18">
        <f>'AEO 2023 Table 49 Raw'!V202</f>
        <v>0.72592199999999996</v>
      </c>
      <c r="T218" s="18">
        <f>'AEO 2023 Table 49 Raw'!W202</f>
        <v>0.82100200000000001</v>
      </c>
      <c r="U218" s="18">
        <f>'AEO 2023 Table 49 Raw'!X202</f>
        <v>0.923732</v>
      </c>
      <c r="V218" s="18">
        <f>'AEO 2023 Table 49 Raw'!Y202</f>
        <v>1.0294810000000001</v>
      </c>
      <c r="W218" s="18">
        <f>'AEO 2023 Table 49 Raw'!Z202</f>
        <v>1.1353420000000001</v>
      </c>
      <c r="X218" s="18">
        <f>'AEO 2023 Table 49 Raw'!AA202</f>
        <v>1.2357359999999999</v>
      </c>
      <c r="Y218" s="18">
        <f>'AEO 2023 Table 49 Raw'!AB202</f>
        <v>1.3272170000000001</v>
      </c>
      <c r="Z218" s="18">
        <f>'AEO 2023 Table 49 Raw'!AC202</f>
        <v>1.4201980000000001</v>
      </c>
      <c r="AA218" s="18">
        <f>'AEO 2023 Table 49 Raw'!AD202</f>
        <v>1.512813</v>
      </c>
      <c r="AB218" s="18">
        <f>'AEO 2023 Table 49 Raw'!AE202</f>
        <v>1.5973889999999999</v>
      </c>
      <c r="AC218" s="18">
        <f>'AEO 2023 Table 49 Raw'!AF202</f>
        <v>1.6751879999999999</v>
      </c>
      <c r="AD218" s="18">
        <f>'AEO 2023 Table 49 Raw'!AG202</f>
        <v>1.7441500000000001</v>
      </c>
      <c r="AE218" s="18">
        <f>'AEO 2023 Table 49 Raw'!AH202</f>
        <v>1.80585</v>
      </c>
      <c r="AF218" s="30" t="str">
        <f>'AEO 2023 Table 49 Raw'!AI202</f>
        <v>- -</v>
      </c>
    </row>
    <row r="219" spans="1:32" ht="15" customHeight="1">
      <c r="A219" s="7" t="s">
        <v>932</v>
      </c>
      <c r="B219" s="16" t="s">
        <v>751</v>
      </c>
      <c r="C219" s="18">
        <f>'AEO 2023 Table 49 Raw'!F203</f>
        <v>0</v>
      </c>
      <c r="D219" s="18">
        <f>'AEO 2023 Table 49 Raw'!G203</f>
        <v>0</v>
      </c>
      <c r="E219" s="18">
        <f>'AEO 2023 Table 49 Raw'!H203</f>
        <v>9.2E-5</v>
      </c>
      <c r="F219" s="18">
        <f>'AEO 2023 Table 49 Raw'!I203</f>
        <v>9.6000000000000002E-5</v>
      </c>
      <c r="G219" s="18">
        <f>'AEO 2023 Table 49 Raw'!J203</f>
        <v>9.7999999999999997E-5</v>
      </c>
      <c r="H219" s="18">
        <f>'AEO 2023 Table 49 Raw'!K203</f>
        <v>9.7999999999999997E-5</v>
      </c>
      <c r="I219" s="18">
        <f>'AEO 2023 Table 49 Raw'!L203</f>
        <v>9.8999999999999994E-5</v>
      </c>
      <c r="J219" s="18">
        <f>'AEO 2023 Table 49 Raw'!M203</f>
        <v>1E-4</v>
      </c>
      <c r="K219" s="18">
        <f>'AEO 2023 Table 49 Raw'!N203</f>
        <v>1E-4</v>
      </c>
      <c r="L219" s="18">
        <f>'AEO 2023 Table 49 Raw'!O203</f>
        <v>9.8999999999999994E-5</v>
      </c>
      <c r="M219" s="18">
        <f>'AEO 2023 Table 49 Raw'!P203</f>
        <v>1.01E-4</v>
      </c>
      <c r="N219" s="18">
        <f>'AEO 2023 Table 49 Raw'!Q203</f>
        <v>1.02E-4</v>
      </c>
      <c r="O219" s="18">
        <f>'AEO 2023 Table 49 Raw'!R203</f>
        <v>1E-4</v>
      </c>
      <c r="P219" s="18">
        <f>'AEO 2023 Table 49 Raw'!S203</f>
        <v>9.7999999999999997E-5</v>
      </c>
      <c r="Q219" s="18">
        <f>'AEO 2023 Table 49 Raw'!T203</f>
        <v>9.6000000000000002E-5</v>
      </c>
      <c r="R219" s="18">
        <f>'AEO 2023 Table 49 Raw'!U203</f>
        <v>9.5000000000000005E-5</v>
      </c>
      <c r="S219" s="18">
        <f>'AEO 2023 Table 49 Raw'!V203</f>
        <v>9.3999999999999994E-5</v>
      </c>
      <c r="T219" s="18">
        <f>'AEO 2023 Table 49 Raw'!W203</f>
        <v>9.2999999999999997E-5</v>
      </c>
      <c r="U219" s="18">
        <f>'AEO 2023 Table 49 Raw'!X203</f>
        <v>9.1000000000000003E-5</v>
      </c>
      <c r="V219" s="18">
        <f>'AEO 2023 Table 49 Raw'!Y203</f>
        <v>8.7000000000000001E-5</v>
      </c>
      <c r="W219" s="18">
        <f>'AEO 2023 Table 49 Raw'!Z203</f>
        <v>8.2999999999999998E-5</v>
      </c>
      <c r="X219" s="18">
        <f>'AEO 2023 Table 49 Raw'!AA203</f>
        <v>7.7999999999999999E-5</v>
      </c>
      <c r="Y219" s="18">
        <f>'AEO 2023 Table 49 Raw'!AB203</f>
        <v>7.2000000000000002E-5</v>
      </c>
      <c r="Z219" s="18">
        <f>'AEO 2023 Table 49 Raw'!AC203</f>
        <v>6.6000000000000005E-5</v>
      </c>
      <c r="AA219" s="18">
        <f>'AEO 2023 Table 49 Raw'!AD203</f>
        <v>6.0000000000000002E-5</v>
      </c>
      <c r="AB219" s="18">
        <f>'AEO 2023 Table 49 Raw'!AE203</f>
        <v>5.3999999999999998E-5</v>
      </c>
      <c r="AC219" s="18">
        <f>'AEO 2023 Table 49 Raw'!AF203</f>
        <v>4.8000000000000001E-5</v>
      </c>
      <c r="AD219" s="18">
        <f>'AEO 2023 Table 49 Raw'!AG203</f>
        <v>4.1999999999999998E-5</v>
      </c>
      <c r="AE219" s="18">
        <f>'AEO 2023 Table 49 Raw'!AH203</f>
        <v>3.6999999999999998E-5</v>
      </c>
      <c r="AF219" s="30" t="str">
        <f>'AEO 2023 Table 49 Raw'!AI203</f>
        <v>- -</v>
      </c>
    </row>
    <row r="220" spans="1:32" ht="15" customHeight="1">
      <c r="A220" s="7" t="s">
        <v>933</v>
      </c>
      <c r="B220" s="16" t="s">
        <v>753</v>
      </c>
      <c r="C220" s="18">
        <f>'AEO 2023 Table 49 Raw'!F204</f>
        <v>252.12297100000001</v>
      </c>
      <c r="D220" s="18">
        <f>'AEO 2023 Table 49 Raw'!G204</f>
        <v>234.71489</v>
      </c>
      <c r="E220" s="18">
        <f>'AEO 2023 Table 49 Raw'!H204</f>
        <v>244.90295399999999</v>
      </c>
      <c r="F220" s="18">
        <f>'AEO 2023 Table 49 Raw'!I204</f>
        <v>257.58431999999999</v>
      </c>
      <c r="G220" s="18">
        <f>'AEO 2023 Table 49 Raw'!J204</f>
        <v>262.22531099999998</v>
      </c>
      <c r="H220" s="18">
        <f>'AEO 2023 Table 49 Raw'!K204</f>
        <v>262.600616</v>
      </c>
      <c r="I220" s="18">
        <f>'AEO 2023 Table 49 Raw'!L204</f>
        <v>265.51028400000001</v>
      </c>
      <c r="J220" s="18">
        <f>'AEO 2023 Table 49 Raw'!M204</f>
        <v>269.09481799999998</v>
      </c>
      <c r="K220" s="18">
        <f>'AEO 2023 Table 49 Raw'!N204</f>
        <v>269.90033</v>
      </c>
      <c r="L220" s="18">
        <f>'AEO 2023 Table 49 Raw'!O204</f>
        <v>271.774811</v>
      </c>
      <c r="M220" s="18">
        <f>'AEO 2023 Table 49 Raw'!P204</f>
        <v>278.807007</v>
      </c>
      <c r="N220" s="18">
        <f>'AEO 2023 Table 49 Raw'!Q204</f>
        <v>284.90963699999998</v>
      </c>
      <c r="O220" s="18">
        <f>'AEO 2023 Table 49 Raw'!R204</f>
        <v>283.77023300000002</v>
      </c>
      <c r="P220" s="18">
        <f>'AEO 2023 Table 49 Raw'!S204</f>
        <v>283.20797700000003</v>
      </c>
      <c r="Q220" s="18">
        <f>'AEO 2023 Table 49 Raw'!T204</f>
        <v>285.19818099999998</v>
      </c>
      <c r="R220" s="18">
        <f>'AEO 2023 Table 49 Raw'!U204</f>
        <v>289.956726</v>
      </c>
      <c r="S220" s="18">
        <f>'AEO 2023 Table 49 Raw'!V204</f>
        <v>297.212738</v>
      </c>
      <c r="T220" s="18">
        <f>'AEO 2023 Table 49 Raw'!W204</f>
        <v>305.47820999999999</v>
      </c>
      <c r="U220" s="18">
        <f>'AEO 2023 Table 49 Raw'!X204</f>
        <v>312.69317599999999</v>
      </c>
      <c r="V220" s="18">
        <f>'AEO 2023 Table 49 Raw'!Y204</f>
        <v>317.58703600000001</v>
      </c>
      <c r="W220" s="18">
        <f>'AEO 2023 Table 49 Raw'!Z204</f>
        <v>322.53320300000001</v>
      </c>
      <c r="X220" s="18">
        <f>'AEO 2023 Table 49 Raw'!AA204</f>
        <v>325.861176</v>
      </c>
      <c r="Y220" s="18">
        <f>'AEO 2023 Table 49 Raw'!AB204</f>
        <v>327.535461</v>
      </c>
      <c r="Z220" s="18">
        <f>'AEO 2023 Table 49 Raw'!AC204</f>
        <v>330.37185699999998</v>
      </c>
      <c r="AA220" s="18">
        <f>'AEO 2023 Table 49 Raw'!AD204</f>
        <v>334.76379400000002</v>
      </c>
      <c r="AB220" s="18">
        <f>'AEO 2023 Table 49 Raw'!AE204</f>
        <v>339.232574</v>
      </c>
      <c r="AC220" s="18">
        <f>'AEO 2023 Table 49 Raw'!AF204</f>
        <v>343.92105099999998</v>
      </c>
      <c r="AD220" s="18">
        <f>'AEO 2023 Table 49 Raw'!AG204</f>
        <v>348.27246100000002</v>
      </c>
      <c r="AE220" s="18">
        <f>'AEO 2023 Table 49 Raw'!AH204</f>
        <v>352.70803799999999</v>
      </c>
      <c r="AF220" s="30">
        <f>'AEO 2023 Table 49 Raw'!AI204</f>
        <v>1.2E-2</v>
      </c>
    </row>
    <row r="221" spans="1:32" ht="15" customHeight="1">
      <c r="B221" s="15" t="s">
        <v>754</v>
      </c>
      <c r="C221" s="18">
        <f>'AEO 2023 Table 49 Raw'!F205</f>
        <v>0</v>
      </c>
      <c r="D221" s="18">
        <f>'AEO 2023 Table 49 Raw'!G205</f>
        <v>0</v>
      </c>
      <c r="E221" s="18">
        <f>'AEO 2023 Table 49 Raw'!H205</f>
        <v>0</v>
      </c>
      <c r="F221" s="18">
        <f>'AEO 2023 Table 49 Raw'!I205</f>
        <v>0</v>
      </c>
      <c r="G221" s="18">
        <f>'AEO 2023 Table 49 Raw'!J205</f>
        <v>0</v>
      </c>
      <c r="H221" s="18">
        <f>'AEO 2023 Table 49 Raw'!K205</f>
        <v>0</v>
      </c>
      <c r="I221" s="18">
        <f>'AEO 2023 Table 49 Raw'!L205</f>
        <v>0</v>
      </c>
      <c r="J221" s="18">
        <f>'AEO 2023 Table 49 Raw'!M205</f>
        <v>0</v>
      </c>
      <c r="K221" s="18">
        <f>'AEO 2023 Table 49 Raw'!N205</f>
        <v>0</v>
      </c>
      <c r="L221" s="18">
        <f>'AEO 2023 Table 49 Raw'!O205</f>
        <v>0</v>
      </c>
      <c r="M221" s="18">
        <f>'AEO 2023 Table 49 Raw'!P205</f>
        <v>0</v>
      </c>
      <c r="N221" s="18">
        <f>'AEO 2023 Table 49 Raw'!Q205</f>
        <v>0</v>
      </c>
      <c r="O221" s="18">
        <f>'AEO 2023 Table 49 Raw'!R205</f>
        <v>0</v>
      </c>
      <c r="P221" s="18">
        <f>'AEO 2023 Table 49 Raw'!S205</f>
        <v>0</v>
      </c>
      <c r="Q221" s="18">
        <f>'AEO 2023 Table 49 Raw'!T205</f>
        <v>0</v>
      </c>
      <c r="R221" s="18">
        <f>'AEO 2023 Table 49 Raw'!U205</f>
        <v>0</v>
      </c>
      <c r="S221" s="18">
        <f>'AEO 2023 Table 49 Raw'!V205</f>
        <v>0</v>
      </c>
      <c r="T221" s="18">
        <f>'AEO 2023 Table 49 Raw'!W205</f>
        <v>0</v>
      </c>
      <c r="U221" s="18">
        <f>'AEO 2023 Table 49 Raw'!X205</f>
        <v>0</v>
      </c>
      <c r="V221" s="18">
        <f>'AEO 2023 Table 49 Raw'!Y205</f>
        <v>0</v>
      </c>
      <c r="W221" s="18">
        <f>'AEO 2023 Table 49 Raw'!Z205</f>
        <v>0</v>
      </c>
      <c r="X221" s="18">
        <f>'AEO 2023 Table 49 Raw'!AA205</f>
        <v>0</v>
      </c>
      <c r="Y221" s="18">
        <f>'AEO 2023 Table 49 Raw'!AB205</f>
        <v>0</v>
      </c>
      <c r="Z221" s="18">
        <f>'AEO 2023 Table 49 Raw'!AC205</f>
        <v>0</v>
      </c>
      <c r="AA221" s="18">
        <f>'AEO 2023 Table 49 Raw'!AD205</f>
        <v>0</v>
      </c>
      <c r="AB221" s="18">
        <f>'AEO 2023 Table 49 Raw'!AE205</f>
        <v>0</v>
      </c>
      <c r="AC221" s="18">
        <f>'AEO 2023 Table 49 Raw'!AF205</f>
        <v>0</v>
      </c>
      <c r="AD221" s="18">
        <f>'AEO 2023 Table 49 Raw'!AG205</f>
        <v>0</v>
      </c>
      <c r="AE221" s="18">
        <f>'AEO 2023 Table 49 Raw'!AH205</f>
        <v>0</v>
      </c>
      <c r="AF221" s="30">
        <f>'AEO 2023 Table 49 Raw'!AI205</f>
        <v>0</v>
      </c>
    </row>
    <row r="222" spans="1:32" ht="15" customHeight="1">
      <c r="A222" s="7" t="s">
        <v>934</v>
      </c>
      <c r="B222" s="16" t="s">
        <v>736</v>
      </c>
      <c r="C222" s="18">
        <f>'AEO 2023 Table 49 Raw'!F206</f>
        <v>103.404678</v>
      </c>
      <c r="D222" s="18">
        <f>'AEO 2023 Table 49 Raw'!G206</f>
        <v>93.851044000000002</v>
      </c>
      <c r="E222" s="18">
        <f>'AEO 2023 Table 49 Raw'!H206</f>
        <v>93.127953000000005</v>
      </c>
      <c r="F222" s="18">
        <f>'AEO 2023 Table 49 Raw'!I206</f>
        <v>101.221191</v>
      </c>
      <c r="G222" s="18">
        <f>'AEO 2023 Table 49 Raw'!J206</f>
        <v>108.826035</v>
      </c>
      <c r="H222" s="18">
        <f>'AEO 2023 Table 49 Raw'!K206</f>
        <v>113.528122</v>
      </c>
      <c r="I222" s="18">
        <f>'AEO 2023 Table 49 Raw'!L206</f>
        <v>117.037094</v>
      </c>
      <c r="J222" s="18">
        <f>'AEO 2023 Table 49 Raw'!M206</f>
        <v>118.277817</v>
      </c>
      <c r="K222" s="18">
        <f>'AEO 2023 Table 49 Raw'!N206</f>
        <v>117.091599</v>
      </c>
      <c r="L222" s="18">
        <f>'AEO 2023 Table 49 Raw'!O206</f>
        <v>116.187546</v>
      </c>
      <c r="M222" s="18">
        <f>'AEO 2023 Table 49 Raw'!P206</f>
        <v>117.516312</v>
      </c>
      <c r="N222" s="18">
        <f>'AEO 2023 Table 49 Raw'!Q206</f>
        <v>118.468452</v>
      </c>
      <c r="O222" s="18">
        <f>'AEO 2023 Table 49 Raw'!R206</f>
        <v>116.97597500000001</v>
      </c>
      <c r="P222" s="18">
        <f>'AEO 2023 Table 49 Raw'!S206</f>
        <v>116.15428199999999</v>
      </c>
      <c r="Q222" s="18">
        <f>'AEO 2023 Table 49 Raw'!T206</f>
        <v>116.670227</v>
      </c>
      <c r="R222" s="18">
        <f>'AEO 2023 Table 49 Raw'!U206</f>
        <v>118.497925</v>
      </c>
      <c r="S222" s="18">
        <f>'AEO 2023 Table 49 Raw'!V206</f>
        <v>121.05987500000001</v>
      </c>
      <c r="T222" s="18">
        <f>'AEO 2023 Table 49 Raw'!W206</f>
        <v>123.670135</v>
      </c>
      <c r="U222" s="18">
        <f>'AEO 2023 Table 49 Raw'!X206</f>
        <v>125.33073400000001</v>
      </c>
      <c r="V222" s="18">
        <f>'AEO 2023 Table 49 Raw'!Y206</f>
        <v>125.99852799999999</v>
      </c>
      <c r="W222" s="18">
        <f>'AEO 2023 Table 49 Raw'!Z206</f>
        <v>126.588371</v>
      </c>
      <c r="X222" s="18">
        <f>'AEO 2023 Table 49 Raw'!AA206</f>
        <v>127.794685</v>
      </c>
      <c r="Y222" s="18">
        <f>'AEO 2023 Table 49 Raw'!AB206</f>
        <v>128.51411400000001</v>
      </c>
      <c r="Z222" s="18">
        <f>'AEO 2023 Table 49 Raw'!AC206</f>
        <v>127.958015</v>
      </c>
      <c r="AA222" s="18">
        <f>'AEO 2023 Table 49 Raw'!AD206</f>
        <v>127.589088</v>
      </c>
      <c r="AB222" s="18">
        <f>'AEO 2023 Table 49 Raw'!AE206</f>
        <v>127.828537</v>
      </c>
      <c r="AC222" s="18">
        <f>'AEO 2023 Table 49 Raw'!AF206</f>
        <v>128.70858799999999</v>
      </c>
      <c r="AD222" s="18">
        <f>'AEO 2023 Table 49 Raw'!AG206</f>
        <v>130.93695099999999</v>
      </c>
      <c r="AE222" s="18">
        <f>'AEO 2023 Table 49 Raw'!AH206</f>
        <v>132.92228700000001</v>
      </c>
      <c r="AF222" s="30">
        <f>'AEO 2023 Table 49 Raw'!AI206</f>
        <v>8.9999999999999993E-3</v>
      </c>
    </row>
    <row r="223" spans="1:32" ht="15" customHeight="1">
      <c r="A223" s="7" t="s">
        <v>935</v>
      </c>
      <c r="B223" s="16" t="s">
        <v>738</v>
      </c>
      <c r="C223" s="18">
        <f>'AEO 2023 Table 49 Raw'!F207</f>
        <v>65.718322999999998</v>
      </c>
      <c r="D223" s="18">
        <f>'AEO 2023 Table 49 Raw'!G207</f>
        <v>59.346218</v>
      </c>
      <c r="E223" s="18">
        <f>'AEO 2023 Table 49 Raw'!H207</f>
        <v>58.616394</v>
      </c>
      <c r="F223" s="18">
        <f>'AEO 2023 Table 49 Raw'!I207</f>
        <v>63.438938</v>
      </c>
      <c r="G223" s="18">
        <f>'AEO 2023 Table 49 Raw'!J207</f>
        <v>67.937827999999996</v>
      </c>
      <c r="H223" s="18">
        <f>'AEO 2023 Table 49 Raw'!K207</f>
        <v>70.617630000000005</v>
      </c>
      <c r="I223" s="18">
        <f>'AEO 2023 Table 49 Raw'!L207</f>
        <v>72.558753999999993</v>
      </c>
      <c r="J223" s="18">
        <f>'AEO 2023 Table 49 Raw'!M207</f>
        <v>73.104111000000003</v>
      </c>
      <c r="K223" s="18">
        <f>'AEO 2023 Table 49 Raw'!N207</f>
        <v>72.167632999999995</v>
      </c>
      <c r="L223" s="18">
        <f>'AEO 2023 Table 49 Raw'!O207</f>
        <v>71.425362000000007</v>
      </c>
      <c r="M223" s="18">
        <f>'AEO 2023 Table 49 Raw'!P207</f>
        <v>72.070419000000001</v>
      </c>
      <c r="N223" s="18">
        <f>'AEO 2023 Table 49 Raw'!Q207</f>
        <v>72.495384000000001</v>
      </c>
      <c r="O223" s="18">
        <f>'AEO 2023 Table 49 Raw'!R207</f>
        <v>71.437973</v>
      </c>
      <c r="P223" s="18">
        <f>'AEO 2023 Table 49 Raw'!S207</f>
        <v>70.804771000000002</v>
      </c>
      <c r="Q223" s="18">
        <f>'AEO 2023 Table 49 Raw'!T207</f>
        <v>70.998146000000006</v>
      </c>
      <c r="R223" s="18">
        <f>'AEO 2023 Table 49 Raw'!U207</f>
        <v>71.997405999999998</v>
      </c>
      <c r="S223" s="18">
        <f>'AEO 2023 Table 49 Raw'!V207</f>
        <v>73.448020999999997</v>
      </c>
      <c r="T223" s="18">
        <f>'AEO 2023 Table 49 Raw'!W207</f>
        <v>74.932304000000002</v>
      </c>
      <c r="U223" s="18">
        <f>'AEO 2023 Table 49 Raw'!X207</f>
        <v>75.845984999999999</v>
      </c>
      <c r="V223" s="18">
        <f>'AEO 2023 Table 49 Raw'!Y207</f>
        <v>76.164756999999994</v>
      </c>
      <c r="W223" s="18">
        <f>'AEO 2023 Table 49 Raw'!Z207</f>
        <v>76.442573999999993</v>
      </c>
      <c r="X223" s="18">
        <f>'AEO 2023 Table 49 Raw'!AA207</f>
        <v>77.097999999999999</v>
      </c>
      <c r="Y223" s="18">
        <f>'AEO 2023 Table 49 Raw'!AB207</f>
        <v>77.464584000000002</v>
      </c>
      <c r="Z223" s="18">
        <f>'AEO 2023 Table 49 Raw'!AC207</f>
        <v>77.067642000000006</v>
      </c>
      <c r="AA223" s="18">
        <f>'AEO 2023 Table 49 Raw'!AD207</f>
        <v>76.788810999999995</v>
      </c>
      <c r="AB223" s="18">
        <f>'AEO 2023 Table 49 Raw'!AE207</f>
        <v>76.880707000000001</v>
      </c>
      <c r="AC223" s="18">
        <f>'AEO 2023 Table 49 Raw'!AF207</f>
        <v>77.361571999999995</v>
      </c>
      <c r="AD223" s="18">
        <f>'AEO 2023 Table 49 Raw'!AG207</f>
        <v>78.655547999999996</v>
      </c>
      <c r="AE223" s="18">
        <f>'AEO 2023 Table 49 Raw'!AH207</f>
        <v>79.805649000000003</v>
      </c>
      <c r="AF223" s="30">
        <f>'AEO 2023 Table 49 Raw'!AI207</f>
        <v>7.0000000000000001E-3</v>
      </c>
    </row>
    <row r="224" spans="1:32" ht="15" customHeight="1">
      <c r="A224" s="7" t="s">
        <v>936</v>
      </c>
      <c r="B224" s="16" t="s">
        <v>382</v>
      </c>
      <c r="C224" s="18">
        <f>'AEO 2023 Table 49 Raw'!F208</f>
        <v>0.18179799999999999</v>
      </c>
      <c r="D224" s="18">
        <f>'AEO 2023 Table 49 Raw'!G208</f>
        <v>0.16347100000000001</v>
      </c>
      <c r="E224" s="18">
        <f>'AEO 2023 Table 49 Raw'!H208</f>
        <v>0.16278300000000001</v>
      </c>
      <c r="F224" s="18">
        <f>'AEO 2023 Table 49 Raw'!I208</f>
        <v>0.174286</v>
      </c>
      <c r="G224" s="18">
        <f>'AEO 2023 Table 49 Raw'!J208</f>
        <v>0.189836</v>
      </c>
      <c r="H224" s="18">
        <f>'AEO 2023 Table 49 Raw'!K208</f>
        <v>0.20184299999999999</v>
      </c>
      <c r="I224" s="18">
        <f>'AEO 2023 Table 49 Raw'!L208</f>
        <v>0.213171</v>
      </c>
      <c r="J224" s="18">
        <f>'AEO 2023 Table 49 Raw'!M208</f>
        <v>0.22183700000000001</v>
      </c>
      <c r="K224" s="18">
        <f>'AEO 2023 Table 49 Raw'!N208</f>
        <v>0.228135</v>
      </c>
      <c r="L224" s="18">
        <f>'AEO 2023 Table 49 Raw'!O208</f>
        <v>0.237845</v>
      </c>
      <c r="M224" s="18">
        <f>'AEO 2023 Table 49 Raw'!P208</f>
        <v>0.25361699999999998</v>
      </c>
      <c r="N224" s="18">
        <f>'AEO 2023 Table 49 Raw'!Q208</f>
        <v>0.27221000000000001</v>
      </c>
      <c r="O224" s="18">
        <f>'AEO 2023 Table 49 Raw'!R208</f>
        <v>0.28478100000000001</v>
      </c>
      <c r="P224" s="18">
        <f>'AEO 2023 Table 49 Raw'!S208</f>
        <v>0.29964800000000003</v>
      </c>
      <c r="Q224" s="18">
        <f>'AEO 2023 Table 49 Raw'!T208</f>
        <v>0.32134000000000001</v>
      </c>
      <c r="R224" s="18">
        <f>'AEO 2023 Table 49 Raw'!U208</f>
        <v>0.35065000000000002</v>
      </c>
      <c r="S224" s="18">
        <f>'AEO 2023 Table 49 Raw'!V208</f>
        <v>0.38563799999999998</v>
      </c>
      <c r="T224" s="18">
        <f>'AEO 2023 Table 49 Raw'!W208</f>
        <v>0.42357</v>
      </c>
      <c r="U224" s="18">
        <f>'AEO 2023 Table 49 Raw'!X208</f>
        <v>0.45776099999999997</v>
      </c>
      <c r="V224" s="18">
        <f>'AEO 2023 Table 49 Raw'!Y208</f>
        <v>0.48791299999999999</v>
      </c>
      <c r="W224" s="18">
        <f>'AEO 2023 Table 49 Raw'!Z208</f>
        <v>0.516787</v>
      </c>
      <c r="X224" s="18">
        <f>'AEO 2023 Table 49 Raw'!AA208</f>
        <v>0.54991900000000005</v>
      </c>
      <c r="Y224" s="18">
        <f>'AEO 2023 Table 49 Raw'!AB208</f>
        <v>0.58043400000000001</v>
      </c>
      <c r="Z224" s="18">
        <f>'AEO 2023 Table 49 Raw'!AC208</f>
        <v>0.60335499999999997</v>
      </c>
      <c r="AA224" s="18">
        <f>'AEO 2023 Table 49 Raw'!AD208</f>
        <v>0.62334299999999998</v>
      </c>
      <c r="AB224" s="18">
        <f>'AEO 2023 Table 49 Raw'!AE208</f>
        <v>0.64342900000000003</v>
      </c>
      <c r="AC224" s="18">
        <f>'AEO 2023 Table 49 Raw'!AF208</f>
        <v>0.66342000000000001</v>
      </c>
      <c r="AD224" s="18">
        <f>'AEO 2023 Table 49 Raw'!AG208</f>
        <v>0.68860600000000005</v>
      </c>
      <c r="AE224" s="18">
        <f>'AEO 2023 Table 49 Raw'!AH208</f>
        <v>0.71112500000000001</v>
      </c>
      <c r="AF224" s="30">
        <f>'AEO 2023 Table 49 Raw'!AI208</f>
        <v>0.05</v>
      </c>
    </row>
    <row r="225" spans="1:32" ht="15" customHeight="1">
      <c r="A225" s="7" t="s">
        <v>937</v>
      </c>
      <c r="B225" s="16" t="s">
        <v>741</v>
      </c>
      <c r="C225" s="18">
        <f>'AEO 2023 Table 49 Raw'!F209</f>
        <v>8.4726999999999997E-2</v>
      </c>
      <c r="D225" s="18">
        <f>'AEO 2023 Table 49 Raw'!G209</f>
        <v>6.7200999999999997E-2</v>
      </c>
      <c r="E225" s="18">
        <f>'AEO 2023 Table 49 Raw'!H209</f>
        <v>5.8499000000000002E-2</v>
      </c>
      <c r="F225" s="18">
        <f>'AEO 2023 Table 49 Raw'!I209</f>
        <v>5.5223000000000001E-2</v>
      </c>
      <c r="G225" s="18">
        <f>'AEO 2023 Table 49 Raw'!J209</f>
        <v>5.1539000000000001E-2</v>
      </c>
      <c r="H225" s="18">
        <f>'AEO 2023 Table 49 Raw'!K209</f>
        <v>4.6612000000000001E-2</v>
      </c>
      <c r="I225" s="18">
        <f>'AEO 2023 Table 49 Raw'!L209</f>
        <v>4.1568000000000001E-2</v>
      </c>
      <c r="J225" s="18">
        <f>'AEO 2023 Table 49 Raw'!M209</f>
        <v>3.6276999999999997E-2</v>
      </c>
      <c r="K225" s="18">
        <f>'AEO 2023 Table 49 Raw'!N209</f>
        <v>3.0949999999999998E-2</v>
      </c>
      <c r="L225" s="18">
        <f>'AEO 2023 Table 49 Raw'!O209</f>
        <v>2.6404E-2</v>
      </c>
      <c r="M225" s="18">
        <f>'AEO 2023 Table 49 Raw'!P209</f>
        <v>2.2890000000000001E-2</v>
      </c>
      <c r="N225" s="18">
        <f>'AEO 2023 Table 49 Raw'!Q209</f>
        <v>1.9713999999999999E-2</v>
      </c>
      <c r="O225" s="18">
        <f>'AEO 2023 Table 49 Raw'!R209</f>
        <v>1.6565E-2</v>
      </c>
      <c r="P225" s="18">
        <f>'AEO 2023 Table 49 Raw'!S209</f>
        <v>1.3952000000000001E-2</v>
      </c>
      <c r="Q225" s="18">
        <f>'AEO 2023 Table 49 Raw'!T209</f>
        <v>1.1849E-2</v>
      </c>
      <c r="R225" s="18">
        <f>'AEO 2023 Table 49 Raw'!U209</f>
        <v>1.0146000000000001E-2</v>
      </c>
      <c r="S225" s="18">
        <f>'AEO 2023 Table 49 Raw'!V209</f>
        <v>8.7139999999999995E-3</v>
      </c>
      <c r="T225" s="18">
        <f>'AEO 2023 Table 49 Raw'!W209</f>
        <v>7.4660000000000004E-3</v>
      </c>
      <c r="U225" s="18">
        <f>'AEO 2023 Table 49 Raw'!X209</f>
        <v>6.3299999999999997E-3</v>
      </c>
      <c r="V225" s="18">
        <f>'AEO 2023 Table 49 Raw'!Y209</f>
        <v>5.3119999999999999E-3</v>
      </c>
      <c r="W225" s="18">
        <f>'AEO 2023 Table 49 Raw'!Z209</f>
        <v>4.444E-3</v>
      </c>
      <c r="X225" s="18">
        <f>'AEO 2023 Table 49 Raw'!AA209</f>
        <v>3.7299999999999998E-3</v>
      </c>
      <c r="Y225" s="18">
        <f>'AEO 2023 Table 49 Raw'!AB209</f>
        <v>3.114E-3</v>
      </c>
      <c r="Z225" s="18">
        <f>'AEO 2023 Table 49 Raw'!AC209</f>
        <v>2.5709999999999999E-3</v>
      </c>
      <c r="AA225" s="18">
        <f>'AEO 2023 Table 49 Raw'!AD209</f>
        <v>2.1220000000000002E-3</v>
      </c>
      <c r="AB225" s="18">
        <f>'AEO 2023 Table 49 Raw'!AE209</f>
        <v>1.758E-3</v>
      </c>
      <c r="AC225" s="18">
        <f>'AEO 2023 Table 49 Raw'!AF209</f>
        <v>1.462E-3</v>
      </c>
      <c r="AD225" s="18">
        <f>'AEO 2023 Table 49 Raw'!AG209</f>
        <v>1.227E-3</v>
      </c>
      <c r="AE225" s="18">
        <f>'AEO 2023 Table 49 Raw'!AH209</f>
        <v>1.0280000000000001E-3</v>
      </c>
      <c r="AF225" s="30">
        <f>'AEO 2023 Table 49 Raw'!AI209</f>
        <v>-0.14599999999999999</v>
      </c>
    </row>
    <row r="226" spans="1:32" ht="15" customHeight="1">
      <c r="A226" s="7" t="s">
        <v>938</v>
      </c>
      <c r="B226" s="16" t="s">
        <v>743</v>
      </c>
      <c r="C226" s="18">
        <f>'AEO 2023 Table 49 Raw'!F210</f>
        <v>3.2730670000000002</v>
      </c>
      <c r="D226" s="18">
        <f>'AEO 2023 Table 49 Raw'!G210</f>
        <v>3.322184</v>
      </c>
      <c r="E226" s="18">
        <f>'AEO 2023 Table 49 Raw'!H210</f>
        <v>3.5807000000000002</v>
      </c>
      <c r="F226" s="18">
        <f>'AEO 2023 Table 49 Raw'!I210</f>
        <v>4.0857429999999999</v>
      </c>
      <c r="G226" s="18">
        <f>'AEO 2023 Table 49 Raw'!J210</f>
        <v>4.6985200000000003</v>
      </c>
      <c r="H226" s="18">
        <f>'AEO 2023 Table 49 Raw'!K210</f>
        <v>5.3569370000000003</v>
      </c>
      <c r="I226" s="18">
        <f>'AEO 2023 Table 49 Raw'!L210</f>
        <v>5.8913250000000001</v>
      </c>
      <c r="J226" s="18">
        <f>'AEO 2023 Table 49 Raw'!M210</f>
        <v>6.3785939999999997</v>
      </c>
      <c r="K226" s="18">
        <f>'AEO 2023 Table 49 Raw'!N210</f>
        <v>6.8041530000000003</v>
      </c>
      <c r="L226" s="18">
        <f>'AEO 2023 Table 49 Raw'!O210</f>
        <v>7.3675160000000002</v>
      </c>
      <c r="M226" s="18">
        <f>'AEO 2023 Table 49 Raw'!P210</f>
        <v>8.1123370000000001</v>
      </c>
      <c r="N226" s="18">
        <f>'AEO 2023 Table 49 Raw'!Q210</f>
        <v>8.926221</v>
      </c>
      <c r="O226" s="18">
        <f>'AEO 2023 Table 49 Raw'!R210</f>
        <v>9.4645550000000007</v>
      </c>
      <c r="P226" s="18">
        <f>'AEO 2023 Table 49 Raw'!S210</f>
        <v>10.002560000000001</v>
      </c>
      <c r="Q226" s="18">
        <f>'AEO 2023 Table 49 Raw'!T210</f>
        <v>10.573024</v>
      </c>
      <c r="R226" s="18">
        <f>'AEO 2023 Table 49 Raw'!U210</f>
        <v>11.235374999999999</v>
      </c>
      <c r="S226" s="18">
        <f>'AEO 2023 Table 49 Raw'!V210</f>
        <v>11.893890000000001</v>
      </c>
      <c r="T226" s="18">
        <f>'AEO 2023 Table 49 Raw'!W210</f>
        <v>12.544364</v>
      </c>
      <c r="U226" s="18">
        <f>'AEO 2023 Table 49 Raw'!X210</f>
        <v>13.095907</v>
      </c>
      <c r="V226" s="18">
        <f>'AEO 2023 Table 49 Raw'!Y210</f>
        <v>13.520489</v>
      </c>
      <c r="W226" s="18">
        <f>'AEO 2023 Table 49 Raw'!Z210</f>
        <v>13.811425</v>
      </c>
      <c r="X226" s="18">
        <f>'AEO 2023 Table 49 Raw'!AA210</f>
        <v>14.108290999999999</v>
      </c>
      <c r="Y226" s="18">
        <f>'AEO 2023 Table 49 Raw'!AB210</f>
        <v>14.325763</v>
      </c>
      <c r="Z226" s="18">
        <f>'AEO 2023 Table 49 Raw'!AC210</f>
        <v>14.435430999999999</v>
      </c>
      <c r="AA226" s="18">
        <f>'AEO 2023 Table 49 Raw'!AD210</f>
        <v>14.519729</v>
      </c>
      <c r="AB226" s="18">
        <f>'AEO 2023 Table 49 Raw'!AE210</f>
        <v>14.613554000000001</v>
      </c>
      <c r="AC226" s="18">
        <f>'AEO 2023 Table 49 Raw'!AF210</f>
        <v>14.750197999999999</v>
      </c>
      <c r="AD226" s="18">
        <f>'AEO 2023 Table 49 Raw'!AG210</f>
        <v>15.035280999999999</v>
      </c>
      <c r="AE226" s="18">
        <f>'AEO 2023 Table 49 Raw'!AH210</f>
        <v>15.262869</v>
      </c>
      <c r="AF226" s="30">
        <f>'AEO 2023 Table 49 Raw'!AI210</f>
        <v>5.7000000000000002E-2</v>
      </c>
    </row>
    <row r="227" spans="1:32" ht="15" customHeight="1">
      <c r="A227" s="7" t="s">
        <v>939</v>
      </c>
      <c r="B227" s="16" t="s">
        <v>745</v>
      </c>
      <c r="C227" s="18">
        <f>'AEO 2023 Table 49 Raw'!F211</f>
        <v>6.2216E-2</v>
      </c>
      <c r="D227" s="18">
        <f>'AEO 2023 Table 49 Raw'!G211</f>
        <v>4.9613999999999998E-2</v>
      </c>
      <c r="E227" s="18">
        <f>'AEO 2023 Table 49 Raw'!H211</f>
        <v>4.317E-2</v>
      </c>
      <c r="F227" s="18">
        <f>'AEO 2023 Table 49 Raw'!I211</f>
        <v>4.0901E-2</v>
      </c>
      <c r="G227" s="18">
        <f>'AEO 2023 Table 49 Raw'!J211</f>
        <v>3.8318999999999999E-2</v>
      </c>
      <c r="H227" s="18">
        <f>'AEO 2023 Table 49 Raw'!K211</f>
        <v>3.4785999999999997E-2</v>
      </c>
      <c r="I227" s="18">
        <f>'AEO 2023 Table 49 Raw'!L211</f>
        <v>3.1146E-2</v>
      </c>
      <c r="J227" s="18">
        <f>'AEO 2023 Table 49 Raw'!M211</f>
        <v>2.7297999999999999E-2</v>
      </c>
      <c r="K227" s="18">
        <f>'AEO 2023 Table 49 Raw'!N211</f>
        <v>2.3394999999999999E-2</v>
      </c>
      <c r="L227" s="18">
        <f>'AEO 2023 Table 49 Raw'!O211</f>
        <v>2.0049999999999998E-2</v>
      </c>
      <c r="M227" s="18">
        <f>'AEO 2023 Table 49 Raw'!P211</f>
        <v>1.7461000000000001E-2</v>
      </c>
      <c r="N227" s="18">
        <f>'AEO 2023 Table 49 Raw'!Q211</f>
        <v>1.5108E-2</v>
      </c>
      <c r="O227" s="18">
        <f>'AEO 2023 Table 49 Raw'!R211</f>
        <v>1.2755000000000001E-2</v>
      </c>
      <c r="P227" s="18">
        <f>'AEO 2023 Table 49 Raw'!S211</f>
        <v>1.0794E-2</v>
      </c>
      <c r="Q227" s="18">
        <f>'AEO 2023 Table 49 Raw'!T211</f>
        <v>9.2110000000000004E-3</v>
      </c>
      <c r="R227" s="18">
        <f>'AEO 2023 Table 49 Raw'!U211</f>
        <v>7.9249999999999998E-3</v>
      </c>
      <c r="S227" s="18">
        <f>'AEO 2023 Table 49 Raw'!V211</f>
        <v>6.8380000000000003E-3</v>
      </c>
      <c r="T227" s="18">
        <f>'AEO 2023 Table 49 Raw'!W211</f>
        <v>5.8849999999999996E-3</v>
      </c>
      <c r="U227" s="18">
        <f>'AEO 2023 Table 49 Raw'!X211</f>
        <v>5.0130000000000001E-3</v>
      </c>
      <c r="V227" s="18">
        <f>'AEO 2023 Table 49 Raw'!Y211</f>
        <v>4.2259999999999997E-3</v>
      </c>
      <c r="W227" s="18">
        <f>'AEO 2023 Table 49 Raw'!Z211</f>
        <v>3.552E-3</v>
      </c>
      <c r="X227" s="18">
        <f>'AEO 2023 Table 49 Raw'!AA211</f>
        <v>2.9949999999999998E-3</v>
      </c>
      <c r="Y227" s="18">
        <f>'AEO 2023 Table 49 Raw'!AB211</f>
        <v>2.5119999999999999E-3</v>
      </c>
      <c r="Z227" s="18">
        <f>'AEO 2023 Table 49 Raw'!AC211</f>
        <v>2.0839999999999999E-3</v>
      </c>
      <c r="AA227" s="18">
        <f>'AEO 2023 Table 49 Raw'!AD211</f>
        <v>1.7279999999999999E-3</v>
      </c>
      <c r="AB227" s="18">
        <f>'AEO 2023 Table 49 Raw'!AE211</f>
        <v>1.438E-3</v>
      </c>
      <c r="AC227" s="18">
        <f>'AEO 2023 Table 49 Raw'!AF211</f>
        <v>1.2019999999999999E-3</v>
      </c>
      <c r="AD227" s="18">
        <f>'AEO 2023 Table 49 Raw'!AG211</f>
        <v>1.0139999999999999E-3</v>
      </c>
      <c r="AE227" s="18">
        <f>'AEO 2023 Table 49 Raw'!AH211</f>
        <v>8.5300000000000003E-4</v>
      </c>
      <c r="AF227" s="30">
        <f>'AEO 2023 Table 49 Raw'!AI211</f>
        <v>-0.14199999999999999</v>
      </c>
    </row>
    <row r="228" spans="1:32" ht="15" customHeight="1">
      <c r="A228" s="7" t="s">
        <v>940</v>
      </c>
      <c r="B228" s="16" t="s">
        <v>747</v>
      </c>
      <c r="C228" s="18">
        <f>'AEO 2023 Table 49 Raw'!F212</f>
        <v>0</v>
      </c>
      <c r="D228" s="18">
        <f>'AEO 2023 Table 49 Raw'!G212</f>
        <v>0</v>
      </c>
      <c r="E228" s="18">
        <f>'AEO 2023 Table 49 Raw'!H212</f>
        <v>0.186029</v>
      </c>
      <c r="F228" s="18">
        <f>'AEO 2023 Table 49 Raw'!I212</f>
        <v>0.20210900000000001</v>
      </c>
      <c r="G228" s="18">
        <f>'AEO 2023 Table 49 Raw'!J212</f>
        <v>0.21531700000000001</v>
      </c>
      <c r="H228" s="18">
        <f>'AEO 2023 Table 49 Raw'!K212</f>
        <v>0.22434699999999999</v>
      </c>
      <c r="I228" s="18">
        <f>'AEO 2023 Table 49 Raw'!L212</f>
        <v>0.23363300000000001</v>
      </c>
      <c r="J228" s="18">
        <f>'AEO 2023 Table 49 Raw'!M212</f>
        <v>0.23822599999999999</v>
      </c>
      <c r="K228" s="18">
        <f>'AEO 2023 Table 49 Raw'!N212</f>
        <v>0.23896600000000001</v>
      </c>
      <c r="L228" s="18">
        <f>'AEO 2023 Table 49 Raw'!O212</f>
        <v>0.241788</v>
      </c>
      <c r="M228" s="18">
        <f>'AEO 2023 Table 49 Raw'!P212</f>
        <v>0.25212600000000002</v>
      </c>
      <c r="N228" s="18">
        <f>'AEO 2023 Table 49 Raw'!Q212</f>
        <v>0.26472200000000001</v>
      </c>
      <c r="O228" s="18">
        <f>'AEO 2023 Table 49 Raw'!R212</f>
        <v>0.27237600000000001</v>
      </c>
      <c r="P228" s="18">
        <f>'AEO 2023 Table 49 Raw'!S212</f>
        <v>0.281142</v>
      </c>
      <c r="Q228" s="18">
        <f>'AEO 2023 Table 49 Raw'!T212</f>
        <v>0.29588999999999999</v>
      </c>
      <c r="R228" s="18">
        <f>'AEO 2023 Table 49 Raw'!U212</f>
        <v>0.315577</v>
      </c>
      <c r="S228" s="18">
        <f>'AEO 2023 Table 49 Raw'!V212</f>
        <v>0.33903899999999998</v>
      </c>
      <c r="T228" s="18">
        <f>'AEO 2023 Table 49 Raw'!W212</f>
        <v>0.36582399999999998</v>
      </c>
      <c r="U228" s="18">
        <f>'AEO 2023 Table 49 Raw'!X212</f>
        <v>0.39288899999999999</v>
      </c>
      <c r="V228" s="18">
        <f>'AEO 2023 Table 49 Raw'!Y212</f>
        <v>0.41955199999999998</v>
      </c>
      <c r="W228" s="18">
        <f>'AEO 2023 Table 49 Raw'!Z212</f>
        <v>0.44816699999999998</v>
      </c>
      <c r="X228" s="18">
        <f>'AEO 2023 Table 49 Raw'!AA212</f>
        <v>0.48085</v>
      </c>
      <c r="Y228" s="18">
        <f>'AEO 2023 Table 49 Raw'!AB212</f>
        <v>0.51291900000000001</v>
      </c>
      <c r="Z228" s="18">
        <f>'AEO 2023 Table 49 Raw'!AC212</f>
        <v>0.53992600000000002</v>
      </c>
      <c r="AA228" s="18">
        <f>'AEO 2023 Table 49 Raw'!AD212</f>
        <v>0.56671400000000005</v>
      </c>
      <c r="AB228" s="18">
        <f>'AEO 2023 Table 49 Raw'!AE212</f>
        <v>0.59474800000000005</v>
      </c>
      <c r="AC228" s="18">
        <f>'AEO 2023 Table 49 Raw'!AF212</f>
        <v>0.62408300000000005</v>
      </c>
      <c r="AD228" s="18">
        <f>'AEO 2023 Table 49 Raw'!AG212</f>
        <v>0.65509099999999998</v>
      </c>
      <c r="AE228" s="18">
        <f>'AEO 2023 Table 49 Raw'!AH212</f>
        <v>0.68619200000000002</v>
      </c>
      <c r="AF228" s="30" t="str">
        <f>'AEO 2023 Table 49 Raw'!AI212</f>
        <v>- -</v>
      </c>
    </row>
    <row r="229" spans="1:32" ht="15" customHeight="1">
      <c r="A229" s="7" t="s">
        <v>941</v>
      </c>
      <c r="B229" s="16" t="s">
        <v>749</v>
      </c>
      <c r="C229" s="18">
        <f>'AEO 2023 Table 49 Raw'!F213</f>
        <v>0</v>
      </c>
      <c r="D229" s="18">
        <f>'AEO 2023 Table 49 Raw'!G213</f>
        <v>0</v>
      </c>
      <c r="E229" s="18">
        <f>'AEO 2023 Table 49 Raw'!H213</f>
        <v>0.18621099999999999</v>
      </c>
      <c r="F229" s="18">
        <f>'AEO 2023 Table 49 Raw'!I213</f>
        <v>0.195795</v>
      </c>
      <c r="G229" s="18">
        <f>'AEO 2023 Table 49 Raw'!J213</f>
        <v>0.20369699999999999</v>
      </c>
      <c r="H229" s="18">
        <f>'AEO 2023 Table 49 Raw'!K213</f>
        <v>0.209484</v>
      </c>
      <c r="I229" s="18">
        <f>'AEO 2023 Table 49 Raw'!L213</f>
        <v>0.21459</v>
      </c>
      <c r="J229" s="18">
        <f>'AEO 2023 Table 49 Raw'!M213</f>
        <v>0.21629100000000001</v>
      </c>
      <c r="K229" s="18">
        <f>'AEO 2023 Table 49 Raw'!N213</f>
        <v>0.217471</v>
      </c>
      <c r="L229" s="18">
        <f>'AEO 2023 Table 49 Raw'!O213</f>
        <v>0.223722</v>
      </c>
      <c r="M229" s="18">
        <f>'AEO 2023 Table 49 Raw'!P213</f>
        <v>0.23843</v>
      </c>
      <c r="N229" s="18">
        <f>'AEO 2023 Table 49 Raw'!Q213</f>
        <v>0.25765100000000002</v>
      </c>
      <c r="O229" s="18">
        <f>'AEO 2023 Table 49 Raw'!R213</f>
        <v>0.27265299999999998</v>
      </c>
      <c r="P229" s="18">
        <f>'AEO 2023 Table 49 Raw'!S213</f>
        <v>0.288495</v>
      </c>
      <c r="Q229" s="18">
        <f>'AEO 2023 Table 49 Raw'!T213</f>
        <v>0.31278600000000001</v>
      </c>
      <c r="R229" s="18">
        <f>'AEO 2023 Table 49 Raw'!U213</f>
        <v>0.34418399999999999</v>
      </c>
      <c r="S229" s="18">
        <f>'AEO 2023 Table 49 Raw'!V213</f>
        <v>0.38087900000000002</v>
      </c>
      <c r="T229" s="18">
        <f>'AEO 2023 Table 49 Raw'!W213</f>
        <v>0.42353299999999999</v>
      </c>
      <c r="U229" s="18">
        <f>'AEO 2023 Table 49 Raw'!X213</f>
        <v>0.46896199999999999</v>
      </c>
      <c r="V229" s="18">
        <f>'AEO 2023 Table 49 Raw'!Y213</f>
        <v>0.51583699999999999</v>
      </c>
      <c r="W229" s="18">
        <f>'AEO 2023 Table 49 Raw'!Z213</f>
        <v>0.56491999999999998</v>
      </c>
      <c r="X229" s="18">
        <f>'AEO 2023 Table 49 Raw'!AA213</f>
        <v>0.61953899999999995</v>
      </c>
      <c r="Y229" s="18">
        <f>'AEO 2023 Table 49 Raw'!AB213</f>
        <v>0.67395400000000005</v>
      </c>
      <c r="Z229" s="18">
        <f>'AEO 2023 Table 49 Raw'!AC213</f>
        <v>0.72306800000000004</v>
      </c>
      <c r="AA229" s="18">
        <f>'AEO 2023 Table 49 Raw'!AD213</f>
        <v>0.77104200000000001</v>
      </c>
      <c r="AB229" s="18">
        <f>'AEO 2023 Table 49 Raw'!AE213</f>
        <v>0.81916699999999998</v>
      </c>
      <c r="AC229" s="18">
        <f>'AEO 2023 Table 49 Raw'!AF213</f>
        <v>0.86801700000000004</v>
      </c>
      <c r="AD229" s="18">
        <f>'AEO 2023 Table 49 Raw'!AG213</f>
        <v>0.92293199999999997</v>
      </c>
      <c r="AE229" s="18">
        <f>'AEO 2023 Table 49 Raw'!AH213</f>
        <v>0.97226900000000005</v>
      </c>
      <c r="AF229" s="30" t="str">
        <f>'AEO 2023 Table 49 Raw'!AI213</f>
        <v>- -</v>
      </c>
    </row>
    <row r="230" spans="1:32" ht="15" customHeight="1">
      <c r="A230" s="7" t="s">
        <v>942</v>
      </c>
      <c r="B230" s="16" t="s">
        <v>751</v>
      </c>
      <c r="C230" s="18">
        <f>'AEO 2023 Table 49 Raw'!F214</f>
        <v>0</v>
      </c>
      <c r="D230" s="18">
        <f>'AEO 2023 Table 49 Raw'!G214</f>
        <v>0</v>
      </c>
      <c r="E230" s="18">
        <f>'AEO 2023 Table 49 Raw'!H214</f>
        <v>0.311087</v>
      </c>
      <c r="F230" s="18">
        <f>'AEO 2023 Table 49 Raw'!I214</f>
        <v>0.33967399999999998</v>
      </c>
      <c r="G230" s="18">
        <f>'AEO 2023 Table 49 Raw'!J214</f>
        <v>0.36747600000000002</v>
      </c>
      <c r="H230" s="18">
        <f>'AEO 2023 Table 49 Raw'!K214</f>
        <v>0.38651099999999999</v>
      </c>
      <c r="I230" s="18">
        <f>'AEO 2023 Table 49 Raw'!L214</f>
        <v>0.40268799999999999</v>
      </c>
      <c r="J230" s="18">
        <f>'AEO 2023 Table 49 Raw'!M214</f>
        <v>0.41243400000000002</v>
      </c>
      <c r="K230" s="18">
        <f>'AEO 2023 Table 49 Raw'!N214</f>
        <v>0.41516599999999998</v>
      </c>
      <c r="L230" s="18">
        <f>'AEO 2023 Table 49 Raw'!O214</f>
        <v>0.420512</v>
      </c>
      <c r="M230" s="18">
        <f>'AEO 2023 Table 49 Raw'!P214</f>
        <v>0.436081</v>
      </c>
      <c r="N230" s="18">
        <f>'AEO 2023 Table 49 Raw'!Q214</f>
        <v>0.45299800000000001</v>
      </c>
      <c r="O230" s="18">
        <f>'AEO 2023 Table 49 Raw'!R214</f>
        <v>0.46345399999999998</v>
      </c>
      <c r="P230" s="18">
        <f>'AEO 2023 Table 49 Raw'!S214</f>
        <v>0.47964099999999998</v>
      </c>
      <c r="Q230" s="18">
        <f>'AEO 2023 Table 49 Raw'!T214</f>
        <v>0.50517800000000002</v>
      </c>
      <c r="R230" s="18">
        <f>'AEO 2023 Table 49 Raw'!U214</f>
        <v>0.54123500000000002</v>
      </c>
      <c r="S230" s="18">
        <f>'AEO 2023 Table 49 Raw'!V214</f>
        <v>0.58649099999999998</v>
      </c>
      <c r="T230" s="18">
        <f>'AEO 2023 Table 49 Raw'!W214</f>
        <v>0.63849699999999998</v>
      </c>
      <c r="U230" s="18">
        <f>'AEO 2023 Table 49 Raw'!X214</f>
        <v>0.69203199999999998</v>
      </c>
      <c r="V230" s="18">
        <f>'AEO 2023 Table 49 Raw'!Y214</f>
        <v>0.74562499999999998</v>
      </c>
      <c r="W230" s="18">
        <f>'AEO 2023 Table 49 Raw'!Z214</f>
        <v>0.80322899999999997</v>
      </c>
      <c r="X230" s="18">
        <f>'AEO 2023 Table 49 Raw'!AA214</f>
        <v>0.86841699999999999</v>
      </c>
      <c r="Y230" s="18">
        <f>'AEO 2023 Table 49 Raw'!AB214</f>
        <v>0.93269400000000002</v>
      </c>
      <c r="Z230" s="18">
        <f>'AEO 2023 Table 49 Raw'!AC214</f>
        <v>0.98777300000000001</v>
      </c>
      <c r="AA230" s="18">
        <f>'AEO 2023 Table 49 Raw'!AD214</f>
        <v>1.042319</v>
      </c>
      <c r="AB230" s="18">
        <f>'AEO 2023 Table 49 Raw'!AE214</f>
        <v>1.0988450000000001</v>
      </c>
      <c r="AC230" s="18">
        <f>'AEO 2023 Table 49 Raw'!AF214</f>
        <v>1.1572979999999999</v>
      </c>
      <c r="AD230" s="18">
        <f>'AEO 2023 Table 49 Raw'!AG214</f>
        <v>1.224207</v>
      </c>
      <c r="AE230" s="18">
        <f>'AEO 2023 Table 49 Raw'!AH214</f>
        <v>1.2849740000000001</v>
      </c>
      <c r="AF230" s="30" t="str">
        <f>'AEO 2023 Table 49 Raw'!AI214</f>
        <v>- -</v>
      </c>
    </row>
    <row r="231" spans="1:32" ht="15" customHeight="1">
      <c r="A231" s="7" t="s">
        <v>943</v>
      </c>
      <c r="B231" s="16" t="s">
        <v>765</v>
      </c>
      <c r="C231" s="18">
        <f>'AEO 2023 Table 49 Raw'!F215</f>
        <v>172.72479200000001</v>
      </c>
      <c r="D231" s="18">
        <f>'AEO 2023 Table 49 Raw'!G215</f>
        <v>156.799713</v>
      </c>
      <c r="E231" s="18">
        <f>'AEO 2023 Table 49 Raw'!H215</f>
        <v>156.272797</v>
      </c>
      <c r="F231" s="18">
        <f>'AEO 2023 Table 49 Raw'!I215</f>
        <v>169.75384500000001</v>
      </c>
      <c r="G231" s="18">
        <f>'AEO 2023 Table 49 Raw'!J215</f>
        <v>182.52856399999999</v>
      </c>
      <c r="H231" s="18">
        <f>'AEO 2023 Table 49 Raw'!K215</f>
        <v>190.606247</v>
      </c>
      <c r="I231" s="18">
        <f>'AEO 2023 Table 49 Raw'!L215</f>
        <v>196.62394699999999</v>
      </c>
      <c r="J231" s="18">
        <f>'AEO 2023 Table 49 Raw'!M215</f>
        <v>198.91287199999999</v>
      </c>
      <c r="K231" s="18">
        <f>'AEO 2023 Table 49 Raw'!N215</f>
        <v>197.217468</v>
      </c>
      <c r="L231" s="18">
        <f>'AEO 2023 Table 49 Raw'!O215</f>
        <v>196.15072599999999</v>
      </c>
      <c r="M231" s="18">
        <f>'AEO 2023 Table 49 Raw'!P215</f>
        <v>198.919678</v>
      </c>
      <c r="N231" s="18">
        <f>'AEO 2023 Table 49 Raw'!Q215</f>
        <v>201.17245500000001</v>
      </c>
      <c r="O231" s="18">
        <f>'AEO 2023 Table 49 Raw'!R215</f>
        <v>199.201111</v>
      </c>
      <c r="P231" s="18">
        <f>'AEO 2023 Table 49 Raw'!S215</f>
        <v>198.33532700000001</v>
      </c>
      <c r="Q231" s="18">
        <f>'AEO 2023 Table 49 Raw'!T215</f>
        <v>199.69764699999999</v>
      </c>
      <c r="R231" s="18">
        <f>'AEO 2023 Table 49 Raw'!U215</f>
        <v>203.3004</v>
      </c>
      <c r="S231" s="18">
        <f>'AEO 2023 Table 49 Raw'!V215</f>
        <v>208.109375</v>
      </c>
      <c r="T231" s="18">
        <f>'AEO 2023 Table 49 Raw'!W215</f>
        <v>213.01158100000001</v>
      </c>
      <c r="U231" s="18">
        <f>'AEO 2023 Table 49 Raw'!X215</f>
        <v>216.295593</v>
      </c>
      <c r="V231" s="18">
        <f>'AEO 2023 Table 49 Raw'!Y215</f>
        <v>217.86222799999999</v>
      </c>
      <c r="W231" s="18">
        <f>'AEO 2023 Table 49 Raw'!Z215</f>
        <v>219.18348700000001</v>
      </c>
      <c r="X231" s="18">
        <f>'AEO 2023 Table 49 Raw'!AA215</f>
        <v>221.52641299999999</v>
      </c>
      <c r="Y231" s="18">
        <f>'AEO 2023 Table 49 Raw'!AB215</f>
        <v>223.01007100000001</v>
      </c>
      <c r="Z231" s="18">
        <f>'AEO 2023 Table 49 Raw'!AC215</f>
        <v>222.31985499999999</v>
      </c>
      <c r="AA231" s="18">
        <f>'AEO 2023 Table 49 Raw'!AD215</f>
        <v>221.90490700000001</v>
      </c>
      <c r="AB231" s="18">
        <f>'AEO 2023 Table 49 Raw'!AE215</f>
        <v>222.48220800000001</v>
      </c>
      <c r="AC231" s="18">
        <f>'AEO 2023 Table 49 Raw'!AF215</f>
        <v>224.13584900000001</v>
      </c>
      <c r="AD231" s="18">
        <f>'AEO 2023 Table 49 Raw'!AG215</f>
        <v>228.12084999999999</v>
      </c>
      <c r="AE231" s="18">
        <f>'AEO 2023 Table 49 Raw'!AH215</f>
        <v>231.647232</v>
      </c>
      <c r="AF231" s="30">
        <f>'AEO 2023 Table 49 Raw'!AI215</f>
        <v>1.0999999999999999E-2</v>
      </c>
    </row>
    <row r="232" spans="1:32" ht="15" customHeight="1">
      <c r="B232" s="15" t="s">
        <v>766</v>
      </c>
      <c r="C232" s="18">
        <f>'AEO 2023 Table 49 Raw'!F216</f>
        <v>0</v>
      </c>
      <c r="D232" s="18">
        <f>'AEO 2023 Table 49 Raw'!G216</f>
        <v>0</v>
      </c>
      <c r="E232" s="18">
        <f>'AEO 2023 Table 49 Raw'!H216</f>
        <v>0</v>
      </c>
      <c r="F232" s="18">
        <f>'AEO 2023 Table 49 Raw'!I216</f>
        <v>0</v>
      </c>
      <c r="G232" s="18">
        <f>'AEO 2023 Table 49 Raw'!J216</f>
        <v>0</v>
      </c>
      <c r="H232" s="18">
        <f>'AEO 2023 Table 49 Raw'!K216</f>
        <v>0</v>
      </c>
      <c r="I232" s="18">
        <f>'AEO 2023 Table 49 Raw'!L216</f>
        <v>0</v>
      </c>
      <c r="J232" s="18">
        <f>'AEO 2023 Table 49 Raw'!M216</f>
        <v>0</v>
      </c>
      <c r="K232" s="18">
        <f>'AEO 2023 Table 49 Raw'!N216</f>
        <v>0</v>
      </c>
      <c r="L232" s="18">
        <f>'AEO 2023 Table 49 Raw'!O216</f>
        <v>0</v>
      </c>
      <c r="M232" s="18">
        <f>'AEO 2023 Table 49 Raw'!P216</f>
        <v>0</v>
      </c>
      <c r="N232" s="18">
        <f>'AEO 2023 Table 49 Raw'!Q216</f>
        <v>0</v>
      </c>
      <c r="O232" s="18">
        <f>'AEO 2023 Table 49 Raw'!R216</f>
        <v>0</v>
      </c>
      <c r="P232" s="18">
        <f>'AEO 2023 Table 49 Raw'!S216</f>
        <v>0</v>
      </c>
      <c r="Q232" s="18">
        <f>'AEO 2023 Table 49 Raw'!T216</f>
        <v>0</v>
      </c>
      <c r="R232" s="18">
        <f>'AEO 2023 Table 49 Raw'!U216</f>
        <v>0</v>
      </c>
      <c r="S232" s="18">
        <f>'AEO 2023 Table 49 Raw'!V216</f>
        <v>0</v>
      </c>
      <c r="T232" s="18">
        <f>'AEO 2023 Table 49 Raw'!W216</f>
        <v>0</v>
      </c>
      <c r="U232" s="18">
        <f>'AEO 2023 Table 49 Raw'!X216</f>
        <v>0</v>
      </c>
      <c r="V232" s="18">
        <f>'AEO 2023 Table 49 Raw'!Y216</f>
        <v>0</v>
      </c>
      <c r="W232" s="18">
        <f>'AEO 2023 Table 49 Raw'!Z216</f>
        <v>0</v>
      </c>
      <c r="X232" s="18">
        <f>'AEO 2023 Table 49 Raw'!AA216</f>
        <v>0</v>
      </c>
      <c r="Y232" s="18">
        <f>'AEO 2023 Table 49 Raw'!AB216</f>
        <v>0</v>
      </c>
      <c r="Z232" s="18">
        <f>'AEO 2023 Table 49 Raw'!AC216</f>
        <v>0</v>
      </c>
      <c r="AA232" s="18">
        <f>'AEO 2023 Table 49 Raw'!AD216</f>
        <v>0</v>
      </c>
      <c r="AB232" s="18">
        <f>'AEO 2023 Table 49 Raw'!AE216</f>
        <v>0</v>
      </c>
      <c r="AC232" s="18">
        <f>'AEO 2023 Table 49 Raw'!AF216</f>
        <v>0</v>
      </c>
      <c r="AD232" s="18">
        <f>'AEO 2023 Table 49 Raw'!AG216</f>
        <v>0</v>
      </c>
      <c r="AE232" s="18">
        <f>'AEO 2023 Table 49 Raw'!AH216</f>
        <v>0</v>
      </c>
      <c r="AF232" s="30">
        <f>'AEO 2023 Table 49 Raw'!AI216</f>
        <v>0</v>
      </c>
    </row>
    <row r="233" spans="1:32" ht="15" customHeight="1">
      <c r="A233" s="7" t="s">
        <v>944</v>
      </c>
      <c r="B233" s="16" t="s">
        <v>736</v>
      </c>
      <c r="C233" s="18">
        <f>'AEO 2023 Table 49 Raw'!F217</f>
        <v>261.21398900000003</v>
      </c>
      <c r="D233" s="18">
        <f>'AEO 2023 Table 49 Raw'!G217</f>
        <v>232.95715300000001</v>
      </c>
      <c r="E233" s="18">
        <f>'AEO 2023 Table 49 Raw'!H217</f>
        <v>227.335297</v>
      </c>
      <c r="F233" s="18">
        <f>'AEO 2023 Table 49 Raw'!I217</f>
        <v>242.68454</v>
      </c>
      <c r="G233" s="18">
        <f>'AEO 2023 Table 49 Raw'!J217</f>
        <v>256.58145100000002</v>
      </c>
      <c r="H233" s="18">
        <f>'AEO 2023 Table 49 Raw'!K217</f>
        <v>263.566101</v>
      </c>
      <c r="I233" s="18">
        <f>'AEO 2023 Table 49 Raw'!L217</f>
        <v>267.61416600000001</v>
      </c>
      <c r="J233" s="18">
        <f>'AEO 2023 Table 49 Raw'!M217</f>
        <v>266.540527</v>
      </c>
      <c r="K233" s="18">
        <f>'AEO 2023 Table 49 Raw'!N217</f>
        <v>260.20056199999999</v>
      </c>
      <c r="L233" s="18">
        <f>'AEO 2023 Table 49 Raw'!O217</f>
        <v>254.780823</v>
      </c>
      <c r="M233" s="18">
        <f>'AEO 2023 Table 49 Raw'!P217</f>
        <v>254.38827499999999</v>
      </c>
      <c r="N233" s="18">
        <f>'AEO 2023 Table 49 Raw'!Q217</f>
        <v>253.287857</v>
      </c>
      <c r="O233" s="18">
        <f>'AEO 2023 Table 49 Raw'!R217</f>
        <v>246.95425399999999</v>
      </c>
      <c r="P233" s="18">
        <f>'AEO 2023 Table 49 Raw'!S217</f>
        <v>242.15368699999999</v>
      </c>
      <c r="Q233" s="18">
        <f>'AEO 2023 Table 49 Raw'!T217</f>
        <v>240.175568</v>
      </c>
      <c r="R233" s="18">
        <f>'AEO 2023 Table 49 Raw'!U217</f>
        <v>240.903412</v>
      </c>
      <c r="S233" s="18">
        <f>'AEO 2023 Table 49 Raw'!V217</f>
        <v>243.00683599999999</v>
      </c>
      <c r="T233" s="18">
        <f>'AEO 2023 Table 49 Raw'!W217</f>
        <v>245.15043600000001</v>
      </c>
      <c r="U233" s="18">
        <f>'AEO 2023 Table 49 Raw'!X217</f>
        <v>245.39141799999999</v>
      </c>
      <c r="V233" s="18">
        <f>'AEO 2023 Table 49 Raw'!Y217</f>
        <v>243.68821700000001</v>
      </c>
      <c r="W233" s="18">
        <f>'AEO 2023 Table 49 Raw'!Z217</f>
        <v>241.747131</v>
      </c>
      <c r="X233" s="18">
        <f>'AEO 2023 Table 49 Raw'!AA217</f>
        <v>240.94059799999999</v>
      </c>
      <c r="Y233" s="18">
        <f>'AEO 2023 Table 49 Raw'!AB217</f>
        <v>239.21463</v>
      </c>
      <c r="Z233" s="18">
        <f>'AEO 2023 Table 49 Raw'!AC217</f>
        <v>235.22081</v>
      </c>
      <c r="AA233" s="18">
        <f>'AEO 2023 Table 49 Raw'!AD217</f>
        <v>231.60012800000001</v>
      </c>
      <c r="AB233" s="18">
        <f>'AEO 2023 Table 49 Raw'!AE217</f>
        <v>229.08311499999999</v>
      </c>
      <c r="AC233" s="18">
        <f>'AEO 2023 Table 49 Raw'!AF217</f>
        <v>227.70941199999999</v>
      </c>
      <c r="AD233" s="18">
        <f>'AEO 2023 Table 49 Raw'!AG217</f>
        <v>228.69503800000001</v>
      </c>
      <c r="AE233" s="18">
        <f>'AEO 2023 Table 49 Raw'!AH217</f>
        <v>229.18687399999999</v>
      </c>
      <c r="AF233" s="30">
        <f>'AEO 2023 Table 49 Raw'!AI217</f>
        <v>-5.0000000000000001E-3</v>
      </c>
    </row>
    <row r="234" spans="1:32" ht="15" customHeight="1">
      <c r="A234" s="7" t="s">
        <v>945</v>
      </c>
      <c r="B234" s="16" t="s">
        <v>738</v>
      </c>
      <c r="C234" s="18">
        <f>'AEO 2023 Table 49 Raw'!F218</f>
        <v>1.4041360000000001</v>
      </c>
      <c r="D234" s="18">
        <f>'AEO 2023 Table 49 Raw'!G218</f>
        <v>1.239317</v>
      </c>
      <c r="E234" s="18">
        <f>'AEO 2023 Table 49 Raw'!H218</f>
        <v>1.198804</v>
      </c>
      <c r="F234" s="18">
        <f>'AEO 2023 Table 49 Raw'!I218</f>
        <v>1.2702040000000001</v>
      </c>
      <c r="G234" s="18">
        <f>'AEO 2023 Table 49 Raw'!J218</f>
        <v>1.3344450000000001</v>
      </c>
      <c r="H234" s="18">
        <f>'AEO 2023 Table 49 Raw'!K218</f>
        <v>1.3634280000000001</v>
      </c>
      <c r="I234" s="18">
        <f>'AEO 2023 Table 49 Raw'!L218</f>
        <v>1.378085</v>
      </c>
      <c r="J234" s="18">
        <f>'AEO 2023 Table 49 Raw'!M218</f>
        <v>1.3672960000000001</v>
      </c>
      <c r="K234" s="18">
        <f>'AEO 2023 Table 49 Raw'!N218</f>
        <v>1.330446</v>
      </c>
      <c r="L234" s="18">
        <f>'AEO 2023 Table 49 Raw'!O218</f>
        <v>1.2991729999999999</v>
      </c>
      <c r="M234" s="18">
        <f>'AEO 2023 Table 49 Raw'!P218</f>
        <v>1.2941689999999999</v>
      </c>
      <c r="N234" s="18">
        <f>'AEO 2023 Table 49 Raw'!Q218</f>
        <v>1.286052</v>
      </c>
      <c r="O234" s="18">
        <f>'AEO 2023 Table 49 Raw'!R218</f>
        <v>1.251833</v>
      </c>
      <c r="P234" s="18">
        <f>'AEO 2023 Table 49 Raw'!S218</f>
        <v>1.225797</v>
      </c>
      <c r="Q234" s="18">
        <f>'AEO 2023 Table 49 Raw'!T218</f>
        <v>1.2143649999999999</v>
      </c>
      <c r="R234" s="18">
        <f>'AEO 2023 Table 49 Raw'!U218</f>
        <v>1.216836</v>
      </c>
      <c r="S234" s="18">
        <f>'AEO 2023 Table 49 Raw'!V218</f>
        <v>1.2264470000000001</v>
      </c>
      <c r="T234" s="18">
        <f>'AEO 2023 Table 49 Raw'!W218</f>
        <v>1.2363919999999999</v>
      </c>
      <c r="U234" s="18">
        <f>'AEO 2023 Table 49 Raw'!X218</f>
        <v>1.2368710000000001</v>
      </c>
      <c r="V234" s="18">
        <f>'AEO 2023 Table 49 Raw'!Y218</f>
        <v>1.227681</v>
      </c>
      <c r="W234" s="18">
        <f>'AEO 2023 Table 49 Raw'!Z218</f>
        <v>1.217392</v>
      </c>
      <c r="X234" s="18">
        <f>'AEO 2023 Table 49 Raw'!AA218</f>
        <v>1.2129000000000001</v>
      </c>
      <c r="Y234" s="18">
        <f>'AEO 2023 Table 49 Raw'!AB218</f>
        <v>1.2038530000000001</v>
      </c>
      <c r="Z234" s="18">
        <f>'AEO 2023 Table 49 Raw'!AC218</f>
        <v>1.1834560000000001</v>
      </c>
      <c r="AA234" s="18">
        <f>'AEO 2023 Table 49 Raw'!AD218</f>
        <v>1.165</v>
      </c>
      <c r="AB234" s="18">
        <f>'AEO 2023 Table 49 Raw'!AE218</f>
        <v>1.152134</v>
      </c>
      <c r="AC234" s="18">
        <f>'AEO 2023 Table 49 Raw'!AF218</f>
        <v>1.145054</v>
      </c>
      <c r="AD234" s="18">
        <f>'AEO 2023 Table 49 Raw'!AG218</f>
        <v>1.1498600000000001</v>
      </c>
      <c r="AE234" s="18">
        <f>'AEO 2023 Table 49 Raw'!AH218</f>
        <v>1.152204</v>
      </c>
      <c r="AF234" s="30">
        <f>'AEO 2023 Table 49 Raw'!AI218</f>
        <v>-7.0000000000000001E-3</v>
      </c>
    </row>
    <row r="235" spans="1:32" ht="15" customHeight="1">
      <c r="A235" s="7" t="s">
        <v>946</v>
      </c>
      <c r="B235" s="16" t="s">
        <v>382</v>
      </c>
      <c r="C235" s="18">
        <f>'AEO 2023 Table 49 Raw'!F219</f>
        <v>0.16544500000000001</v>
      </c>
      <c r="D235" s="18">
        <f>'AEO 2023 Table 49 Raw'!G219</f>
        <v>0.14466699999999999</v>
      </c>
      <c r="E235" s="18">
        <f>'AEO 2023 Table 49 Raw'!H219</f>
        <v>0.14008399999999999</v>
      </c>
      <c r="F235" s="18">
        <f>'AEO 2023 Table 49 Raw'!I219</f>
        <v>0.14647199999999999</v>
      </c>
      <c r="G235" s="18">
        <f>'AEO 2023 Table 49 Raw'!J219</f>
        <v>0.153947</v>
      </c>
      <c r="H235" s="18">
        <f>'AEO 2023 Table 49 Raw'!K219</f>
        <v>0.15726399999999999</v>
      </c>
      <c r="I235" s="18">
        <f>'AEO 2023 Table 49 Raw'!L219</f>
        <v>0.15859699999999999</v>
      </c>
      <c r="J235" s="18">
        <f>'AEO 2023 Table 49 Raw'!M219</f>
        <v>0.15712599999999999</v>
      </c>
      <c r="K235" s="18">
        <f>'AEO 2023 Table 49 Raw'!N219</f>
        <v>0.15252099999999999</v>
      </c>
      <c r="L235" s="18">
        <f>'AEO 2023 Table 49 Raw'!O219</f>
        <v>0.14894399999999999</v>
      </c>
      <c r="M235" s="18">
        <f>'AEO 2023 Table 49 Raw'!P219</f>
        <v>0.14788200000000001</v>
      </c>
      <c r="N235" s="18">
        <f>'AEO 2023 Table 49 Raw'!Q219</f>
        <v>0.14672299999999999</v>
      </c>
      <c r="O235" s="18">
        <f>'AEO 2023 Table 49 Raw'!R219</f>
        <v>0.14156099999999999</v>
      </c>
      <c r="P235" s="18">
        <f>'AEO 2023 Table 49 Raw'!S219</f>
        <v>0.137429</v>
      </c>
      <c r="Q235" s="18">
        <f>'AEO 2023 Table 49 Raw'!T219</f>
        <v>0.13535900000000001</v>
      </c>
      <c r="R235" s="18">
        <f>'AEO 2023 Table 49 Raw'!U219</f>
        <v>0.13547100000000001</v>
      </c>
      <c r="S235" s="18">
        <f>'AEO 2023 Table 49 Raw'!V219</f>
        <v>0.13658999999999999</v>
      </c>
      <c r="T235" s="18">
        <f>'AEO 2023 Table 49 Raw'!W219</f>
        <v>0.13772000000000001</v>
      </c>
      <c r="U235" s="18">
        <f>'AEO 2023 Table 49 Raw'!X219</f>
        <v>0.13731199999999999</v>
      </c>
      <c r="V235" s="18">
        <f>'AEO 2023 Table 49 Raw'!Y219</f>
        <v>0.135745</v>
      </c>
      <c r="W235" s="18">
        <f>'AEO 2023 Table 49 Raw'!Z219</f>
        <v>0.13406499999999999</v>
      </c>
      <c r="X235" s="18">
        <f>'AEO 2023 Table 49 Raw'!AA219</f>
        <v>0.13355900000000001</v>
      </c>
      <c r="Y235" s="18">
        <f>'AEO 2023 Table 49 Raw'!AB219</f>
        <v>0.132719</v>
      </c>
      <c r="Z235" s="18">
        <f>'AEO 2023 Table 49 Raw'!AC219</f>
        <v>0.13070300000000001</v>
      </c>
      <c r="AA235" s="18">
        <f>'AEO 2023 Table 49 Raw'!AD219</f>
        <v>0.12873799999999999</v>
      </c>
      <c r="AB235" s="18">
        <f>'AEO 2023 Table 49 Raw'!AE219</f>
        <v>0.127358</v>
      </c>
      <c r="AC235" s="18">
        <f>'AEO 2023 Table 49 Raw'!AF219</f>
        <v>0.12651599999999999</v>
      </c>
      <c r="AD235" s="18">
        <f>'AEO 2023 Table 49 Raw'!AG219</f>
        <v>0.12703200000000001</v>
      </c>
      <c r="AE235" s="18">
        <f>'AEO 2023 Table 49 Raw'!AH219</f>
        <v>0.127271</v>
      </c>
      <c r="AF235" s="30">
        <f>'AEO 2023 Table 49 Raw'!AI219</f>
        <v>-8.9999999999999993E-3</v>
      </c>
    </row>
    <row r="236" spans="1:32" ht="15" customHeight="1">
      <c r="A236" s="7" t="s">
        <v>947</v>
      </c>
      <c r="B236" s="16" t="s">
        <v>741</v>
      </c>
      <c r="C236" s="18">
        <f>'AEO 2023 Table 49 Raw'!F220</f>
        <v>4.131297</v>
      </c>
      <c r="D236" s="18">
        <f>'AEO 2023 Table 49 Raw'!G220</f>
        <v>3.399645</v>
      </c>
      <c r="E236" s="18">
        <f>'AEO 2023 Table 49 Raw'!H220</f>
        <v>3.2476150000000001</v>
      </c>
      <c r="F236" s="18">
        <f>'AEO 2023 Table 49 Raw'!I220</f>
        <v>3.3248160000000002</v>
      </c>
      <c r="G236" s="18">
        <f>'AEO 2023 Table 49 Raw'!J220</f>
        <v>3.3366020000000001</v>
      </c>
      <c r="H236" s="18">
        <f>'AEO 2023 Table 49 Raw'!K220</f>
        <v>3.2365620000000002</v>
      </c>
      <c r="I236" s="18">
        <f>'AEO 2023 Table 49 Raw'!L220</f>
        <v>3.0313650000000001</v>
      </c>
      <c r="J236" s="18">
        <f>'AEO 2023 Table 49 Raw'!M220</f>
        <v>2.7968120000000001</v>
      </c>
      <c r="K236" s="18">
        <f>'AEO 2023 Table 49 Raw'!N220</f>
        <v>2.5805479999999998</v>
      </c>
      <c r="L236" s="18">
        <f>'AEO 2023 Table 49 Raw'!O220</f>
        <v>2.4900419999999999</v>
      </c>
      <c r="M236" s="18">
        <f>'AEO 2023 Table 49 Raw'!P220</f>
        <v>2.510497</v>
      </c>
      <c r="N236" s="18">
        <f>'AEO 2023 Table 49 Raw'!Q220</f>
        <v>2.6049250000000002</v>
      </c>
      <c r="O236" s="18">
        <f>'AEO 2023 Table 49 Raw'!R220</f>
        <v>2.6832539999999998</v>
      </c>
      <c r="P236" s="18">
        <f>'AEO 2023 Table 49 Raw'!S220</f>
        <v>2.7872620000000001</v>
      </c>
      <c r="Q236" s="18">
        <f>'AEO 2023 Table 49 Raw'!T220</f>
        <v>2.9224299999999999</v>
      </c>
      <c r="R236" s="18">
        <f>'AEO 2023 Table 49 Raw'!U220</f>
        <v>3.098395</v>
      </c>
      <c r="S236" s="18">
        <f>'AEO 2023 Table 49 Raw'!V220</f>
        <v>3.3081209999999999</v>
      </c>
      <c r="T236" s="18">
        <f>'AEO 2023 Table 49 Raw'!W220</f>
        <v>3.5266310000000001</v>
      </c>
      <c r="U236" s="18">
        <f>'AEO 2023 Table 49 Raw'!X220</f>
        <v>3.7228829999999999</v>
      </c>
      <c r="V236" s="18">
        <f>'AEO 2023 Table 49 Raw'!Y220</f>
        <v>3.9005800000000002</v>
      </c>
      <c r="W236" s="18">
        <f>'AEO 2023 Table 49 Raw'!Z220</f>
        <v>4.081086</v>
      </c>
      <c r="X236" s="18">
        <f>'AEO 2023 Table 49 Raw'!AA220</f>
        <v>4.3035690000000004</v>
      </c>
      <c r="Y236" s="18">
        <f>'AEO 2023 Table 49 Raw'!AB220</f>
        <v>4.5183299999999997</v>
      </c>
      <c r="Z236" s="18">
        <f>'AEO 2023 Table 49 Raw'!AC220</f>
        <v>4.6917869999999997</v>
      </c>
      <c r="AA236" s="18">
        <f>'AEO 2023 Table 49 Raw'!AD220</f>
        <v>4.8784850000000004</v>
      </c>
      <c r="AB236" s="18">
        <f>'AEO 2023 Table 49 Raw'!AE220</f>
        <v>5.0894089999999998</v>
      </c>
      <c r="AC236" s="18">
        <f>'AEO 2023 Table 49 Raw'!AF220</f>
        <v>5.3294730000000001</v>
      </c>
      <c r="AD236" s="18">
        <f>'AEO 2023 Table 49 Raw'!AG220</f>
        <v>5.6305930000000002</v>
      </c>
      <c r="AE236" s="18">
        <f>'AEO 2023 Table 49 Raw'!AH220</f>
        <v>5.9275779999999996</v>
      </c>
      <c r="AF236" s="30">
        <f>'AEO 2023 Table 49 Raw'!AI220</f>
        <v>1.2999999999999999E-2</v>
      </c>
    </row>
    <row r="237" spans="1:32" ht="15" customHeight="1">
      <c r="A237" s="7" t="s">
        <v>948</v>
      </c>
      <c r="B237" s="16" t="s">
        <v>743</v>
      </c>
      <c r="C237" s="18">
        <f>'AEO 2023 Table 49 Raw'!F221</f>
        <v>0</v>
      </c>
      <c r="D237" s="18">
        <f>'AEO 2023 Table 49 Raw'!G221</f>
        <v>0</v>
      </c>
      <c r="E237" s="18">
        <f>'AEO 2023 Table 49 Raw'!H221</f>
        <v>0</v>
      </c>
      <c r="F237" s="18">
        <f>'AEO 2023 Table 49 Raw'!I221</f>
        <v>0</v>
      </c>
      <c r="G237" s="18">
        <f>'AEO 2023 Table 49 Raw'!J221</f>
        <v>0</v>
      </c>
      <c r="H237" s="18">
        <f>'AEO 2023 Table 49 Raw'!K221</f>
        <v>0</v>
      </c>
      <c r="I237" s="18">
        <f>'AEO 2023 Table 49 Raw'!L221</f>
        <v>0</v>
      </c>
      <c r="J237" s="18">
        <f>'AEO 2023 Table 49 Raw'!M221</f>
        <v>0</v>
      </c>
      <c r="K237" s="18">
        <f>'AEO 2023 Table 49 Raw'!N221</f>
        <v>0</v>
      </c>
      <c r="L237" s="18">
        <f>'AEO 2023 Table 49 Raw'!O221</f>
        <v>0</v>
      </c>
      <c r="M237" s="18">
        <f>'AEO 2023 Table 49 Raw'!P221</f>
        <v>0</v>
      </c>
      <c r="N237" s="18">
        <f>'AEO 2023 Table 49 Raw'!Q221</f>
        <v>0</v>
      </c>
      <c r="O237" s="18">
        <f>'AEO 2023 Table 49 Raw'!R221</f>
        <v>0</v>
      </c>
      <c r="P237" s="18">
        <f>'AEO 2023 Table 49 Raw'!S221</f>
        <v>0</v>
      </c>
      <c r="Q237" s="18">
        <f>'AEO 2023 Table 49 Raw'!T221</f>
        <v>0</v>
      </c>
      <c r="R237" s="18">
        <f>'AEO 2023 Table 49 Raw'!U221</f>
        <v>0</v>
      </c>
      <c r="S237" s="18">
        <f>'AEO 2023 Table 49 Raw'!V221</f>
        <v>0</v>
      </c>
      <c r="T237" s="18">
        <f>'AEO 2023 Table 49 Raw'!W221</f>
        <v>0</v>
      </c>
      <c r="U237" s="18">
        <f>'AEO 2023 Table 49 Raw'!X221</f>
        <v>0</v>
      </c>
      <c r="V237" s="18">
        <f>'AEO 2023 Table 49 Raw'!Y221</f>
        <v>0</v>
      </c>
      <c r="W237" s="18">
        <f>'AEO 2023 Table 49 Raw'!Z221</f>
        <v>0</v>
      </c>
      <c r="X237" s="18">
        <f>'AEO 2023 Table 49 Raw'!AA221</f>
        <v>0</v>
      </c>
      <c r="Y237" s="18">
        <f>'AEO 2023 Table 49 Raw'!AB221</f>
        <v>0</v>
      </c>
      <c r="Z237" s="18">
        <f>'AEO 2023 Table 49 Raw'!AC221</f>
        <v>0</v>
      </c>
      <c r="AA237" s="18">
        <f>'AEO 2023 Table 49 Raw'!AD221</f>
        <v>0</v>
      </c>
      <c r="AB237" s="18">
        <f>'AEO 2023 Table 49 Raw'!AE221</f>
        <v>0</v>
      </c>
      <c r="AC237" s="18">
        <f>'AEO 2023 Table 49 Raw'!AF221</f>
        <v>0</v>
      </c>
      <c r="AD237" s="18">
        <f>'AEO 2023 Table 49 Raw'!AG221</f>
        <v>0</v>
      </c>
      <c r="AE237" s="18">
        <f>'AEO 2023 Table 49 Raw'!AH221</f>
        <v>0</v>
      </c>
      <c r="AF237" s="30" t="str">
        <f>'AEO 2023 Table 49 Raw'!AI221</f>
        <v>- -</v>
      </c>
    </row>
    <row r="238" spans="1:32" ht="15" customHeight="1">
      <c r="A238" s="7" t="s">
        <v>949</v>
      </c>
      <c r="B238" s="16" t="s">
        <v>745</v>
      </c>
      <c r="C238" s="18">
        <f>'AEO 2023 Table 49 Raw'!F222</f>
        <v>4.4812999999999999E-2</v>
      </c>
      <c r="D238" s="18">
        <f>'AEO 2023 Table 49 Raw'!G222</f>
        <v>3.5400000000000001E-2</v>
      </c>
      <c r="E238" s="18">
        <f>'AEO 2023 Table 49 Raw'!H222</f>
        <v>3.0667E-2</v>
      </c>
      <c r="F238" s="18">
        <f>'AEO 2023 Table 49 Raw'!I222</f>
        <v>2.8981E-2</v>
      </c>
      <c r="G238" s="18">
        <f>'AEO 2023 Table 49 Raw'!J222</f>
        <v>2.7132E-2</v>
      </c>
      <c r="H238" s="18">
        <f>'AEO 2023 Table 49 Raw'!K222</f>
        <v>2.4688999999999999E-2</v>
      </c>
      <c r="I238" s="18">
        <f>'AEO 2023 Table 49 Raw'!L222</f>
        <v>2.2217000000000001E-2</v>
      </c>
      <c r="J238" s="18">
        <f>'AEO 2023 Table 49 Raw'!M222</f>
        <v>1.9625E-2</v>
      </c>
      <c r="K238" s="18">
        <f>'AEO 2023 Table 49 Raw'!N222</f>
        <v>1.6997000000000002E-2</v>
      </c>
      <c r="L238" s="18">
        <f>'AEO 2023 Table 49 Raw'!O222</f>
        <v>1.4770999999999999E-2</v>
      </c>
      <c r="M238" s="18">
        <f>'AEO 2023 Table 49 Raw'!P222</f>
        <v>1.3089999999999999E-2</v>
      </c>
      <c r="N238" s="18">
        <f>'AEO 2023 Table 49 Raw'!Q222</f>
        <v>1.1565000000000001E-2</v>
      </c>
      <c r="O238" s="18">
        <f>'AEO 2023 Table 49 Raw'!R222</f>
        <v>0.01</v>
      </c>
      <c r="P238" s="18">
        <f>'AEO 2023 Table 49 Raw'!S222</f>
        <v>8.6910000000000008E-3</v>
      </c>
      <c r="Q238" s="18">
        <f>'AEO 2023 Table 49 Raw'!T222</f>
        <v>7.6340000000000002E-3</v>
      </c>
      <c r="R238" s="18">
        <f>'AEO 2023 Table 49 Raw'!U222</f>
        <v>6.777E-3</v>
      </c>
      <c r="S238" s="18">
        <f>'AEO 2023 Table 49 Raw'!V222</f>
        <v>6.045E-3</v>
      </c>
      <c r="T238" s="18">
        <f>'AEO 2023 Table 49 Raw'!W222</f>
        <v>5.3880000000000004E-3</v>
      </c>
      <c r="U238" s="18">
        <f>'AEO 2023 Table 49 Raw'!X222</f>
        <v>4.7609999999999996E-3</v>
      </c>
      <c r="V238" s="18">
        <f>'AEO 2023 Table 49 Raw'!Y222</f>
        <v>4.169E-3</v>
      </c>
      <c r="W238" s="18">
        <f>'AEO 2023 Table 49 Raw'!Z222</f>
        <v>3.643E-3</v>
      </c>
      <c r="X238" s="18">
        <f>'AEO 2023 Table 49 Raw'!AA222</f>
        <v>3.1949999999999999E-3</v>
      </c>
      <c r="Y238" s="18">
        <f>'AEO 2023 Table 49 Raw'!AB222</f>
        <v>2.7880000000000001E-3</v>
      </c>
      <c r="Z238" s="18">
        <f>'AEO 2023 Table 49 Raw'!AC222</f>
        <v>2.4069999999999999E-3</v>
      </c>
      <c r="AA238" s="18">
        <f>'AEO 2023 Table 49 Raw'!AD222</f>
        <v>2.078E-3</v>
      </c>
      <c r="AB238" s="18">
        <f>'AEO 2023 Table 49 Raw'!AE222</f>
        <v>1.799E-3</v>
      </c>
      <c r="AC238" s="18">
        <f>'AEO 2023 Table 49 Raw'!AF222</f>
        <v>1.5640000000000001E-3</v>
      </c>
      <c r="AD238" s="18">
        <f>'AEO 2023 Table 49 Raw'!AG222</f>
        <v>1.372E-3</v>
      </c>
      <c r="AE238" s="18">
        <f>'AEO 2023 Table 49 Raw'!AH222</f>
        <v>1.1980000000000001E-3</v>
      </c>
      <c r="AF238" s="30">
        <f>'AEO 2023 Table 49 Raw'!AI222</f>
        <v>-0.121</v>
      </c>
    </row>
    <row r="239" spans="1:32" ht="15" customHeight="1">
      <c r="A239" s="7" t="s">
        <v>950</v>
      </c>
      <c r="B239" s="16" t="s">
        <v>747</v>
      </c>
      <c r="C239" s="18">
        <f>'AEO 2023 Table 49 Raw'!F223</f>
        <v>0</v>
      </c>
      <c r="D239" s="18">
        <f>'AEO 2023 Table 49 Raw'!G223</f>
        <v>0</v>
      </c>
      <c r="E239" s="18">
        <f>'AEO 2023 Table 49 Raw'!H223</f>
        <v>0.102627</v>
      </c>
      <c r="F239" s="18">
        <f>'AEO 2023 Table 49 Raw'!I223</f>
        <v>0.109876</v>
      </c>
      <c r="G239" s="18">
        <f>'AEO 2023 Table 49 Raw'!J223</f>
        <v>0.115606</v>
      </c>
      <c r="H239" s="18">
        <f>'AEO 2023 Table 49 Raw'!K223</f>
        <v>0.119007</v>
      </c>
      <c r="I239" s="18">
        <f>'AEO 2023 Table 49 Raw'!L223</f>
        <v>0.12245399999999999</v>
      </c>
      <c r="J239" s="18">
        <f>'AEO 2023 Table 49 Raw'!M223</f>
        <v>0.12360699999999999</v>
      </c>
      <c r="K239" s="18">
        <f>'AEO 2023 Table 49 Raw'!N223</f>
        <v>0.123154</v>
      </c>
      <c r="L239" s="18">
        <f>'AEO 2023 Table 49 Raw'!O223</f>
        <v>0.123726</v>
      </c>
      <c r="M239" s="18">
        <f>'AEO 2023 Table 49 Raw'!P223</f>
        <v>0.12792999999999999</v>
      </c>
      <c r="N239" s="18">
        <f>'AEO 2023 Table 49 Raw'!Q223</f>
        <v>0.132877</v>
      </c>
      <c r="O239" s="18">
        <f>'AEO 2023 Table 49 Raw'!R223</f>
        <v>0.13522899999999999</v>
      </c>
      <c r="P239" s="18">
        <f>'AEO 2023 Table 49 Raw'!S223</f>
        <v>0.13786599999999999</v>
      </c>
      <c r="Q239" s="18">
        <f>'AEO 2023 Table 49 Raw'!T223</f>
        <v>0.143488</v>
      </c>
      <c r="R239" s="18">
        <f>'AEO 2023 Table 49 Raw'!U223</f>
        <v>0.151391</v>
      </c>
      <c r="S239" s="18">
        <f>'AEO 2023 Table 49 Raw'!V223</f>
        <v>0.16062100000000001</v>
      </c>
      <c r="T239" s="18">
        <f>'AEO 2023 Table 49 Raw'!W223</f>
        <v>0.17118</v>
      </c>
      <c r="U239" s="18">
        <f>'AEO 2023 Table 49 Raw'!X223</f>
        <v>0.181757</v>
      </c>
      <c r="V239" s="18">
        <f>'AEO 2023 Table 49 Raw'!Y223</f>
        <v>0.192223</v>
      </c>
      <c r="W239" s="18">
        <f>'AEO 2023 Table 49 Raw'!Z223</f>
        <v>0.203791</v>
      </c>
      <c r="X239" s="18">
        <f>'AEO 2023 Table 49 Raw'!AA223</f>
        <v>0.217698</v>
      </c>
      <c r="Y239" s="18">
        <f>'AEO 2023 Table 49 Raw'!AB223</f>
        <v>0.23214199999999999</v>
      </c>
      <c r="Z239" s="18">
        <f>'AEO 2023 Table 49 Raw'!AC223</f>
        <v>0.24545800000000001</v>
      </c>
      <c r="AA239" s="18">
        <f>'AEO 2023 Table 49 Raw'!AD223</f>
        <v>0.25994299999999998</v>
      </c>
      <c r="AB239" s="18">
        <f>'AEO 2023 Table 49 Raw'!AE223</f>
        <v>0.276393</v>
      </c>
      <c r="AC239" s="18">
        <f>'AEO 2023 Table 49 Raw'!AF223</f>
        <v>0.29494100000000001</v>
      </c>
      <c r="AD239" s="18">
        <f>'AEO 2023 Table 49 Raw'!AG223</f>
        <v>0.31729299999999999</v>
      </c>
      <c r="AE239" s="18">
        <f>'AEO 2023 Table 49 Raw'!AH223</f>
        <v>0.33960699999999999</v>
      </c>
      <c r="AF239" s="30" t="str">
        <f>'AEO 2023 Table 49 Raw'!AI223</f>
        <v>- -</v>
      </c>
    </row>
    <row r="240" spans="1:32" ht="15" customHeight="1">
      <c r="A240" s="7" t="s">
        <v>951</v>
      </c>
      <c r="B240" s="16" t="s">
        <v>749</v>
      </c>
      <c r="C240" s="18">
        <f>'AEO 2023 Table 49 Raw'!F224</f>
        <v>0</v>
      </c>
      <c r="D240" s="18">
        <f>'AEO 2023 Table 49 Raw'!G224</f>
        <v>0</v>
      </c>
      <c r="E240" s="18">
        <f>'AEO 2023 Table 49 Raw'!H224</f>
        <v>0.23166</v>
      </c>
      <c r="F240" s="18">
        <f>'AEO 2023 Table 49 Raw'!I224</f>
        <v>0.241648</v>
      </c>
      <c r="G240" s="18">
        <f>'AEO 2023 Table 49 Raw'!J224</f>
        <v>0.25026300000000001</v>
      </c>
      <c r="H240" s="18">
        <f>'AEO 2023 Table 49 Raw'!K224</f>
        <v>0.25448399999999999</v>
      </c>
      <c r="I240" s="18">
        <f>'AEO 2023 Table 49 Raw'!L224</f>
        <v>0.25684499999999999</v>
      </c>
      <c r="J240" s="18">
        <f>'AEO 2023 Table 49 Raw'!M224</f>
        <v>0.25485999999999998</v>
      </c>
      <c r="K240" s="18">
        <f>'AEO 2023 Table 49 Raw'!N224</f>
        <v>0.25021900000000002</v>
      </c>
      <c r="L240" s="18">
        <f>'AEO 2023 Table 49 Raw'!O224</f>
        <v>0.24899399999999999</v>
      </c>
      <c r="M240" s="18">
        <f>'AEO 2023 Table 49 Raw'!P224</f>
        <v>0.25468200000000002</v>
      </c>
      <c r="N240" s="18">
        <f>'AEO 2023 Table 49 Raw'!Q224</f>
        <v>0.26232800000000001</v>
      </c>
      <c r="O240" s="18">
        <f>'AEO 2023 Table 49 Raw'!R224</f>
        <v>0.26449400000000001</v>
      </c>
      <c r="P240" s="18">
        <f>'AEO 2023 Table 49 Raw'!S224</f>
        <v>0.267988</v>
      </c>
      <c r="Q240" s="18">
        <f>'AEO 2023 Table 49 Raw'!T224</f>
        <v>0.276285</v>
      </c>
      <c r="R240" s="18">
        <f>'AEO 2023 Table 49 Raw'!U224</f>
        <v>0.28914400000000001</v>
      </c>
      <c r="S240" s="18">
        <f>'AEO 2023 Table 49 Raw'!V224</f>
        <v>0.30428699999999997</v>
      </c>
      <c r="T240" s="18">
        <f>'AEO 2023 Table 49 Raw'!W224</f>
        <v>0.32177800000000001</v>
      </c>
      <c r="U240" s="18">
        <f>'AEO 2023 Table 49 Raw'!X224</f>
        <v>0.33918599999999999</v>
      </c>
      <c r="V240" s="18">
        <f>'AEO 2023 Table 49 Raw'!Y224</f>
        <v>0.35597099999999998</v>
      </c>
      <c r="W240" s="18">
        <f>'AEO 2023 Table 49 Raw'!Z224</f>
        <v>0.37338500000000002</v>
      </c>
      <c r="X240" s="18">
        <f>'AEO 2023 Table 49 Raw'!AA224</f>
        <v>0.39376100000000003</v>
      </c>
      <c r="Y240" s="18">
        <f>'AEO 2023 Table 49 Raw'!AB224</f>
        <v>0.41369</v>
      </c>
      <c r="Z240" s="18">
        <f>'AEO 2023 Table 49 Raw'!AC224</f>
        <v>0.43043700000000001</v>
      </c>
      <c r="AA240" s="18">
        <f>'AEO 2023 Table 49 Raw'!AD224</f>
        <v>0.44717099999999999</v>
      </c>
      <c r="AB240" s="18">
        <f>'AEO 2023 Table 49 Raw'!AE224</f>
        <v>0.46481699999999998</v>
      </c>
      <c r="AC240" s="18">
        <f>'AEO 2023 Table 49 Raw'!AF224</f>
        <v>0.483547</v>
      </c>
      <c r="AD240" s="18">
        <f>'AEO 2023 Table 49 Raw'!AG224</f>
        <v>0.50610299999999997</v>
      </c>
      <c r="AE240" s="18">
        <f>'AEO 2023 Table 49 Raw'!AH224</f>
        <v>0.52600599999999997</v>
      </c>
      <c r="AF240" s="30" t="str">
        <f>'AEO 2023 Table 49 Raw'!AI224</f>
        <v>- -</v>
      </c>
    </row>
    <row r="241" spans="1:32" ht="15" customHeight="1">
      <c r="A241" s="7" t="s">
        <v>952</v>
      </c>
      <c r="B241" s="16" t="s">
        <v>751</v>
      </c>
      <c r="C241" s="18">
        <f>'AEO 2023 Table 49 Raw'!F225</f>
        <v>0</v>
      </c>
      <c r="D241" s="18">
        <f>'AEO 2023 Table 49 Raw'!G225</f>
        <v>0</v>
      </c>
      <c r="E241" s="18">
        <f>'AEO 2023 Table 49 Raw'!H225</f>
        <v>0.339368</v>
      </c>
      <c r="F241" s="18">
        <f>'AEO 2023 Table 49 Raw'!I225</f>
        <v>0.36515599999999998</v>
      </c>
      <c r="G241" s="18">
        <f>'AEO 2023 Table 49 Raw'!J225</f>
        <v>0.38952500000000001</v>
      </c>
      <c r="H241" s="18">
        <f>'AEO 2023 Table 49 Raw'!K225</f>
        <v>0.40417199999999998</v>
      </c>
      <c r="I241" s="18">
        <f>'AEO 2023 Table 49 Raw'!L225</f>
        <v>0.415047</v>
      </c>
      <c r="J241" s="18">
        <f>'AEO 2023 Table 49 Raw'!M225</f>
        <v>0.41866399999999998</v>
      </c>
      <c r="K241" s="18">
        <f>'AEO 2023 Table 49 Raw'!N225</f>
        <v>0.41455999999999998</v>
      </c>
      <c r="L241" s="18">
        <f>'AEO 2023 Table 49 Raw'!O225</f>
        <v>0.41242899999999999</v>
      </c>
      <c r="M241" s="18">
        <f>'AEO 2023 Table 49 Raw'!P225</f>
        <v>0.419153</v>
      </c>
      <c r="N241" s="18">
        <f>'AEO 2023 Table 49 Raw'!Q225</f>
        <v>0.42563899999999999</v>
      </c>
      <c r="O241" s="18">
        <f>'AEO 2023 Table 49 Raw'!R225</f>
        <v>0.424149</v>
      </c>
      <c r="P241" s="18">
        <f>'AEO 2023 Table 49 Raw'!S225</f>
        <v>0.42604599999999998</v>
      </c>
      <c r="Q241" s="18">
        <f>'AEO 2023 Table 49 Raw'!T225</f>
        <v>0.433917</v>
      </c>
      <c r="R241" s="18">
        <f>'AEO 2023 Table 49 Raw'!U225</f>
        <v>0.44806200000000002</v>
      </c>
      <c r="S241" s="18">
        <f>'AEO 2023 Table 49 Raw'!V225</f>
        <v>0.46653499999999998</v>
      </c>
      <c r="T241" s="18">
        <f>'AEO 2023 Table 49 Raw'!W225</f>
        <v>0.48714400000000002</v>
      </c>
      <c r="U241" s="18">
        <f>'AEO 2023 Table 49 Raw'!X225</f>
        <v>0.50612500000000005</v>
      </c>
      <c r="V241" s="18">
        <f>'AEO 2023 Table 49 Raw'!Y225</f>
        <v>0.52315400000000001</v>
      </c>
      <c r="W241" s="18">
        <f>'AEO 2023 Table 49 Raw'!Z225</f>
        <v>0.541713</v>
      </c>
      <c r="X241" s="18">
        <f>'AEO 2023 Table 49 Raw'!AA225</f>
        <v>0.56509200000000004</v>
      </c>
      <c r="Y241" s="18">
        <f>'AEO 2023 Table 49 Raw'!AB225</f>
        <v>0.58876099999999998</v>
      </c>
      <c r="Z241" s="18">
        <f>'AEO 2023 Table 49 Raw'!AC225</f>
        <v>0.60903499999999999</v>
      </c>
      <c r="AA241" s="18">
        <f>'AEO 2023 Table 49 Raw'!AD225</f>
        <v>0.63227100000000003</v>
      </c>
      <c r="AB241" s="18">
        <f>'AEO 2023 Table 49 Raw'!AE225</f>
        <v>0.66073700000000002</v>
      </c>
      <c r="AC241" s="18">
        <f>'AEO 2023 Table 49 Raw'!AF225</f>
        <v>0.69507399999999997</v>
      </c>
      <c r="AD241" s="18">
        <f>'AEO 2023 Table 49 Raw'!AG225</f>
        <v>0.73980999999999997</v>
      </c>
      <c r="AE241" s="18">
        <f>'AEO 2023 Table 49 Raw'!AH225</f>
        <v>0.78651300000000002</v>
      </c>
      <c r="AF241" s="30" t="str">
        <f>'AEO 2023 Table 49 Raw'!AI225</f>
        <v>- -</v>
      </c>
    </row>
    <row r="242" spans="1:32" ht="15" customHeight="1">
      <c r="A242" s="7" t="s">
        <v>953</v>
      </c>
      <c r="B242" s="16" t="s">
        <v>777</v>
      </c>
      <c r="C242" s="18">
        <f>'AEO 2023 Table 49 Raw'!F226</f>
        <v>266.95968599999998</v>
      </c>
      <c r="D242" s="18">
        <f>'AEO 2023 Table 49 Raw'!G226</f>
        <v>237.77616900000001</v>
      </c>
      <c r="E242" s="18">
        <f>'AEO 2023 Table 49 Raw'!H226</f>
        <v>232.62614400000001</v>
      </c>
      <c r="F242" s="18">
        <f>'AEO 2023 Table 49 Raw'!I226</f>
        <v>248.17169200000001</v>
      </c>
      <c r="G242" s="18">
        <f>'AEO 2023 Table 49 Raw'!J226</f>
        <v>262.18890399999998</v>
      </c>
      <c r="H242" s="18">
        <f>'AEO 2023 Table 49 Raw'!K226</f>
        <v>269.12570199999999</v>
      </c>
      <c r="I242" s="18">
        <f>'AEO 2023 Table 49 Raw'!L226</f>
        <v>272.99877900000001</v>
      </c>
      <c r="J242" s="18">
        <f>'AEO 2023 Table 49 Raw'!M226</f>
        <v>271.67849699999999</v>
      </c>
      <c r="K242" s="18">
        <f>'AEO 2023 Table 49 Raw'!N226</f>
        <v>265.068939</v>
      </c>
      <c r="L242" s="18">
        <f>'AEO 2023 Table 49 Raw'!O226</f>
        <v>259.51889</v>
      </c>
      <c r="M242" s="18">
        <f>'AEO 2023 Table 49 Raw'!P226</f>
        <v>259.15566999999999</v>
      </c>
      <c r="N242" s="18">
        <f>'AEO 2023 Table 49 Raw'!Q226</f>
        <v>258.15792800000003</v>
      </c>
      <c r="O242" s="18">
        <f>'AEO 2023 Table 49 Raw'!R226</f>
        <v>251.86479199999999</v>
      </c>
      <c r="P242" s="18">
        <f>'AEO 2023 Table 49 Raw'!S226</f>
        <v>247.14475999999999</v>
      </c>
      <c r="Q242" s="18">
        <f>'AEO 2023 Table 49 Raw'!T226</f>
        <v>245.309021</v>
      </c>
      <c r="R242" s="18">
        <f>'AEO 2023 Table 49 Raw'!U226</f>
        <v>246.249481</v>
      </c>
      <c r="S242" s="18">
        <f>'AEO 2023 Table 49 Raw'!V226</f>
        <v>248.61546300000001</v>
      </c>
      <c r="T242" s="18">
        <f>'AEO 2023 Table 49 Raw'!W226</f>
        <v>251.03659099999999</v>
      </c>
      <c r="U242" s="18">
        <f>'AEO 2023 Table 49 Raw'!X226</f>
        <v>251.52034</v>
      </c>
      <c r="V242" s="18">
        <f>'AEO 2023 Table 49 Raw'!Y226</f>
        <v>250.027771</v>
      </c>
      <c r="W242" s="18">
        <f>'AEO 2023 Table 49 Raw'!Z226</f>
        <v>248.30218500000001</v>
      </c>
      <c r="X242" s="18">
        <f>'AEO 2023 Table 49 Raw'!AA226</f>
        <v>247.770386</v>
      </c>
      <c r="Y242" s="18">
        <f>'AEO 2023 Table 49 Raw'!AB226</f>
        <v>246.30693099999999</v>
      </c>
      <c r="Z242" s="18">
        <f>'AEO 2023 Table 49 Raw'!AC226</f>
        <v>242.51406900000001</v>
      </c>
      <c r="AA242" s="18">
        <f>'AEO 2023 Table 49 Raw'!AD226</f>
        <v>239.1138</v>
      </c>
      <c r="AB242" s="18">
        <f>'AEO 2023 Table 49 Raw'!AE226</f>
        <v>236.855774</v>
      </c>
      <c r="AC242" s="18">
        <f>'AEO 2023 Table 49 Raw'!AF226</f>
        <v>235.78559899999999</v>
      </c>
      <c r="AD242" s="18">
        <f>'AEO 2023 Table 49 Raw'!AG226</f>
        <v>237.16709900000001</v>
      </c>
      <c r="AE242" s="18">
        <f>'AEO 2023 Table 49 Raw'!AH226</f>
        <v>238.047256</v>
      </c>
      <c r="AF242" s="30">
        <f>'AEO 2023 Table 49 Raw'!AI226</f>
        <v>-4.0000000000000001E-3</v>
      </c>
    </row>
    <row r="243" spans="1:32" ht="15" customHeight="1">
      <c r="A243" s="7" t="s">
        <v>954</v>
      </c>
      <c r="B243" s="15" t="s">
        <v>955</v>
      </c>
      <c r="C243" s="18">
        <f>'AEO 2023 Table 49 Raw'!F227</f>
        <v>691.80749500000002</v>
      </c>
      <c r="D243" s="18">
        <f>'AEO 2023 Table 49 Raw'!G227</f>
        <v>629.29083300000002</v>
      </c>
      <c r="E243" s="18">
        <f>'AEO 2023 Table 49 Raw'!H227</f>
        <v>633.80187999999998</v>
      </c>
      <c r="F243" s="18">
        <f>'AEO 2023 Table 49 Raw'!I227</f>
        <v>675.50988800000005</v>
      </c>
      <c r="G243" s="18">
        <f>'AEO 2023 Table 49 Raw'!J227</f>
        <v>706.94268799999998</v>
      </c>
      <c r="H243" s="18">
        <f>'AEO 2023 Table 49 Raw'!K227</f>
        <v>722.332581</v>
      </c>
      <c r="I243" s="18">
        <f>'AEO 2023 Table 49 Raw'!L227</f>
        <v>735.13305700000001</v>
      </c>
      <c r="J243" s="18">
        <f>'AEO 2023 Table 49 Raw'!M227</f>
        <v>739.68627900000001</v>
      </c>
      <c r="K243" s="18">
        <f>'AEO 2023 Table 49 Raw'!N227</f>
        <v>732.18676800000003</v>
      </c>
      <c r="L243" s="18">
        <f>'AEO 2023 Table 49 Raw'!O227</f>
        <v>727.44451900000001</v>
      </c>
      <c r="M243" s="18">
        <f>'AEO 2023 Table 49 Raw'!P227</f>
        <v>736.88232400000004</v>
      </c>
      <c r="N243" s="18">
        <f>'AEO 2023 Table 49 Raw'!Q227</f>
        <v>744.23999000000003</v>
      </c>
      <c r="O243" s="18">
        <f>'AEO 2023 Table 49 Raw'!R227</f>
        <v>734.83605999999997</v>
      </c>
      <c r="P243" s="18">
        <f>'AEO 2023 Table 49 Raw'!S227</f>
        <v>728.68798800000002</v>
      </c>
      <c r="Q243" s="18">
        <f>'AEO 2023 Table 49 Raw'!T227</f>
        <v>730.20495600000004</v>
      </c>
      <c r="R243" s="18">
        <f>'AEO 2023 Table 49 Raw'!U227</f>
        <v>739.506531</v>
      </c>
      <c r="S243" s="18">
        <f>'AEO 2023 Table 49 Raw'!V227</f>
        <v>753.9375</v>
      </c>
      <c r="T243" s="18">
        <f>'AEO 2023 Table 49 Raw'!W227</f>
        <v>769.52655000000004</v>
      </c>
      <c r="U243" s="18">
        <f>'AEO 2023 Table 49 Raw'!X227</f>
        <v>780.50903300000004</v>
      </c>
      <c r="V243" s="18">
        <f>'AEO 2023 Table 49 Raw'!Y227</f>
        <v>785.47686799999997</v>
      </c>
      <c r="W243" s="18">
        <f>'AEO 2023 Table 49 Raw'!Z227</f>
        <v>790.01892099999998</v>
      </c>
      <c r="X243" s="18">
        <f>'AEO 2023 Table 49 Raw'!AA227</f>
        <v>795.15801999999996</v>
      </c>
      <c r="Y243" s="18">
        <f>'AEO 2023 Table 49 Raw'!AB227</f>
        <v>796.85241699999995</v>
      </c>
      <c r="Z243" s="18">
        <f>'AEO 2023 Table 49 Raw'!AC227</f>
        <v>795.20581100000004</v>
      </c>
      <c r="AA243" s="18">
        <f>'AEO 2023 Table 49 Raw'!AD227</f>
        <v>795.78259300000002</v>
      </c>
      <c r="AB243" s="18">
        <f>'AEO 2023 Table 49 Raw'!AE227</f>
        <v>798.57061799999997</v>
      </c>
      <c r="AC243" s="18">
        <f>'AEO 2023 Table 49 Raw'!AF227</f>
        <v>803.84234600000002</v>
      </c>
      <c r="AD243" s="18">
        <f>'AEO 2023 Table 49 Raw'!AG227</f>
        <v>813.56030299999998</v>
      </c>
      <c r="AE243" s="18">
        <f>'AEO 2023 Table 49 Raw'!AH227</f>
        <v>822.402466</v>
      </c>
      <c r="AF243" s="30">
        <f>'AEO 2023 Table 49 Raw'!AI227</f>
        <v>6.0000000000000001E-3</v>
      </c>
    </row>
    <row r="244" spans="1:32" ht="15" customHeight="1">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30"/>
    </row>
    <row r="245" spans="1:32" ht="15" customHeight="1">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30"/>
    </row>
    <row r="246" spans="1:32" ht="15" customHeight="1">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30"/>
    </row>
    <row r="247" spans="1:32" ht="15" customHeight="1">
      <c r="B247" s="15" t="s">
        <v>149</v>
      </c>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30"/>
    </row>
    <row r="248" spans="1:32" ht="12" customHeight="1">
      <c r="A248" s="7" t="s">
        <v>956</v>
      </c>
      <c r="B248" s="16" t="s">
        <v>957</v>
      </c>
      <c r="C248" s="18">
        <f>'AEO 2023 Table 49 Raw'!F229</f>
        <v>1615.891357</v>
      </c>
      <c r="D248" s="18">
        <f>'AEO 2023 Table 49 Raw'!G229</f>
        <v>1600.9323730000001</v>
      </c>
      <c r="E248" s="18">
        <f>'AEO 2023 Table 49 Raw'!H229</f>
        <v>1644.85376</v>
      </c>
      <c r="F248" s="18">
        <f>'AEO 2023 Table 49 Raw'!I229</f>
        <v>1574.5444339999999</v>
      </c>
      <c r="G248" s="18">
        <f>'AEO 2023 Table 49 Raw'!J229</f>
        <v>1499.0898440000001</v>
      </c>
      <c r="H248" s="18">
        <f>'AEO 2023 Table 49 Raw'!K229</f>
        <v>1433.7574460000001</v>
      </c>
      <c r="I248" s="18">
        <f>'AEO 2023 Table 49 Raw'!L229</f>
        <v>1458.376587</v>
      </c>
      <c r="J248" s="18">
        <f>'AEO 2023 Table 49 Raw'!M229</f>
        <v>1434.913818</v>
      </c>
      <c r="K248" s="18">
        <f>'AEO 2023 Table 49 Raw'!N229</f>
        <v>1416.9963379999999</v>
      </c>
      <c r="L248" s="18">
        <f>'AEO 2023 Table 49 Raw'!O229</f>
        <v>1418.5966800000001</v>
      </c>
      <c r="M248" s="18">
        <f>'AEO 2023 Table 49 Raw'!P229</f>
        <v>1430.637817</v>
      </c>
      <c r="N248" s="18">
        <f>'AEO 2023 Table 49 Raw'!Q229</f>
        <v>1440.8774410000001</v>
      </c>
      <c r="O248" s="18">
        <f>'AEO 2023 Table 49 Raw'!R229</f>
        <v>1434.4746090000001</v>
      </c>
      <c r="P248" s="18">
        <f>'AEO 2023 Table 49 Raw'!S229</f>
        <v>1434.338379</v>
      </c>
      <c r="Q248" s="18">
        <f>'AEO 2023 Table 49 Raw'!T229</f>
        <v>1426.081177</v>
      </c>
      <c r="R248" s="18">
        <f>'AEO 2023 Table 49 Raw'!U229</f>
        <v>1427.626587</v>
      </c>
      <c r="S248" s="18">
        <f>'AEO 2023 Table 49 Raw'!V229</f>
        <v>1433.1831050000001</v>
      </c>
      <c r="T248" s="18">
        <f>'AEO 2023 Table 49 Raw'!W229</f>
        <v>1428.119751</v>
      </c>
      <c r="U248" s="18">
        <f>'AEO 2023 Table 49 Raw'!X229</f>
        <v>1434.4642329999999</v>
      </c>
      <c r="V248" s="18">
        <f>'AEO 2023 Table 49 Raw'!Y229</f>
        <v>1438.4960940000001</v>
      </c>
      <c r="W248" s="18">
        <f>'AEO 2023 Table 49 Raw'!Z229</f>
        <v>1442.3275149999999</v>
      </c>
      <c r="X248" s="18">
        <f>'AEO 2023 Table 49 Raw'!AA229</f>
        <v>1442.4663089999999</v>
      </c>
      <c r="Y248" s="18">
        <f>'AEO 2023 Table 49 Raw'!AB229</f>
        <v>1435.6829829999999</v>
      </c>
      <c r="Z248" s="18">
        <f>'AEO 2023 Table 49 Raw'!AC229</f>
        <v>1434.551025</v>
      </c>
      <c r="AA248" s="18">
        <f>'AEO 2023 Table 49 Raw'!AD229</f>
        <v>1435.9487300000001</v>
      </c>
      <c r="AB248" s="18">
        <f>'AEO 2023 Table 49 Raw'!AE229</f>
        <v>1440.077759</v>
      </c>
      <c r="AC248" s="18">
        <f>'AEO 2023 Table 49 Raw'!AF229</f>
        <v>1444.1961670000001</v>
      </c>
      <c r="AD248" s="18">
        <f>'AEO 2023 Table 49 Raw'!AG229</f>
        <v>1447.7235109999999</v>
      </c>
      <c r="AE248" s="18">
        <f>'AEO 2023 Table 49 Raw'!AH229</f>
        <v>1456.248779</v>
      </c>
      <c r="AF248" s="30">
        <f>'AEO 2023 Table 49 Raw'!AI229</f>
        <v>-4.0000000000000001E-3</v>
      </c>
    </row>
    <row r="249" spans="1:32" ht="15" customHeight="1">
      <c r="A249" s="7" t="s">
        <v>958</v>
      </c>
      <c r="B249" s="16" t="s">
        <v>959</v>
      </c>
      <c r="C249" s="18">
        <f>'AEO 2023 Table 49 Raw'!F230</f>
        <v>3.3663400000000001</v>
      </c>
      <c r="D249" s="18">
        <f>'AEO 2023 Table 49 Raw'!G230</f>
        <v>3.3698929999999998</v>
      </c>
      <c r="E249" s="18">
        <f>'AEO 2023 Table 49 Raw'!H230</f>
        <v>3.3734500000000001</v>
      </c>
      <c r="F249" s="18">
        <f>'AEO 2023 Table 49 Raw'!I230</f>
        <v>3.3770099999999998</v>
      </c>
      <c r="G249" s="18">
        <f>'AEO 2023 Table 49 Raw'!J230</f>
        <v>3.3805740000000002</v>
      </c>
      <c r="H249" s="18">
        <f>'AEO 2023 Table 49 Raw'!K230</f>
        <v>3.3841420000000002</v>
      </c>
      <c r="I249" s="18">
        <f>'AEO 2023 Table 49 Raw'!L230</f>
        <v>3.3877130000000002</v>
      </c>
      <c r="J249" s="18">
        <f>'AEO 2023 Table 49 Raw'!M230</f>
        <v>3.391289</v>
      </c>
      <c r="K249" s="18">
        <f>'AEO 2023 Table 49 Raw'!N230</f>
        <v>3.3948680000000002</v>
      </c>
      <c r="L249" s="18">
        <f>'AEO 2023 Table 49 Raw'!O230</f>
        <v>3.3984510000000001</v>
      </c>
      <c r="M249" s="18">
        <f>'AEO 2023 Table 49 Raw'!P230</f>
        <v>3.402037</v>
      </c>
      <c r="N249" s="18">
        <f>'AEO 2023 Table 49 Raw'!Q230</f>
        <v>3.4056280000000001</v>
      </c>
      <c r="O249" s="18">
        <f>'AEO 2023 Table 49 Raw'!R230</f>
        <v>3.4092220000000002</v>
      </c>
      <c r="P249" s="18">
        <f>'AEO 2023 Table 49 Raw'!S230</f>
        <v>3.41282</v>
      </c>
      <c r="Q249" s="18">
        <f>'AEO 2023 Table 49 Raw'!T230</f>
        <v>3.4164219999999998</v>
      </c>
      <c r="R249" s="18">
        <f>'AEO 2023 Table 49 Raw'!U230</f>
        <v>3.4200270000000002</v>
      </c>
      <c r="S249" s="18">
        <f>'AEO 2023 Table 49 Raw'!V230</f>
        <v>3.4236369999999998</v>
      </c>
      <c r="T249" s="18">
        <f>'AEO 2023 Table 49 Raw'!W230</f>
        <v>3.4272499999999999</v>
      </c>
      <c r="U249" s="18">
        <f>'AEO 2023 Table 49 Raw'!X230</f>
        <v>3.4308670000000001</v>
      </c>
      <c r="V249" s="18">
        <f>'AEO 2023 Table 49 Raw'!Y230</f>
        <v>3.434488</v>
      </c>
      <c r="W249" s="18">
        <f>'AEO 2023 Table 49 Raw'!Z230</f>
        <v>3.438113</v>
      </c>
      <c r="X249" s="18">
        <f>'AEO 2023 Table 49 Raw'!AA230</f>
        <v>3.4417409999999999</v>
      </c>
      <c r="Y249" s="18">
        <f>'AEO 2023 Table 49 Raw'!AB230</f>
        <v>3.445373</v>
      </c>
      <c r="Z249" s="18">
        <f>'AEO 2023 Table 49 Raw'!AC230</f>
        <v>3.4490099999999999</v>
      </c>
      <c r="AA249" s="18">
        <f>'AEO 2023 Table 49 Raw'!AD230</f>
        <v>3.4526490000000001</v>
      </c>
      <c r="AB249" s="18">
        <f>'AEO 2023 Table 49 Raw'!AE230</f>
        <v>3.4562930000000001</v>
      </c>
      <c r="AC249" s="18">
        <f>'AEO 2023 Table 49 Raw'!AF230</f>
        <v>3.4599410000000002</v>
      </c>
      <c r="AD249" s="18">
        <f>'AEO 2023 Table 49 Raw'!AG230</f>
        <v>3.4635929999999999</v>
      </c>
      <c r="AE249" s="18">
        <f>'AEO 2023 Table 49 Raw'!AH230</f>
        <v>3.4672480000000001</v>
      </c>
      <c r="AF249" s="30">
        <f>'AEO 2023 Table 49 Raw'!AI230</f>
        <v>1E-3</v>
      </c>
    </row>
    <row r="250" spans="1:32" ht="15" customHeight="1">
      <c r="B250" s="15" t="s">
        <v>960</v>
      </c>
      <c r="C250" s="18">
        <f>'AEO 2023 Table 49 Raw'!F231</f>
        <v>0</v>
      </c>
      <c r="D250" s="18">
        <f>'AEO 2023 Table 49 Raw'!G231</f>
        <v>0</v>
      </c>
      <c r="E250" s="18">
        <f>'AEO 2023 Table 49 Raw'!H231</f>
        <v>0</v>
      </c>
      <c r="F250" s="18">
        <f>'AEO 2023 Table 49 Raw'!I231</f>
        <v>0</v>
      </c>
      <c r="G250" s="18">
        <f>'AEO 2023 Table 49 Raw'!J231</f>
        <v>0</v>
      </c>
      <c r="H250" s="18">
        <f>'AEO 2023 Table 49 Raw'!K231</f>
        <v>0</v>
      </c>
      <c r="I250" s="18">
        <f>'AEO 2023 Table 49 Raw'!L231</f>
        <v>0</v>
      </c>
      <c r="J250" s="18">
        <f>'AEO 2023 Table 49 Raw'!M231</f>
        <v>0</v>
      </c>
      <c r="K250" s="18">
        <f>'AEO 2023 Table 49 Raw'!N231</f>
        <v>0</v>
      </c>
      <c r="L250" s="18">
        <f>'AEO 2023 Table 49 Raw'!O231</f>
        <v>0</v>
      </c>
      <c r="M250" s="18">
        <f>'AEO 2023 Table 49 Raw'!P231</f>
        <v>0</v>
      </c>
      <c r="N250" s="18">
        <f>'AEO 2023 Table 49 Raw'!Q231</f>
        <v>0</v>
      </c>
      <c r="O250" s="18">
        <f>'AEO 2023 Table 49 Raw'!R231</f>
        <v>0</v>
      </c>
      <c r="P250" s="18">
        <f>'AEO 2023 Table 49 Raw'!S231</f>
        <v>0</v>
      </c>
      <c r="Q250" s="18">
        <f>'AEO 2023 Table 49 Raw'!T231</f>
        <v>0</v>
      </c>
      <c r="R250" s="18">
        <f>'AEO 2023 Table 49 Raw'!U231</f>
        <v>0</v>
      </c>
      <c r="S250" s="18">
        <f>'AEO 2023 Table 49 Raw'!V231</f>
        <v>0</v>
      </c>
      <c r="T250" s="18">
        <f>'AEO 2023 Table 49 Raw'!W231</f>
        <v>0</v>
      </c>
      <c r="U250" s="18">
        <f>'AEO 2023 Table 49 Raw'!X231</f>
        <v>0</v>
      </c>
      <c r="V250" s="18">
        <f>'AEO 2023 Table 49 Raw'!Y231</f>
        <v>0</v>
      </c>
      <c r="W250" s="18">
        <f>'AEO 2023 Table 49 Raw'!Z231</f>
        <v>0</v>
      </c>
      <c r="X250" s="18">
        <f>'AEO 2023 Table 49 Raw'!AA231</f>
        <v>0</v>
      </c>
      <c r="Y250" s="18">
        <f>'AEO 2023 Table 49 Raw'!AB231</f>
        <v>0</v>
      </c>
      <c r="Z250" s="18">
        <f>'AEO 2023 Table 49 Raw'!AC231</f>
        <v>0</v>
      </c>
      <c r="AA250" s="18">
        <f>'AEO 2023 Table 49 Raw'!AD231</f>
        <v>0</v>
      </c>
      <c r="AB250" s="18">
        <f>'AEO 2023 Table 49 Raw'!AE231</f>
        <v>0</v>
      </c>
      <c r="AC250" s="18">
        <f>'AEO 2023 Table 49 Raw'!AF231</f>
        <v>0</v>
      </c>
      <c r="AD250" s="18">
        <f>'AEO 2023 Table 49 Raw'!AG231</f>
        <v>0</v>
      </c>
      <c r="AE250" s="18">
        <f>'AEO 2023 Table 49 Raw'!AH231</f>
        <v>0</v>
      </c>
      <c r="AF250" s="30">
        <f>'AEO 2023 Table 49 Raw'!AI231</f>
        <v>0</v>
      </c>
    </row>
    <row r="251" spans="1:32" ht="15" customHeight="1">
      <c r="A251" s="7" t="s">
        <v>961</v>
      </c>
      <c r="B251" s="16" t="s">
        <v>962</v>
      </c>
      <c r="C251" s="18">
        <f>'AEO 2023 Table 49 Raw'!F232</f>
        <v>479.50054899999998</v>
      </c>
      <c r="D251" s="18">
        <f>'AEO 2023 Table 49 Raw'!G232</f>
        <v>474.03872699999999</v>
      </c>
      <c r="E251" s="18">
        <f>'AEO 2023 Table 49 Raw'!H232</f>
        <v>485.99523900000003</v>
      </c>
      <c r="F251" s="18">
        <f>'AEO 2023 Table 49 Raw'!I232</f>
        <v>464.21972699999998</v>
      </c>
      <c r="G251" s="18">
        <f>'AEO 2023 Table 49 Raw'!J232</f>
        <v>440.84536700000001</v>
      </c>
      <c r="H251" s="18">
        <f>'AEO 2023 Table 49 Raw'!K232</f>
        <v>420.34588600000001</v>
      </c>
      <c r="I251" s="18">
        <f>'AEO 2023 Table 49 Raw'!L232</f>
        <v>426.04513500000002</v>
      </c>
      <c r="J251" s="18">
        <f>'AEO 2023 Table 49 Raw'!M232</f>
        <v>417.49258400000002</v>
      </c>
      <c r="K251" s="18">
        <f>'AEO 2023 Table 49 Raw'!N232</f>
        <v>410.40325899999999</v>
      </c>
      <c r="L251" s="18">
        <f>'AEO 2023 Table 49 Raw'!O232</f>
        <v>408.79193099999998</v>
      </c>
      <c r="M251" s="18">
        <f>'AEO 2023 Table 49 Raw'!P232</f>
        <v>409.76800500000002</v>
      </c>
      <c r="N251" s="18">
        <f>'AEO 2023 Table 49 Raw'!Q232</f>
        <v>409.79217499999999</v>
      </c>
      <c r="O251" s="18">
        <f>'AEO 2023 Table 49 Raw'!R232</f>
        <v>404.68826300000001</v>
      </c>
      <c r="P251" s="18">
        <f>'AEO 2023 Table 49 Raw'!S232</f>
        <v>400.98950200000002</v>
      </c>
      <c r="Q251" s="18">
        <f>'AEO 2023 Table 49 Raw'!T232</f>
        <v>394.67639200000002</v>
      </c>
      <c r="R251" s="18">
        <f>'AEO 2023 Table 49 Raw'!U232</f>
        <v>390.74063100000001</v>
      </c>
      <c r="S251" s="18">
        <f>'AEO 2023 Table 49 Raw'!V232</f>
        <v>387.53753699999999</v>
      </c>
      <c r="T251" s="18">
        <f>'AEO 2023 Table 49 Raw'!W232</f>
        <v>381.13217200000003</v>
      </c>
      <c r="U251" s="18">
        <f>'AEO 2023 Table 49 Raw'!X232</f>
        <v>377.45034800000002</v>
      </c>
      <c r="V251" s="18">
        <f>'AEO 2023 Table 49 Raw'!Y232</f>
        <v>372.81863399999997</v>
      </c>
      <c r="W251" s="18">
        <f>'AEO 2023 Table 49 Raw'!Z232</f>
        <v>367.81625400000001</v>
      </c>
      <c r="X251" s="18">
        <f>'AEO 2023 Table 49 Raw'!AA232</f>
        <v>361.58444200000002</v>
      </c>
      <c r="Y251" s="18">
        <f>'AEO 2023 Table 49 Raw'!AB232</f>
        <v>353.39300500000002</v>
      </c>
      <c r="Z251" s="18">
        <f>'AEO 2023 Table 49 Raw'!AC232</f>
        <v>346.39276100000001</v>
      </c>
      <c r="AA251" s="18">
        <f>'AEO 2023 Table 49 Raw'!AD232</f>
        <v>339.78375199999999</v>
      </c>
      <c r="AB251" s="18">
        <f>'AEO 2023 Table 49 Raw'!AE232</f>
        <v>332.59033199999999</v>
      </c>
      <c r="AC251" s="18">
        <f>'AEO 2023 Table 49 Raw'!AF232</f>
        <v>325.54409800000002</v>
      </c>
      <c r="AD251" s="18">
        <f>'AEO 2023 Table 49 Raw'!AG232</f>
        <v>318.51464800000002</v>
      </c>
      <c r="AE251" s="18">
        <f>'AEO 2023 Table 49 Raw'!AH232</f>
        <v>312.70816000000002</v>
      </c>
      <c r="AF251" s="30">
        <f>'AEO 2023 Table 49 Raw'!AI232</f>
        <v>-1.4999999999999999E-2</v>
      </c>
    </row>
    <row r="252" spans="1:32" ht="12" customHeight="1">
      <c r="A252" s="7" t="s">
        <v>963</v>
      </c>
      <c r="B252" s="16" t="s">
        <v>964</v>
      </c>
      <c r="C252" s="18">
        <f>'AEO 2023 Table 49 Raw'!F233</f>
        <v>0</v>
      </c>
      <c r="D252" s="18">
        <f>'AEO 2023 Table 49 Raw'!G233</f>
        <v>0</v>
      </c>
      <c r="E252" s="18">
        <f>'AEO 2023 Table 49 Raw'!H233</f>
        <v>0</v>
      </c>
      <c r="F252" s="18">
        <f>'AEO 2023 Table 49 Raw'!I233</f>
        <v>0</v>
      </c>
      <c r="G252" s="18">
        <f>'AEO 2023 Table 49 Raw'!J233</f>
        <v>0</v>
      </c>
      <c r="H252" s="18">
        <f>'AEO 2023 Table 49 Raw'!K233</f>
        <v>0</v>
      </c>
      <c r="I252" s="18">
        <f>'AEO 2023 Table 49 Raw'!L233</f>
        <v>0</v>
      </c>
      <c r="J252" s="18">
        <f>'AEO 2023 Table 49 Raw'!M233</f>
        <v>0</v>
      </c>
      <c r="K252" s="18">
        <f>'AEO 2023 Table 49 Raw'!N233</f>
        <v>0</v>
      </c>
      <c r="L252" s="18">
        <f>'AEO 2023 Table 49 Raw'!O233</f>
        <v>0</v>
      </c>
      <c r="M252" s="18">
        <f>'AEO 2023 Table 49 Raw'!P233</f>
        <v>0</v>
      </c>
      <c r="N252" s="18">
        <f>'AEO 2023 Table 49 Raw'!Q233</f>
        <v>0</v>
      </c>
      <c r="O252" s="18">
        <f>'AEO 2023 Table 49 Raw'!R233</f>
        <v>0</v>
      </c>
      <c r="P252" s="18">
        <f>'AEO 2023 Table 49 Raw'!S233</f>
        <v>0</v>
      </c>
      <c r="Q252" s="18">
        <f>'AEO 2023 Table 49 Raw'!T233</f>
        <v>0</v>
      </c>
      <c r="R252" s="18">
        <f>'AEO 2023 Table 49 Raw'!U233</f>
        <v>0</v>
      </c>
      <c r="S252" s="18">
        <f>'AEO 2023 Table 49 Raw'!V233</f>
        <v>0</v>
      </c>
      <c r="T252" s="18">
        <f>'AEO 2023 Table 49 Raw'!W233</f>
        <v>0</v>
      </c>
      <c r="U252" s="18">
        <f>'AEO 2023 Table 49 Raw'!X233</f>
        <v>0</v>
      </c>
      <c r="V252" s="18">
        <f>'AEO 2023 Table 49 Raw'!Y233</f>
        <v>0</v>
      </c>
      <c r="W252" s="18">
        <f>'AEO 2023 Table 49 Raw'!Z233</f>
        <v>0</v>
      </c>
      <c r="X252" s="18">
        <f>'AEO 2023 Table 49 Raw'!AA233</f>
        <v>0</v>
      </c>
      <c r="Y252" s="18">
        <f>'AEO 2023 Table 49 Raw'!AB233</f>
        <v>0</v>
      </c>
      <c r="Z252" s="18">
        <f>'AEO 2023 Table 49 Raw'!AC233</f>
        <v>0</v>
      </c>
      <c r="AA252" s="18">
        <f>'AEO 2023 Table 49 Raw'!AD233</f>
        <v>0</v>
      </c>
      <c r="AB252" s="18">
        <f>'AEO 2023 Table 49 Raw'!AE233</f>
        <v>0</v>
      </c>
      <c r="AC252" s="18">
        <f>'AEO 2023 Table 49 Raw'!AF233</f>
        <v>0</v>
      </c>
      <c r="AD252" s="18">
        <f>'AEO 2023 Table 49 Raw'!AG233</f>
        <v>0</v>
      </c>
      <c r="AE252" s="18">
        <f>'AEO 2023 Table 49 Raw'!AH233</f>
        <v>0</v>
      </c>
      <c r="AF252" s="30" t="str">
        <f>'AEO 2023 Table 49 Raw'!AI233</f>
        <v>- -</v>
      </c>
    </row>
    <row r="253" spans="1:32" ht="15" customHeight="1">
      <c r="A253" s="7" t="s">
        <v>965</v>
      </c>
      <c r="B253" s="16" t="s">
        <v>966</v>
      </c>
      <c r="C253" s="18">
        <f>'AEO 2023 Table 49 Raw'!F234</f>
        <v>0</v>
      </c>
      <c r="D253" s="18">
        <f>'AEO 2023 Table 49 Raw'!G234</f>
        <v>0</v>
      </c>
      <c r="E253" s="18">
        <f>'AEO 2023 Table 49 Raw'!H234</f>
        <v>0</v>
      </c>
      <c r="F253" s="18">
        <f>'AEO 2023 Table 49 Raw'!I234</f>
        <v>0</v>
      </c>
      <c r="G253" s="18">
        <f>'AEO 2023 Table 49 Raw'!J234</f>
        <v>0</v>
      </c>
      <c r="H253" s="18">
        <f>'AEO 2023 Table 49 Raw'!K234</f>
        <v>0</v>
      </c>
      <c r="I253" s="18">
        <f>'AEO 2023 Table 49 Raw'!L234</f>
        <v>0</v>
      </c>
      <c r="J253" s="18">
        <f>'AEO 2023 Table 49 Raw'!M234</f>
        <v>0</v>
      </c>
      <c r="K253" s="18">
        <f>'AEO 2023 Table 49 Raw'!N234</f>
        <v>0</v>
      </c>
      <c r="L253" s="18">
        <f>'AEO 2023 Table 49 Raw'!O234</f>
        <v>0</v>
      </c>
      <c r="M253" s="18">
        <f>'AEO 2023 Table 49 Raw'!P234</f>
        <v>0</v>
      </c>
      <c r="N253" s="18">
        <f>'AEO 2023 Table 49 Raw'!Q234</f>
        <v>0</v>
      </c>
      <c r="O253" s="18">
        <f>'AEO 2023 Table 49 Raw'!R234</f>
        <v>0</v>
      </c>
      <c r="P253" s="18">
        <f>'AEO 2023 Table 49 Raw'!S234</f>
        <v>0</v>
      </c>
      <c r="Q253" s="18">
        <f>'AEO 2023 Table 49 Raw'!T234</f>
        <v>0</v>
      </c>
      <c r="R253" s="18">
        <f>'AEO 2023 Table 49 Raw'!U234</f>
        <v>0</v>
      </c>
      <c r="S253" s="18">
        <f>'AEO 2023 Table 49 Raw'!V234</f>
        <v>0</v>
      </c>
      <c r="T253" s="18">
        <f>'AEO 2023 Table 49 Raw'!W234</f>
        <v>0</v>
      </c>
      <c r="U253" s="18">
        <f>'AEO 2023 Table 49 Raw'!X234</f>
        <v>0</v>
      </c>
      <c r="V253" s="18">
        <f>'AEO 2023 Table 49 Raw'!Y234</f>
        <v>0</v>
      </c>
      <c r="W253" s="18">
        <f>'AEO 2023 Table 49 Raw'!Z234</f>
        <v>0</v>
      </c>
      <c r="X253" s="18">
        <f>'AEO 2023 Table 49 Raw'!AA234</f>
        <v>0</v>
      </c>
      <c r="Y253" s="18">
        <f>'AEO 2023 Table 49 Raw'!AB234</f>
        <v>0</v>
      </c>
      <c r="Z253" s="18">
        <f>'AEO 2023 Table 49 Raw'!AC234</f>
        <v>0</v>
      </c>
      <c r="AA253" s="18">
        <f>'AEO 2023 Table 49 Raw'!AD234</f>
        <v>0</v>
      </c>
      <c r="AB253" s="18">
        <f>'AEO 2023 Table 49 Raw'!AE234</f>
        <v>0</v>
      </c>
      <c r="AC253" s="18">
        <f>'AEO 2023 Table 49 Raw'!AF234</f>
        <v>0</v>
      </c>
      <c r="AD253" s="18">
        <f>'AEO 2023 Table 49 Raw'!AG234</f>
        <v>0</v>
      </c>
      <c r="AE253" s="18">
        <f>'AEO 2023 Table 49 Raw'!AH234</f>
        <v>0</v>
      </c>
      <c r="AF253" s="30" t="str">
        <f>'AEO 2023 Table 49 Raw'!AI234</f>
        <v>- -</v>
      </c>
    </row>
    <row r="254" spans="1:32" ht="15" customHeight="1">
      <c r="A254" s="7" t="s">
        <v>967</v>
      </c>
      <c r="B254" s="16" t="s">
        <v>968</v>
      </c>
      <c r="C254" s="18">
        <f>'AEO 2023 Table 49 Raw'!F235</f>
        <v>0.51370000000000005</v>
      </c>
      <c r="D254" s="18">
        <f>'AEO 2023 Table 49 Raw'!G235</f>
        <v>1.0304249999999999</v>
      </c>
      <c r="E254" s="18">
        <f>'AEO 2023 Table 49 Raw'!H235</f>
        <v>1.592762</v>
      </c>
      <c r="F254" s="18">
        <f>'AEO 2023 Table 49 Raw'!I235</f>
        <v>2.0342750000000001</v>
      </c>
      <c r="G254" s="18">
        <f>'AEO 2023 Table 49 Raw'!J235</f>
        <v>2.5970089999999999</v>
      </c>
      <c r="H254" s="18">
        <f>'AEO 2023 Table 49 Raw'!K235</f>
        <v>3.3235860000000002</v>
      </c>
      <c r="I254" s="18">
        <f>'AEO 2023 Table 49 Raw'!L235</f>
        <v>4.4448740000000004</v>
      </c>
      <c r="J254" s="18">
        <f>'AEO 2023 Table 49 Raw'!M235</f>
        <v>5.6249989999999999</v>
      </c>
      <c r="K254" s="18">
        <f>'AEO 2023 Table 49 Raw'!N235</f>
        <v>6.990361</v>
      </c>
      <c r="L254" s="18">
        <f>'AEO 2023 Table 49 Raw'!O235</f>
        <v>8.632612</v>
      </c>
      <c r="M254" s="18">
        <f>'AEO 2023 Table 49 Raw'!P235</f>
        <v>10.755844</v>
      </c>
      <c r="N254" s="18">
        <f>'AEO 2023 Table 49 Raw'!Q235</f>
        <v>13.295000999999999</v>
      </c>
      <c r="O254" s="18">
        <f>'AEO 2023 Table 49 Raw'!R235</f>
        <v>16.074755</v>
      </c>
      <c r="P254" s="18">
        <f>'AEO 2023 Table 49 Raw'!S235</f>
        <v>19.290071000000001</v>
      </c>
      <c r="Q254" s="18">
        <f>'AEO 2023 Table 49 Raw'!T235</f>
        <v>22.743151000000001</v>
      </c>
      <c r="R254" s="18">
        <f>'AEO 2023 Table 49 Raw'!U235</f>
        <v>26.690667999999999</v>
      </c>
      <c r="S254" s="18">
        <f>'AEO 2023 Table 49 Raw'!V235</f>
        <v>31.076626000000001</v>
      </c>
      <c r="T254" s="18">
        <f>'AEO 2023 Table 49 Raw'!W235</f>
        <v>35.563327999999998</v>
      </c>
      <c r="U254" s="18">
        <f>'AEO 2023 Table 49 Raw'!X235</f>
        <v>40.655144</v>
      </c>
      <c r="V254" s="18">
        <f>'AEO 2023 Table 49 Raw'!Y235</f>
        <v>46.020004</v>
      </c>
      <c r="W254" s="18">
        <f>'AEO 2023 Table 49 Raw'!Z235</f>
        <v>51.695194000000001</v>
      </c>
      <c r="X254" s="18">
        <f>'AEO 2023 Table 49 Raw'!AA235</f>
        <v>57.525084999999997</v>
      </c>
      <c r="Y254" s="18">
        <f>'AEO 2023 Table 49 Raw'!AB235</f>
        <v>63.305785999999998</v>
      </c>
      <c r="Z254" s="18">
        <f>'AEO 2023 Table 49 Raw'!AC235</f>
        <v>69.538535999999993</v>
      </c>
      <c r="AA254" s="18">
        <f>'AEO 2023 Table 49 Raw'!AD235</f>
        <v>76.113838000000001</v>
      </c>
      <c r="AB254" s="18">
        <f>'AEO 2023 Table 49 Raw'!AE235</f>
        <v>84.063445999999999</v>
      </c>
      <c r="AC254" s="18">
        <f>'AEO 2023 Table 49 Raw'!AF235</f>
        <v>91.860686999999999</v>
      </c>
      <c r="AD254" s="18">
        <f>'AEO 2023 Table 49 Raw'!AG235</f>
        <v>99.468627999999995</v>
      </c>
      <c r="AE254" s="18">
        <f>'AEO 2023 Table 49 Raw'!AH235</f>
        <v>107.29312899999999</v>
      </c>
      <c r="AF254" s="30">
        <f>'AEO 2023 Table 49 Raw'!AI235</f>
        <v>0.21</v>
      </c>
    </row>
    <row r="255" spans="1:32" ht="12" customHeight="1">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30"/>
    </row>
    <row r="256" spans="1:32" ht="15" customHeight="1">
      <c r="B256" s="15" t="s">
        <v>150</v>
      </c>
      <c r="C256" s="18">
        <f>'AEO 2023 Table 49 Raw'!F237</f>
        <v>444.89962800000001</v>
      </c>
      <c r="D256" s="18">
        <f>'AEO 2023 Table 49 Raw'!G237</f>
        <v>448.76980600000002</v>
      </c>
      <c r="E256" s="18">
        <f>'AEO 2023 Table 49 Raw'!H237</f>
        <v>442.17297400000001</v>
      </c>
      <c r="F256" s="18">
        <f>'AEO 2023 Table 49 Raw'!I237</f>
        <v>437.82516500000003</v>
      </c>
      <c r="G256" s="18">
        <f>'AEO 2023 Table 49 Raw'!J237</f>
        <v>434.28051799999997</v>
      </c>
      <c r="H256" s="18">
        <f>'AEO 2023 Table 49 Raw'!K237</f>
        <v>430.10589599999997</v>
      </c>
      <c r="I256" s="18">
        <f>'AEO 2023 Table 49 Raw'!L237</f>
        <v>425.93753099999998</v>
      </c>
      <c r="J256" s="18">
        <f>'AEO 2023 Table 49 Raw'!M237</f>
        <v>421.246399</v>
      </c>
      <c r="K256" s="18">
        <f>'AEO 2023 Table 49 Raw'!N237</f>
        <v>417.12356599999998</v>
      </c>
      <c r="L256" s="18">
        <f>'AEO 2023 Table 49 Raw'!O237</f>
        <v>413.34899899999999</v>
      </c>
      <c r="M256" s="18">
        <f>'AEO 2023 Table 49 Raw'!P237</f>
        <v>410.79986600000001</v>
      </c>
      <c r="N256" s="18">
        <f>'AEO 2023 Table 49 Raw'!Q237</f>
        <v>408.26834100000002</v>
      </c>
      <c r="O256" s="18">
        <f>'AEO 2023 Table 49 Raw'!R237</f>
        <v>404.54150399999997</v>
      </c>
      <c r="P256" s="18">
        <f>'AEO 2023 Table 49 Raw'!S237</f>
        <v>400.73419200000001</v>
      </c>
      <c r="Q256" s="18">
        <f>'AEO 2023 Table 49 Raw'!T237</f>
        <v>396.48425300000002</v>
      </c>
      <c r="R256" s="18">
        <f>'AEO 2023 Table 49 Raw'!U237</f>
        <v>393.49023399999999</v>
      </c>
      <c r="S256" s="18">
        <f>'AEO 2023 Table 49 Raw'!V237</f>
        <v>390.38732900000002</v>
      </c>
      <c r="T256" s="18">
        <f>'AEO 2023 Table 49 Raw'!W237</f>
        <v>387.22555499999999</v>
      </c>
      <c r="U256" s="18">
        <f>'AEO 2023 Table 49 Raw'!X237</f>
        <v>384.34295700000001</v>
      </c>
      <c r="V256" s="18">
        <f>'AEO 2023 Table 49 Raw'!Y237</f>
        <v>381.26913500000001</v>
      </c>
      <c r="W256" s="18">
        <f>'AEO 2023 Table 49 Raw'!Z237</f>
        <v>378.72885100000002</v>
      </c>
      <c r="X256" s="18">
        <f>'AEO 2023 Table 49 Raw'!AA237</f>
        <v>376.320831</v>
      </c>
      <c r="Y256" s="18">
        <f>'AEO 2023 Table 49 Raw'!AB237</f>
        <v>373.83056599999998</v>
      </c>
      <c r="Z256" s="18">
        <f>'AEO 2023 Table 49 Raw'!AC237</f>
        <v>371.47833300000002</v>
      </c>
      <c r="AA256" s="18">
        <f>'AEO 2023 Table 49 Raw'!AD237</f>
        <v>369.30810500000001</v>
      </c>
      <c r="AB256" s="18">
        <f>'AEO 2023 Table 49 Raw'!AE237</f>
        <v>366.82132000000001</v>
      </c>
      <c r="AC256" s="18">
        <f>'AEO 2023 Table 49 Raw'!AF237</f>
        <v>364.14447000000001</v>
      </c>
      <c r="AD256" s="18">
        <f>'AEO 2023 Table 49 Raw'!AG237</f>
        <v>362.368134</v>
      </c>
      <c r="AE256" s="18">
        <f>'AEO 2023 Table 49 Raw'!AH237</f>
        <v>360.92669699999999</v>
      </c>
      <c r="AF256" s="30">
        <f>'AEO 2023 Table 49 Raw'!AI237</f>
        <v>-7.0000000000000001E-3</v>
      </c>
    </row>
    <row r="257" spans="1:32" ht="15" customHeight="1">
      <c r="A257" s="7" t="s">
        <v>969</v>
      </c>
      <c r="B257" s="16" t="s">
        <v>970</v>
      </c>
      <c r="C257" s="18">
        <f>'AEO 2023 Table 49 Raw'!F238</f>
        <v>4.8202259999999999</v>
      </c>
      <c r="D257" s="18">
        <f>'AEO 2023 Table 49 Raw'!G238</f>
        <v>4.8389660000000001</v>
      </c>
      <c r="E257" s="18">
        <f>'AEO 2023 Table 49 Raw'!H238</f>
        <v>4.8577789999999998</v>
      </c>
      <c r="F257" s="18">
        <f>'AEO 2023 Table 49 Raw'!I238</f>
        <v>4.876665</v>
      </c>
      <c r="G257" s="18">
        <f>'AEO 2023 Table 49 Raw'!J238</f>
        <v>4.8956239999999998</v>
      </c>
      <c r="H257" s="18">
        <f>'AEO 2023 Table 49 Raw'!K238</f>
        <v>4.9146570000000001</v>
      </c>
      <c r="I257" s="18">
        <f>'AEO 2023 Table 49 Raw'!L238</f>
        <v>4.933764</v>
      </c>
      <c r="J257" s="18">
        <f>'AEO 2023 Table 49 Raw'!M238</f>
        <v>4.9529449999999997</v>
      </c>
      <c r="K257" s="18">
        <f>'AEO 2023 Table 49 Raw'!N238</f>
        <v>4.9722</v>
      </c>
      <c r="L257" s="18">
        <f>'AEO 2023 Table 49 Raw'!O238</f>
        <v>4.9915310000000002</v>
      </c>
      <c r="M257" s="18">
        <f>'AEO 2023 Table 49 Raw'!P238</f>
        <v>5.0109370000000002</v>
      </c>
      <c r="N257" s="18">
        <f>'AEO 2023 Table 49 Raw'!Q238</f>
        <v>5.0304180000000001</v>
      </c>
      <c r="O257" s="18">
        <f>'AEO 2023 Table 49 Raw'!R238</f>
        <v>5.0499749999999999</v>
      </c>
      <c r="P257" s="18">
        <f>'AEO 2023 Table 49 Raw'!S238</f>
        <v>5.0696079999999997</v>
      </c>
      <c r="Q257" s="18">
        <f>'AEO 2023 Table 49 Raw'!T238</f>
        <v>5.0893170000000003</v>
      </c>
      <c r="R257" s="18">
        <f>'AEO 2023 Table 49 Raw'!U238</f>
        <v>5.1091030000000002</v>
      </c>
      <c r="S257" s="18">
        <f>'AEO 2023 Table 49 Raw'!V238</f>
        <v>5.1289660000000001</v>
      </c>
      <c r="T257" s="18">
        <f>'AEO 2023 Table 49 Raw'!W238</f>
        <v>5.1489060000000002</v>
      </c>
      <c r="U257" s="18">
        <f>'AEO 2023 Table 49 Raw'!X238</f>
        <v>5.1689230000000004</v>
      </c>
      <c r="V257" s="18">
        <f>'AEO 2023 Table 49 Raw'!Y238</f>
        <v>5.189019</v>
      </c>
      <c r="W257" s="18">
        <f>'AEO 2023 Table 49 Raw'!Z238</f>
        <v>5.2091919999999998</v>
      </c>
      <c r="X257" s="18">
        <f>'AEO 2023 Table 49 Raw'!AA238</f>
        <v>5.2294450000000001</v>
      </c>
      <c r="Y257" s="18">
        <f>'AEO 2023 Table 49 Raw'!AB238</f>
        <v>5.2497749999999996</v>
      </c>
      <c r="Z257" s="18">
        <f>'AEO 2023 Table 49 Raw'!AC238</f>
        <v>5.2701849999999997</v>
      </c>
      <c r="AA257" s="18">
        <f>'AEO 2023 Table 49 Raw'!AD238</f>
        <v>5.2906740000000001</v>
      </c>
      <c r="AB257" s="18">
        <f>'AEO 2023 Table 49 Raw'!AE238</f>
        <v>5.3112430000000002</v>
      </c>
      <c r="AC257" s="18">
        <f>'AEO 2023 Table 49 Raw'!AF238</f>
        <v>5.3318919999999999</v>
      </c>
      <c r="AD257" s="18">
        <f>'AEO 2023 Table 49 Raw'!AG238</f>
        <v>5.3526210000000001</v>
      </c>
      <c r="AE257" s="18">
        <f>'AEO 2023 Table 49 Raw'!AH238</f>
        <v>5.3734299999999999</v>
      </c>
      <c r="AF257" s="30">
        <f>'AEO 2023 Table 49 Raw'!AI238</f>
        <v>4.0000000000000001E-3</v>
      </c>
    </row>
    <row r="258" spans="1:32" ht="15" customHeight="1">
      <c r="A258" s="7" t="s">
        <v>971</v>
      </c>
      <c r="B258" s="16" t="s">
        <v>959</v>
      </c>
      <c r="C258" s="18">
        <f>'AEO 2023 Table 49 Raw'!F239</f>
        <v>0</v>
      </c>
      <c r="D258" s="18">
        <f>'AEO 2023 Table 49 Raw'!G239</f>
        <v>0</v>
      </c>
      <c r="E258" s="18">
        <f>'AEO 2023 Table 49 Raw'!H239</f>
        <v>0</v>
      </c>
      <c r="F258" s="18">
        <f>'AEO 2023 Table 49 Raw'!I239</f>
        <v>0</v>
      </c>
      <c r="G258" s="18">
        <f>'AEO 2023 Table 49 Raw'!J239</f>
        <v>0</v>
      </c>
      <c r="H258" s="18">
        <f>'AEO 2023 Table 49 Raw'!K239</f>
        <v>0</v>
      </c>
      <c r="I258" s="18">
        <f>'AEO 2023 Table 49 Raw'!L239</f>
        <v>0</v>
      </c>
      <c r="J258" s="18">
        <f>'AEO 2023 Table 49 Raw'!M239</f>
        <v>0</v>
      </c>
      <c r="K258" s="18">
        <f>'AEO 2023 Table 49 Raw'!N239</f>
        <v>0</v>
      </c>
      <c r="L258" s="18">
        <f>'AEO 2023 Table 49 Raw'!O239</f>
        <v>0</v>
      </c>
      <c r="M258" s="18">
        <f>'AEO 2023 Table 49 Raw'!P239</f>
        <v>0</v>
      </c>
      <c r="N258" s="18">
        <f>'AEO 2023 Table 49 Raw'!Q239</f>
        <v>0</v>
      </c>
      <c r="O258" s="18">
        <f>'AEO 2023 Table 49 Raw'!R239</f>
        <v>0</v>
      </c>
      <c r="P258" s="18">
        <f>'AEO 2023 Table 49 Raw'!S239</f>
        <v>0</v>
      </c>
      <c r="Q258" s="18">
        <f>'AEO 2023 Table 49 Raw'!T239</f>
        <v>0</v>
      </c>
      <c r="R258" s="18">
        <f>'AEO 2023 Table 49 Raw'!U239</f>
        <v>0</v>
      </c>
      <c r="S258" s="18">
        <f>'AEO 2023 Table 49 Raw'!V239</f>
        <v>0</v>
      </c>
      <c r="T258" s="18">
        <f>'AEO 2023 Table 49 Raw'!W239</f>
        <v>0</v>
      </c>
      <c r="U258" s="18">
        <f>'AEO 2023 Table 49 Raw'!X239</f>
        <v>0</v>
      </c>
      <c r="V258" s="18">
        <f>'AEO 2023 Table 49 Raw'!Y239</f>
        <v>0</v>
      </c>
      <c r="W258" s="18">
        <f>'AEO 2023 Table 49 Raw'!Z239</f>
        <v>0</v>
      </c>
      <c r="X258" s="18">
        <f>'AEO 2023 Table 49 Raw'!AA239</f>
        <v>0</v>
      </c>
      <c r="Y258" s="18">
        <f>'AEO 2023 Table 49 Raw'!AB239</f>
        <v>0</v>
      </c>
      <c r="Z258" s="18">
        <f>'AEO 2023 Table 49 Raw'!AC239</f>
        <v>0</v>
      </c>
      <c r="AA258" s="18">
        <f>'AEO 2023 Table 49 Raw'!AD239</f>
        <v>0</v>
      </c>
      <c r="AB258" s="18">
        <f>'AEO 2023 Table 49 Raw'!AE239</f>
        <v>0</v>
      </c>
      <c r="AC258" s="18">
        <f>'AEO 2023 Table 49 Raw'!AF239</f>
        <v>0</v>
      </c>
      <c r="AD258" s="18">
        <f>'AEO 2023 Table 49 Raw'!AG239</f>
        <v>0</v>
      </c>
      <c r="AE258" s="18">
        <f>'AEO 2023 Table 49 Raw'!AH239</f>
        <v>0</v>
      </c>
      <c r="AF258" s="30">
        <f>'AEO 2023 Table 49 Raw'!AI239</f>
        <v>0</v>
      </c>
    </row>
    <row r="259" spans="1:32" ht="15" customHeight="1">
      <c r="B259" s="15" t="s">
        <v>960</v>
      </c>
      <c r="C259" s="18">
        <f>'AEO 2023 Table 49 Raw'!F240</f>
        <v>95.724982999999995</v>
      </c>
      <c r="D259" s="18">
        <f>'AEO 2023 Table 49 Raw'!G240</f>
        <v>96.054596000000004</v>
      </c>
      <c r="E259" s="18">
        <f>'AEO 2023 Table 49 Raw'!H240</f>
        <v>94.300528999999997</v>
      </c>
      <c r="F259" s="18">
        <f>'AEO 2023 Table 49 Raw'!I240</f>
        <v>93.061104</v>
      </c>
      <c r="G259" s="18">
        <f>'AEO 2023 Table 49 Raw'!J240</f>
        <v>92.019790999999998</v>
      </c>
      <c r="H259" s="18">
        <f>'AEO 2023 Table 49 Raw'!K240</f>
        <v>90.828117000000006</v>
      </c>
      <c r="I259" s="18">
        <f>'AEO 2023 Table 49 Raw'!L240</f>
        <v>89.649428999999998</v>
      </c>
      <c r="J259" s="18">
        <f>'AEO 2023 Table 49 Raw'!M240</f>
        <v>88.356209000000007</v>
      </c>
      <c r="K259" s="18">
        <f>'AEO 2023 Table 49 Raw'!N240</f>
        <v>87.201087999999999</v>
      </c>
      <c r="L259" s="18">
        <f>'AEO 2023 Table 49 Raw'!O240</f>
        <v>86.125823999999994</v>
      </c>
      <c r="M259" s="18">
        <f>'AEO 2023 Table 49 Raw'!P240</f>
        <v>85.299721000000005</v>
      </c>
      <c r="N259" s="18">
        <f>'AEO 2023 Table 49 Raw'!Q240</f>
        <v>84.472412000000006</v>
      </c>
      <c r="O259" s="18">
        <f>'AEO 2023 Table 49 Raw'!R240</f>
        <v>83.403960999999995</v>
      </c>
      <c r="P259" s="18">
        <f>'AEO 2023 Table 49 Raw'!S240</f>
        <v>82.337638999999996</v>
      </c>
      <c r="Q259" s="18">
        <f>'AEO 2023 Table 49 Raw'!T240</f>
        <v>81.183998000000003</v>
      </c>
      <c r="R259" s="18">
        <f>'AEO 2023 Table 49 Raw'!U240</f>
        <v>80.288261000000006</v>
      </c>
      <c r="S259" s="18">
        <f>'AEO 2023 Table 49 Raw'!V240</f>
        <v>79.383635999999996</v>
      </c>
      <c r="T259" s="18">
        <f>'AEO 2023 Table 49 Raw'!W240</f>
        <v>78.475121000000001</v>
      </c>
      <c r="U259" s="18">
        <f>'AEO 2023 Table 49 Raw'!X240</f>
        <v>77.575965999999994</v>
      </c>
      <c r="V259" s="18">
        <f>'AEO 2023 Table 49 Raw'!Y240</f>
        <v>76.576674999999994</v>
      </c>
      <c r="W259" s="18">
        <f>'AEO 2023 Table 49 Raw'!Z240</f>
        <v>75.68486</v>
      </c>
      <c r="X259" s="18">
        <f>'AEO 2023 Table 49 Raw'!AA240</f>
        <v>74.817138999999997</v>
      </c>
      <c r="Y259" s="18">
        <f>'AEO 2023 Table 49 Raw'!AB240</f>
        <v>73.935744999999997</v>
      </c>
      <c r="Z259" s="18">
        <f>'AEO 2023 Table 49 Raw'!AC240</f>
        <v>73.078468000000001</v>
      </c>
      <c r="AA259" s="18">
        <f>'AEO 2023 Table 49 Raw'!AD240</f>
        <v>72.250061000000002</v>
      </c>
      <c r="AB259" s="18">
        <f>'AEO 2023 Table 49 Raw'!AE240</f>
        <v>71.356705000000005</v>
      </c>
      <c r="AC259" s="18">
        <f>'AEO 2023 Table 49 Raw'!AF240</f>
        <v>70.429787000000005</v>
      </c>
      <c r="AD259" s="18">
        <f>'AEO 2023 Table 49 Raw'!AG240</f>
        <v>69.678925000000007</v>
      </c>
      <c r="AE259" s="18">
        <f>'AEO 2023 Table 49 Raw'!AH240</f>
        <v>68.982085999999995</v>
      </c>
      <c r="AF259" s="30">
        <f>'AEO 2023 Table 49 Raw'!AI240</f>
        <v>-1.2E-2</v>
      </c>
    </row>
    <row r="260" spans="1:32" ht="15" customHeight="1">
      <c r="A260" s="7" t="s">
        <v>972</v>
      </c>
      <c r="B260" s="16" t="s">
        <v>962</v>
      </c>
      <c r="C260" s="18">
        <f>'AEO 2023 Table 49 Raw'!F241</f>
        <v>1.8762760000000001</v>
      </c>
      <c r="D260" s="18">
        <f>'AEO 2023 Table 49 Raw'!G241</f>
        <v>1.801599</v>
      </c>
      <c r="E260" s="18">
        <f>'AEO 2023 Table 49 Raw'!H241</f>
        <v>1.689384</v>
      </c>
      <c r="F260" s="18">
        <f>'AEO 2023 Table 49 Raw'!I241</f>
        <v>1.58982</v>
      </c>
      <c r="G260" s="18">
        <f>'AEO 2023 Table 49 Raw'!J241</f>
        <v>1.5036719999999999</v>
      </c>
      <c r="H260" s="18">
        <f>'AEO 2023 Table 49 Raw'!K241</f>
        <v>1.4135530000000001</v>
      </c>
      <c r="I260" s="18">
        <f>'AEO 2023 Table 49 Raw'!L241</f>
        <v>1.3263990000000001</v>
      </c>
      <c r="J260" s="18">
        <f>'AEO 2023 Table 49 Raw'!M241</f>
        <v>1.240113</v>
      </c>
      <c r="K260" s="18">
        <f>'AEO 2023 Table 49 Raw'!N241</f>
        <v>1.1534450000000001</v>
      </c>
      <c r="L260" s="18">
        <f>'AEO 2023 Table 49 Raw'!O241</f>
        <v>1.06623</v>
      </c>
      <c r="M260" s="18">
        <f>'AEO 2023 Table 49 Raw'!P241</f>
        <v>0.985711</v>
      </c>
      <c r="N260" s="18">
        <f>'AEO 2023 Table 49 Raw'!Q241</f>
        <v>0.90452600000000005</v>
      </c>
      <c r="O260" s="18">
        <f>'AEO 2023 Table 49 Raw'!R241</f>
        <v>0.82449300000000003</v>
      </c>
      <c r="P260" s="18">
        <f>'AEO 2023 Table 49 Raw'!S241</f>
        <v>0.74822900000000003</v>
      </c>
      <c r="Q260" s="18">
        <f>'AEO 2023 Table 49 Raw'!T241</f>
        <v>0.68206800000000001</v>
      </c>
      <c r="R260" s="18">
        <f>'AEO 2023 Table 49 Raw'!U241</f>
        <v>0.613896</v>
      </c>
      <c r="S260" s="18">
        <f>'AEO 2023 Table 49 Raw'!V241</f>
        <v>0.53800199999999998</v>
      </c>
      <c r="T260" s="18">
        <f>'AEO 2023 Table 49 Raw'!W241</f>
        <v>0.458229</v>
      </c>
      <c r="U260" s="18">
        <f>'AEO 2023 Table 49 Raw'!X241</f>
        <v>0.388021</v>
      </c>
      <c r="V260" s="18">
        <f>'AEO 2023 Table 49 Raw'!Y241</f>
        <v>0.38343100000000002</v>
      </c>
      <c r="W260" s="18">
        <f>'AEO 2023 Table 49 Raw'!Z241</f>
        <v>0.37940600000000002</v>
      </c>
      <c r="X260" s="18">
        <f>'AEO 2023 Table 49 Raw'!AA241</f>
        <v>0.37553900000000001</v>
      </c>
      <c r="Y260" s="18">
        <f>'AEO 2023 Table 49 Raw'!AB241</f>
        <v>0.371614</v>
      </c>
      <c r="Z260" s="18">
        <f>'AEO 2023 Table 49 Raw'!AC241</f>
        <v>0.36785299999999999</v>
      </c>
      <c r="AA260" s="18">
        <f>'AEO 2023 Table 49 Raw'!AD241</f>
        <v>0.36429600000000001</v>
      </c>
      <c r="AB260" s="18">
        <f>'AEO 2023 Table 49 Raw'!AE241</f>
        <v>0.36045100000000002</v>
      </c>
      <c r="AC260" s="18">
        <f>'AEO 2023 Table 49 Raw'!AF241</f>
        <v>0.35644300000000001</v>
      </c>
      <c r="AD260" s="18">
        <f>'AEO 2023 Table 49 Raw'!AG241</f>
        <v>0.35333900000000001</v>
      </c>
      <c r="AE260" s="18">
        <f>'AEO 2023 Table 49 Raw'!AH241</f>
        <v>0.35058</v>
      </c>
      <c r="AF260" s="30">
        <f>'AEO 2023 Table 49 Raw'!AI241</f>
        <v>-5.8000000000000003E-2</v>
      </c>
    </row>
    <row r="261" spans="1:32" ht="15" customHeight="1">
      <c r="A261" s="7" t="s">
        <v>973</v>
      </c>
      <c r="B261" s="16" t="s">
        <v>964</v>
      </c>
      <c r="C261" s="18">
        <f>'AEO 2023 Table 49 Raw'!F242</f>
        <v>0</v>
      </c>
      <c r="D261" s="18">
        <f>'AEO 2023 Table 49 Raw'!G242</f>
        <v>0</v>
      </c>
      <c r="E261" s="18">
        <f>'AEO 2023 Table 49 Raw'!H242</f>
        <v>0</v>
      </c>
      <c r="F261" s="18">
        <f>'AEO 2023 Table 49 Raw'!I242</f>
        <v>0</v>
      </c>
      <c r="G261" s="18">
        <f>'AEO 2023 Table 49 Raw'!J242</f>
        <v>0</v>
      </c>
      <c r="H261" s="18">
        <f>'AEO 2023 Table 49 Raw'!K242</f>
        <v>0</v>
      </c>
      <c r="I261" s="18">
        <f>'AEO 2023 Table 49 Raw'!L242</f>
        <v>0</v>
      </c>
      <c r="J261" s="18">
        <f>'AEO 2023 Table 49 Raw'!M242</f>
        <v>0</v>
      </c>
      <c r="K261" s="18">
        <f>'AEO 2023 Table 49 Raw'!N242</f>
        <v>0</v>
      </c>
      <c r="L261" s="18">
        <f>'AEO 2023 Table 49 Raw'!O242</f>
        <v>0</v>
      </c>
      <c r="M261" s="18">
        <f>'AEO 2023 Table 49 Raw'!P242</f>
        <v>0</v>
      </c>
      <c r="N261" s="18">
        <f>'AEO 2023 Table 49 Raw'!Q242</f>
        <v>0</v>
      </c>
      <c r="O261" s="18">
        <f>'AEO 2023 Table 49 Raw'!R242</f>
        <v>0</v>
      </c>
      <c r="P261" s="18">
        <f>'AEO 2023 Table 49 Raw'!S242</f>
        <v>0</v>
      </c>
      <c r="Q261" s="18">
        <f>'AEO 2023 Table 49 Raw'!T242</f>
        <v>0</v>
      </c>
      <c r="R261" s="18">
        <f>'AEO 2023 Table 49 Raw'!U242</f>
        <v>0</v>
      </c>
      <c r="S261" s="18">
        <f>'AEO 2023 Table 49 Raw'!V242</f>
        <v>0</v>
      </c>
      <c r="T261" s="18">
        <f>'AEO 2023 Table 49 Raw'!W242</f>
        <v>0</v>
      </c>
      <c r="U261" s="18">
        <f>'AEO 2023 Table 49 Raw'!X242</f>
        <v>0</v>
      </c>
      <c r="V261" s="18">
        <f>'AEO 2023 Table 49 Raw'!Y242</f>
        <v>0</v>
      </c>
      <c r="W261" s="18">
        <f>'AEO 2023 Table 49 Raw'!Z242</f>
        <v>0</v>
      </c>
      <c r="X261" s="18">
        <f>'AEO 2023 Table 49 Raw'!AA242</f>
        <v>0</v>
      </c>
      <c r="Y261" s="18">
        <f>'AEO 2023 Table 49 Raw'!AB242</f>
        <v>0</v>
      </c>
      <c r="Z261" s="18">
        <f>'AEO 2023 Table 49 Raw'!AC242</f>
        <v>0</v>
      </c>
      <c r="AA261" s="18">
        <f>'AEO 2023 Table 49 Raw'!AD242</f>
        <v>0</v>
      </c>
      <c r="AB261" s="18">
        <f>'AEO 2023 Table 49 Raw'!AE242</f>
        <v>0</v>
      </c>
      <c r="AC261" s="18">
        <f>'AEO 2023 Table 49 Raw'!AF242</f>
        <v>0</v>
      </c>
      <c r="AD261" s="18">
        <f>'AEO 2023 Table 49 Raw'!AG242</f>
        <v>0</v>
      </c>
      <c r="AE261" s="18">
        <f>'AEO 2023 Table 49 Raw'!AH242</f>
        <v>0</v>
      </c>
      <c r="AF261" s="30" t="str">
        <f>'AEO 2023 Table 49 Raw'!AI242</f>
        <v>- -</v>
      </c>
    </row>
    <row r="262" spans="1:32" ht="15" customHeight="1">
      <c r="A262" s="7" t="s">
        <v>974</v>
      </c>
      <c r="B262" s="16" t="s">
        <v>966</v>
      </c>
      <c r="C262" s="18">
        <f>'AEO 2023 Table 49 Raw'!F243</f>
        <v>0.638131</v>
      </c>
      <c r="D262" s="18">
        <f>'AEO 2023 Table 49 Raw'!G243</f>
        <v>0.69940500000000005</v>
      </c>
      <c r="E262" s="18">
        <f>'AEO 2023 Table 49 Raw'!H243</f>
        <v>0.74200100000000002</v>
      </c>
      <c r="F262" s="18">
        <f>'AEO 2023 Table 49 Raw'!I243</f>
        <v>0.78600400000000004</v>
      </c>
      <c r="G262" s="18">
        <f>'AEO 2023 Table 49 Raw'!J243</f>
        <v>0.82445400000000002</v>
      </c>
      <c r="H262" s="18">
        <f>'AEO 2023 Table 49 Raw'!K243</f>
        <v>0.86295999999999995</v>
      </c>
      <c r="I262" s="18">
        <f>'AEO 2023 Table 49 Raw'!L243</f>
        <v>0.89963800000000005</v>
      </c>
      <c r="J262" s="18">
        <f>'AEO 2023 Table 49 Raw'!M243</f>
        <v>0.93352900000000005</v>
      </c>
      <c r="K262" s="18">
        <f>'AEO 2023 Table 49 Raw'!N243</f>
        <v>0.97043000000000001</v>
      </c>
      <c r="L262" s="18">
        <f>'AEO 2023 Table 49 Raw'!O243</f>
        <v>1.0094000000000001</v>
      </c>
      <c r="M262" s="18">
        <f>'AEO 2023 Table 49 Raw'!P243</f>
        <v>1.0488820000000001</v>
      </c>
      <c r="N262" s="18">
        <f>'AEO 2023 Table 49 Raw'!Q243</f>
        <v>1.0889180000000001</v>
      </c>
      <c r="O262" s="18">
        <f>'AEO 2023 Table 49 Raw'!R243</f>
        <v>1.123232</v>
      </c>
      <c r="P262" s="18">
        <f>'AEO 2023 Table 49 Raw'!S243</f>
        <v>1.1548700000000001</v>
      </c>
      <c r="Q262" s="18">
        <f>'AEO 2023 Table 49 Raw'!T243</f>
        <v>1.1776660000000001</v>
      </c>
      <c r="R262" s="18">
        <f>'AEO 2023 Table 49 Raw'!U243</f>
        <v>1.2071989999999999</v>
      </c>
      <c r="S262" s="18">
        <f>'AEO 2023 Table 49 Raw'!V243</f>
        <v>1.2419659999999999</v>
      </c>
      <c r="T262" s="18">
        <f>'AEO 2023 Table 49 Raw'!W243</f>
        <v>1.2794030000000001</v>
      </c>
      <c r="U262" s="18">
        <f>'AEO 2023 Table 49 Raw'!X243</f>
        <v>1.352077</v>
      </c>
      <c r="V262" s="18">
        <f>'AEO 2023 Table 49 Raw'!Y243</f>
        <v>1.427773</v>
      </c>
      <c r="W262" s="18">
        <f>'AEO 2023 Table 49 Raw'!Z243</f>
        <v>1.50972</v>
      </c>
      <c r="X262" s="18">
        <f>'AEO 2023 Table 49 Raw'!AA243</f>
        <v>1.5968059999999999</v>
      </c>
      <c r="Y262" s="18">
        <f>'AEO 2023 Table 49 Raw'!AB243</f>
        <v>1.688537</v>
      </c>
      <c r="Z262" s="18">
        <f>'AEO 2023 Table 49 Raw'!AC243</f>
        <v>1.786057</v>
      </c>
      <c r="AA262" s="18">
        <f>'AEO 2023 Table 49 Raw'!AD243</f>
        <v>1.889912</v>
      </c>
      <c r="AB262" s="18">
        <f>'AEO 2023 Table 49 Raw'!AE243</f>
        <v>1.99796</v>
      </c>
      <c r="AC262" s="18">
        <f>'AEO 2023 Table 49 Raw'!AF243</f>
        <v>2.1111149999999999</v>
      </c>
      <c r="AD262" s="18">
        <f>'AEO 2023 Table 49 Raw'!AG243</f>
        <v>2.2362440000000001</v>
      </c>
      <c r="AE262" s="18">
        <f>'AEO 2023 Table 49 Raw'!AH243</f>
        <v>2.370717</v>
      </c>
      <c r="AF262" s="30">
        <f>'AEO 2023 Table 49 Raw'!AI243</f>
        <v>4.8000000000000001E-2</v>
      </c>
    </row>
    <row r="263" spans="1:32" ht="15" customHeight="1">
      <c r="A263" s="7" t="s">
        <v>975</v>
      </c>
      <c r="B263" s="16" t="s">
        <v>968</v>
      </c>
      <c r="C263" s="18">
        <f>'AEO 2023 Table 49 Raw'!F244</f>
        <v>0</v>
      </c>
      <c r="D263" s="18">
        <f>'AEO 2023 Table 49 Raw'!G244</f>
        <v>0</v>
      </c>
      <c r="E263" s="18">
        <f>'AEO 2023 Table 49 Raw'!H244</f>
        <v>0</v>
      </c>
      <c r="F263" s="18">
        <f>'AEO 2023 Table 49 Raw'!I244</f>
        <v>0</v>
      </c>
      <c r="G263" s="18">
        <f>'AEO 2023 Table 49 Raw'!J244</f>
        <v>0</v>
      </c>
      <c r="H263" s="18">
        <f>'AEO 2023 Table 49 Raw'!K244</f>
        <v>0</v>
      </c>
      <c r="I263" s="18">
        <f>'AEO 2023 Table 49 Raw'!L244</f>
        <v>0</v>
      </c>
      <c r="J263" s="18">
        <f>'AEO 2023 Table 49 Raw'!M244</f>
        <v>0</v>
      </c>
      <c r="K263" s="18">
        <f>'AEO 2023 Table 49 Raw'!N244</f>
        <v>0</v>
      </c>
      <c r="L263" s="18">
        <f>'AEO 2023 Table 49 Raw'!O244</f>
        <v>0</v>
      </c>
      <c r="M263" s="18">
        <f>'AEO 2023 Table 49 Raw'!P244</f>
        <v>0</v>
      </c>
      <c r="N263" s="18">
        <f>'AEO 2023 Table 49 Raw'!Q244</f>
        <v>0</v>
      </c>
      <c r="O263" s="18">
        <f>'AEO 2023 Table 49 Raw'!R244</f>
        <v>0</v>
      </c>
      <c r="P263" s="18">
        <f>'AEO 2023 Table 49 Raw'!S244</f>
        <v>0</v>
      </c>
      <c r="Q263" s="18">
        <f>'AEO 2023 Table 49 Raw'!T244</f>
        <v>0</v>
      </c>
      <c r="R263" s="18">
        <f>'AEO 2023 Table 49 Raw'!U244</f>
        <v>0</v>
      </c>
      <c r="S263" s="18">
        <f>'AEO 2023 Table 49 Raw'!V244</f>
        <v>0</v>
      </c>
      <c r="T263" s="18">
        <f>'AEO 2023 Table 49 Raw'!W244</f>
        <v>0</v>
      </c>
      <c r="U263" s="18">
        <f>'AEO 2023 Table 49 Raw'!X244</f>
        <v>0</v>
      </c>
      <c r="V263" s="18">
        <f>'AEO 2023 Table 49 Raw'!Y244</f>
        <v>0</v>
      </c>
      <c r="W263" s="18">
        <f>'AEO 2023 Table 49 Raw'!Z244</f>
        <v>0</v>
      </c>
      <c r="X263" s="18">
        <f>'AEO 2023 Table 49 Raw'!AA244</f>
        <v>0</v>
      </c>
      <c r="Y263" s="18">
        <f>'AEO 2023 Table 49 Raw'!AB244</f>
        <v>0</v>
      </c>
      <c r="Z263" s="18">
        <f>'AEO 2023 Table 49 Raw'!AC244</f>
        <v>0</v>
      </c>
      <c r="AA263" s="18">
        <f>'AEO 2023 Table 49 Raw'!AD244</f>
        <v>0</v>
      </c>
      <c r="AB263" s="18">
        <f>'AEO 2023 Table 49 Raw'!AE244</f>
        <v>0</v>
      </c>
      <c r="AC263" s="18">
        <f>'AEO 2023 Table 49 Raw'!AF244</f>
        <v>0</v>
      </c>
      <c r="AD263" s="18">
        <f>'AEO 2023 Table 49 Raw'!AG244</f>
        <v>0</v>
      </c>
      <c r="AE263" s="18">
        <f>'AEO 2023 Table 49 Raw'!AH244</f>
        <v>0</v>
      </c>
      <c r="AF263" s="30">
        <f>'AEO 2023 Table 49 Raw'!AI244</f>
        <v>0</v>
      </c>
    </row>
    <row r="264" spans="1:32" ht="15" customHeight="1">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c r="AE264" s="18"/>
      <c r="AF264" s="30"/>
    </row>
    <row r="265" spans="1:32" ht="15" customHeight="1">
      <c r="B265" s="15" t="s">
        <v>151</v>
      </c>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c r="AE265" s="18"/>
      <c r="AF265" s="30"/>
    </row>
    <row r="266" spans="1:32" ht="15" customHeight="1">
      <c r="A266" s="7" t="s">
        <v>976</v>
      </c>
      <c r="B266" s="16" t="s">
        <v>977</v>
      </c>
      <c r="C266" s="18">
        <f>'AEO 2023 Table 49 Raw'!F245</f>
        <v>5187.8168949999999</v>
      </c>
      <c r="D266" s="18">
        <f>'AEO 2023 Table 49 Raw'!G245</f>
        <v>5113.0585940000001</v>
      </c>
      <c r="E266" s="18">
        <f>'AEO 2023 Table 49 Raw'!H245</f>
        <v>5146.841797</v>
      </c>
      <c r="F266" s="18">
        <f>'AEO 2023 Table 49 Raw'!I245</f>
        <v>5250.8764650000003</v>
      </c>
      <c r="G266" s="18">
        <f>'AEO 2023 Table 49 Raw'!J245</f>
        <v>5391.6943359999996</v>
      </c>
      <c r="H266" s="18">
        <f>'AEO 2023 Table 49 Raw'!K245</f>
        <v>5512.5371089999999</v>
      </c>
      <c r="I266" s="18">
        <f>'AEO 2023 Table 49 Raw'!L245</f>
        <v>5608.3964839999999</v>
      </c>
      <c r="J266" s="18">
        <f>'AEO 2023 Table 49 Raw'!M245</f>
        <v>5710.298828</v>
      </c>
      <c r="K266" s="18">
        <f>'AEO 2023 Table 49 Raw'!N245</f>
        <v>5822.5</v>
      </c>
      <c r="L266" s="18">
        <f>'AEO 2023 Table 49 Raw'!O245</f>
        <v>5953.3393550000001</v>
      </c>
      <c r="M266" s="18">
        <f>'AEO 2023 Table 49 Raw'!P245</f>
        <v>6106.6284180000002</v>
      </c>
      <c r="N266" s="18">
        <f>'AEO 2023 Table 49 Raw'!Q245</f>
        <v>6258.4541019999997</v>
      </c>
      <c r="O266" s="18">
        <f>'AEO 2023 Table 49 Raw'!R245</f>
        <v>6403.7695309999999</v>
      </c>
      <c r="P266" s="18">
        <f>'AEO 2023 Table 49 Raw'!S245</f>
        <v>6562.8208009999998</v>
      </c>
      <c r="Q266" s="18">
        <f>'AEO 2023 Table 49 Raw'!T245</f>
        <v>6716.3095700000003</v>
      </c>
      <c r="R266" s="18">
        <f>'AEO 2023 Table 49 Raw'!U245</f>
        <v>6875.7109380000002</v>
      </c>
      <c r="S266" s="18">
        <f>'AEO 2023 Table 49 Raw'!V245</f>
        <v>7045.28125</v>
      </c>
      <c r="T266" s="18">
        <f>'AEO 2023 Table 49 Raw'!W245</f>
        <v>7253.2470700000003</v>
      </c>
      <c r="U266" s="18">
        <f>'AEO 2023 Table 49 Raw'!X245</f>
        <v>7455.826172</v>
      </c>
      <c r="V266" s="18">
        <f>'AEO 2023 Table 49 Raw'!Y245</f>
        <v>7655.189453</v>
      </c>
      <c r="W266" s="18">
        <f>'AEO 2023 Table 49 Raw'!Z245</f>
        <v>7891.9492190000001</v>
      </c>
      <c r="X266" s="18">
        <f>'AEO 2023 Table 49 Raw'!AA245</f>
        <v>8151.3588870000003</v>
      </c>
      <c r="Y266" s="18">
        <f>'AEO 2023 Table 49 Raw'!AB245</f>
        <v>8441.7988280000009</v>
      </c>
      <c r="Z266" s="18">
        <f>'AEO 2023 Table 49 Raw'!AC245</f>
        <v>8738.0673829999996</v>
      </c>
      <c r="AA266" s="18">
        <f>'AEO 2023 Table 49 Raw'!AD245</f>
        <v>9055.0996090000008</v>
      </c>
      <c r="AB266" s="18">
        <f>'AEO 2023 Table 49 Raw'!AE245</f>
        <v>9359.515625</v>
      </c>
      <c r="AC266" s="18">
        <f>'AEO 2023 Table 49 Raw'!AF245</f>
        <v>9667.5195309999999</v>
      </c>
      <c r="AD266" s="18">
        <f>'AEO 2023 Table 49 Raw'!AG245</f>
        <v>10019.517578000001</v>
      </c>
      <c r="AE266" s="18">
        <f>'AEO 2023 Table 49 Raw'!AH245</f>
        <v>10370.173828000001</v>
      </c>
      <c r="AF266" s="30">
        <f>'AEO 2023 Table 49 Raw'!AI245</f>
        <v>2.5000000000000001E-2</v>
      </c>
    </row>
    <row r="267" spans="1:32" ht="12" customHeight="1">
      <c r="A267" s="7" t="s">
        <v>978</v>
      </c>
      <c r="B267" s="16" t="s">
        <v>979</v>
      </c>
      <c r="C267" s="18">
        <f>'AEO 2023 Table 49 Raw'!F246</f>
        <v>1818.8258060000001</v>
      </c>
      <c r="D267" s="18">
        <f>'AEO 2023 Table 49 Raw'!G246</f>
        <v>1834.769775</v>
      </c>
      <c r="E267" s="18">
        <f>'AEO 2023 Table 49 Raw'!H246</f>
        <v>1862.7230219999999</v>
      </c>
      <c r="F267" s="18">
        <f>'AEO 2023 Table 49 Raw'!I246</f>
        <v>1908.372192</v>
      </c>
      <c r="G267" s="18">
        <f>'AEO 2023 Table 49 Raw'!J246</f>
        <v>1965.4957280000001</v>
      </c>
      <c r="H267" s="18">
        <f>'AEO 2023 Table 49 Raw'!K246</f>
        <v>2014.6987300000001</v>
      </c>
      <c r="I267" s="18">
        <f>'AEO 2023 Table 49 Raw'!L246</f>
        <v>2056.375</v>
      </c>
      <c r="J267" s="18">
        <f>'AEO 2023 Table 49 Raw'!M246</f>
        <v>2096.7622070000002</v>
      </c>
      <c r="K267" s="18">
        <f>'AEO 2023 Table 49 Raw'!N246</f>
        <v>2132.8442380000001</v>
      </c>
      <c r="L267" s="18">
        <f>'AEO 2023 Table 49 Raw'!O246</f>
        <v>2170.9902339999999</v>
      </c>
      <c r="M267" s="18">
        <f>'AEO 2023 Table 49 Raw'!P246</f>
        <v>2211.525635</v>
      </c>
      <c r="N267" s="18">
        <f>'AEO 2023 Table 49 Raw'!Q246</f>
        <v>2257.0451659999999</v>
      </c>
      <c r="O267" s="18">
        <f>'AEO 2023 Table 49 Raw'!R246</f>
        <v>2305.1938479999999</v>
      </c>
      <c r="P267" s="18">
        <f>'AEO 2023 Table 49 Raw'!S246</f>
        <v>2366.4482419999999</v>
      </c>
      <c r="Q267" s="18">
        <f>'AEO 2023 Table 49 Raw'!T246</f>
        <v>2435.1203609999998</v>
      </c>
      <c r="R267" s="18">
        <f>'AEO 2023 Table 49 Raw'!U246</f>
        <v>2507.953857</v>
      </c>
      <c r="S267" s="18">
        <f>'AEO 2023 Table 49 Raw'!V246</f>
        <v>2585.2082519999999</v>
      </c>
      <c r="T267" s="18">
        <f>'AEO 2023 Table 49 Raw'!W246</f>
        <v>2679.1381839999999</v>
      </c>
      <c r="U267" s="18">
        <f>'AEO 2023 Table 49 Raw'!X246</f>
        <v>2783.4829100000002</v>
      </c>
      <c r="V267" s="18">
        <f>'AEO 2023 Table 49 Raw'!Y246</f>
        <v>2887.108643</v>
      </c>
      <c r="W267" s="18">
        <f>'AEO 2023 Table 49 Raw'!Z246</f>
        <v>3006.2321780000002</v>
      </c>
      <c r="X267" s="18">
        <f>'AEO 2023 Table 49 Raw'!AA246</f>
        <v>3135.8588869999999</v>
      </c>
      <c r="Y267" s="18">
        <f>'AEO 2023 Table 49 Raw'!AB246</f>
        <v>3282.3540039999998</v>
      </c>
      <c r="Z267" s="18">
        <f>'AEO 2023 Table 49 Raw'!AC246</f>
        <v>3431.9255370000001</v>
      </c>
      <c r="AA267" s="18">
        <f>'AEO 2023 Table 49 Raw'!AD246</f>
        <v>3589.960693</v>
      </c>
      <c r="AB267" s="18">
        <f>'AEO 2023 Table 49 Raw'!AE246</f>
        <v>3742.0151369999999</v>
      </c>
      <c r="AC267" s="18">
        <f>'AEO 2023 Table 49 Raw'!AF246</f>
        <v>3891.8676759999998</v>
      </c>
      <c r="AD267" s="18">
        <f>'AEO 2023 Table 49 Raw'!AG246</f>
        <v>4071.1130370000001</v>
      </c>
      <c r="AE267" s="18">
        <f>'AEO 2023 Table 49 Raw'!AH246</f>
        <v>4248.0322269999997</v>
      </c>
      <c r="AF267" s="30">
        <f>'AEO 2023 Table 49 Raw'!AI246</f>
        <v>3.1E-2</v>
      </c>
    </row>
    <row r="268" spans="1:32" ht="12" customHeight="1">
      <c r="A268" s="7" t="s">
        <v>980</v>
      </c>
      <c r="B268" s="16" t="s">
        <v>981</v>
      </c>
      <c r="C268" s="18">
        <f>'AEO 2023 Table 49 Raw'!F247</f>
        <v>3368.9909670000002</v>
      </c>
      <c r="D268" s="18">
        <f>'AEO 2023 Table 49 Raw'!G247</f>
        <v>3278.2885740000002</v>
      </c>
      <c r="E268" s="18">
        <f>'AEO 2023 Table 49 Raw'!H247</f>
        <v>3284.1186520000001</v>
      </c>
      <c r="F268" s="18">
        <f>'AEO 2023 Table 49 Raw'!I247</f>
        <v>3342.5043949999999</v>
      </c>
      <c r="G268" s="18">
        <f>'AEO 2023 Table 49 Raw'!J247</f>
        <v>3426.1987300000001</v>
      </c>
      <c r="H268" s="18">
        <f>'AEO 2023 Table 49 Raw'!K247</f>
        <v>3497.838135</v>
      </c>
      <c r="I268" s="18">
        <f>'AEO 2023 Table 49 Raw'!L247</f>
        <v>3552.02124</v>
      </c>
      <c r="J268" s="18">
        <f>'AEO 2023 Table 49 Raw'!M247</f>
        <v>3613.536865</v>
      </c>
      <c r="K268" s="18">
        <f>'AEO 2023 Table 49 Raw'!N247</f>
        <v>3689.6560060000002</v>
      </c>
      <c r="L268" s="18">
        <f>'AEO 2023 Table 49 Raw'!O247</f>
        <v>3782.3491210000002</v>
      </c>
      <c r="M268" s="18">
        <f>'AEO 2023 Table 49 Raw'!P247</f>
        <v>3895.1027829999998</v>
      </c>
      <c r="N268" s="18">
        <f>'AEO 2023 Table 49 Raw'!Q247</f>
        <v>4001.4091800000001</v>
      </c>
      <c r="O268" s="18">
        <f>'AEO 2023 Table 49 Raw'!R247</f>
        <v>4098.5756840000004</v>
      </c>
      <c r="P268" s="18">
        <f>'AEO 2023 Table 49 Raw'!S247</f>
        <v>4196.3725590000004</v>
      </c>
      <c r="Q268" s="18">
        <f>'AEO 2023 Table 49 Raw'!T247</f>
        <v>4281.189453</v>
      </c>
      <c r="R268" s="18">
        <f>'AEO 2023 Table 49 Raw'!U247</f>
        <v>4367.7568359999996</v>
      </c>
      <c r="S268" s="18">
        <f>'AEO 2023 Table 49 Raw'!V247</f>
        <v>4460.0732420000004</v>
      </c>
      <c r="T268" s="18">
        <f>'AEO 2023 Table 49 Raw'!W247</f>
        <v>4574.1088870000003</v>
      </c>
      <c r="U268" s="18">
        <f>'AEO 2023 Table 49 Raw'!X247</f>
        <v>4672.3432620000003</v>
      </c>
      <c r="V268" s="18">
        <f>'AEO 2023 Table 49 Raw'!Y247</f>
        <v>4768.0810549999997</v>
      </c>
      <c r="W268" s="18">
        <f>'AEO 2023 Table 49 Raw'!Z247</f>
        <v>4885.7172849999997</v>
      </c>
      <c r="X268" s="18">
        <f>'AEO 2023 Table 49 Raw'!AA247</f>
        <v>5015.5</v>
      </c>
      <c r="Y268" s="18">
        <f>'AEO 2023 Table 49 Raw'!AB247</f>
        <v>5159.4443359999996</v>
      </c>
      <c r="Z268" s="18">
        <f>'AEO 2023 Table 49 Raw'!AC247</f>
        <v>5306.1416019999997</v>
      </c>
      <c r="AA268" s="18">
        <f>'AEO 2023 Table 49 Raw'!AD247</f>
        <v>5465.1391599999997</v>
      </c>
      <c r="AB268" s="18">
        <f>'AEO 2023 Table 49 Raw'!AE247</f>
        <v>5617.5009769999997</v>
      </c>
      <c r="AC268" s="18">
        <f>'AEO 2023 Table 49 Raw'!AF247</f>
        <v>5775.6513670000004</v>
      </c>
      <c r="AD268" s="18">
        <f>'AEO 2023 Table 49 Raw'!AG247</f>
        <v>5948.4047849999997</v>
      </c>
      <c r="AE268" s="18">
        <f>'AEO 2023 Table 49 Raw'!AH247</f>
        <v>6122.1411129999997</v>
      </c>
      <c r="AF268" s="30">
        <f>'AEO 2023 Table 49 Raw'!AI247</f>
        <v>2.1999999999999999E-2</v>
      </c>
    </row>
    <row r="269" spans="1:32" ht="12" customHeight="1">
      <c r="B269" s="15" t="s">
        <v>960</v>
      </c>
      <c r="C269" s="18">
        <f>'AEO 2023 Table 49 Raw'!F248</f>
        <v>0</v>
      </c>
      <c r="D269" s="18">
        <f>'AEO 2023 Table 49 Raw'!G248</f>
        <v>0</v>
      </c>
      <c r="E269" s="18">
        <f>'AEO 2023 Table 49 Raw'!H248</f>
        <v>0</v>
      </c>
      <c r="F269" s="18">
        <f>'AEO 2023 Table 49 Raw'!I248</f>
        <v>0</v>
      </c>
      <c r="G269" s="18">
        <f>'AEO 2023 Table 49 Raw'!J248</f>
        <v>0</v>
      </c>
      <c r="H269" s="18">
        <f>'AEO 2023 Table 49 Raw'!K248</f>
        <v>0</v>
      </c>
      <c r="I269" s="18">
        <f>'AEO 2023 Table 49 Raw'!L248</f>
        <v>0</v>
      </c>
      <c r="J269" s="18">
        <f>'AEO 2023 Table 49 Raw'!M248</f>
        <v>0</v>
      </c>
      <c r="K269" s="18">
        <f>'AEO 2023 Table 49 Raw'!N248</f>
        <v>0</v>
      </c>
      <c r="L269" s="18">
        <f>'AEO 2023 Table 49 Raw'!O248</f>
        <v>0</v>
      </c>
      <c r="M269" s="18">
        <f>'AEO 2023 Table 49 Raw'!P248</f>
        <v>0</v>
      </c>
      <c r="N269" s="18">
        <f>'AEO 2023 Table 49 Raw'!Q248</f>
        <v>0</v>
      </c>
      <c r="O269" s="18">
        <f>'AEO 2023 Table 49 Raw'!R248</f>
        <v>0</v>
      </c>
      <c r="P269" s="18">
        <f>'AEO 2023 Table 49 Raw'!S248</f>
        <v>0</v>
      </c>
      <c r="Q269" s="18">
        <f>'AEO 2023 Table 49 Raw'!T248</f>
        <v>0</v>
      </c>
      <c r="R269" s="18">
        <f>'AEO 2023 Table 49 Raw'!U248</f>
        <v>0</v>
      </c>
      <c r="S269" s="18">
        <f>'AEO 2023 Table 49 Raw'!V248</f>
        <v>0</v>
      </c>
      <c r="T269" s="18">
        <f>'AEO 2023 Table 49 Raw'!W248</f>
        <v>0</v>
      </c>
      <c r="U269" s="18">
        <f>'AEO 2023 Table 49 Raw'!X248</f>
        <v>0</v>
      </c>
      <c r="V269" s="18">
        <f>'AEO 2023 Table 49 Raw'!Y248</f>
        <v>0</v>
      </c>
      <c r="W269" s="18">
        <f>'AEO 2023 Table 49 Raw'!Z248</f>
        <v>0</v>
      </c>
      <c r="X269" s="18">
        <f>'AEO 2023 Table 49 Raw'!AA248</f>
        <v>0</v>
      </c>
      <c r="Y269" s="18">
        <f>'AEO 2023 Table 49 Raw'!AB248</f>
        <v>0</v>
      </c>
      <c r="Z269" s="18">
        <f>'AEO 2023 Table 49 Raw'!AC248</f>
        <v>0</v>
      </c>
      <c r="AA269" s="18">
        <f>'AEO 2023 Table 49 Raw'!AD248</f>
        <v>0</v>
      </c>
      <c r="AB269" s="18">
        <f>'AEO 2023 Table 49 Raw'!AE248</f>
        <v>0</v>
      </c>
      <c r="AC269" s="18">
        <f>'AEO 2023 Table 49 Raw'!AF248</f>
        <v>0</v>
      </c>
      <c r="AD269" s="18">
        <f>'AEO 2023 Table 49 Raw'!AG248</f>
        <v>0</v>
      </c>
      <c r="AE269" s="18">
        <f>'AEO 2023 Table 49 Raw'!AH248</f>
        <v>0</v>
      </c>
      <c r="AF269" s="30">
        <f>'AEO 2023 Table 49 Raw'!AI248</f>
        <v>0</v>
      </c>
    </row>
    <row r="270" spans="1:32" ht="12" customHeight="1">
      <c r="A270" s="7" t="s">
        <v>982</v>
      </c>
      <c r="B270" s="16" t="s">
        <v>962</v>
      </c>
      <c r="C270" s="18">
        <f>'AEO 2023 Table 49 Raw'!F249</f>
        <v>222.90289300000001</v>
      </c>
      <c r="D270" s="18">
        <f>'AEO 2023 Table 49 Raw'!G249</f>
        <v>317.621216</v>
      </c>
      <c r="E270" s="18">
        <f>'AEO 2023 Table 49 Raw'!H249</f>
        <v>316.82064800000001</v>
      </c>
      <c r="F270" s="18">
        <f>'AEO 2023 Table 49 Raw'!I249</f>
        <v>318.86810300000002</v>
      </c>
      <c r="G270" s="18">
        <f>'AEO 2023 Table 49 Raw'!J249</f>
        <v>324.006775</v>
      </c>
      <c r="H270" s="18">
        <f>'AEO 2023 Table 49 Raw'!K249</f>
        <v>328.59732100000002</v>
      </c>
      <c r="I270" s="18">
        <f>'AEO 2023 Table 49 Raw'!L249</f>
        <v>337.00882000000001</v>
      </c>
      <c r="J270" s="18">
        <f>'AEO 2023 Table 49 Raw'!M249</f>
        <v>340.936646</v>
      </c>
      <c r="K270" s="18">
        <f>'AEO 2023 Table 49 Raw'!N249</f>
        <v>345.29251099999999</v>
      </c>
      <c r="L270" s="18">
        <f>'AEO 2023 Table 49 Raw'!O249</f>
        <v>346.830353</v>
      </c>
      <c r="M270" s="18">
        <f>'AEO 2023 Table 49 Raw'!P249</f>
        <v>349.25531000000001</v>
      </c>
      <c r="N270" s="18">
        <f>'AEO 2023 Table 49 Raw'!Q249</f>
        <v>351.60812399999998</v>
      </c>
      <c r="O270" s="18">
        <f>'AEO 2023 Table 49 Raw'!R249</f>
        <v>354.15759300000002</v>
      </c>
      <c r="P270" s="18">
        <f>'AEO 2023 Table 49 Raw'!S249</f>
        <v>355.73831200000001</v>
      </c>
      <c r="Q270" s="18">
        <f>'AEO 2023 Table 49 Raw'!T249</f>
        <v>356.87829599999998</v>
      </c>
      <c r="R270" s="18">
        <f>'AEO 2023 Table 49 Raw'!U249</f>
        <v>356.62280299999998</v>
      </c>
      <c r="S270" s="18">
        <f>'AEO 2023 Table 49 Raw'!V249</f>
        <v>357.07678199999998</v>
      </c>
      <c r="T270" s="18">
        <f>'AEO 2023 Table 49 Raw'!W249</f>
        <v>357.42880200000002</v>
      </c>
      <c r="U270" s="18">
        <f>'AEO 2023 Table 49 Raw'!X249</f>
        <v>359.40035999999998</v>
      </c>
      <c r="V270" s="18">
        <f>'AEO 2023 Table 49 Raw'!Y249</f>
        <v>361.00418100000002</v>
      </c>
      <c r="W270" s="18">
        <f>'AEO 2023 Table 49 Raw'!Z249</f>
        <v>361.87966899999998</v>
      </c>
      <c r="X270" s="18">
        <f>'AEO 2023 Table 49 Raw'!AA249</f>
        <v>361.73907500000001</v>
      </c>
      <c r="Y270" s="18">
        <f>'AEO 2023 Table 49 Raw'!AB249</f>
        <v>361.51782200000002</v>
      </c>
      <c r="Z270" s="18">
        <f>'AEO 2023 Table 49 Raw'!AC249</f>
        <v>361.01586900000001</v>
      </c>
      <c r="AA270" s="18">
        <f>'AEO 2023 Table 49 Raw'!AD249</f>
        <v>360.39416499999999</v>
      </c>
      <c r="AB270" s="18">
        <f>'AEO 2023 Table 49 Raw'!AE249</f>
        <v>359.54806500000001</v>
      </c>
      <c r="AC270" s="18">
        <f>'AEO 2023 Table 49 Raw'!AF249</f>
        <v>359.36944599999998</v>
      </c>
      <c r="AD270" s="18">
        <f>'AEO 2023 Table 49 Raw'!AG249</f>
        <v>357.037598</v>
      </c>
      <c r="AE270" s="18">
        <f>'AEO 2023 Table 49 Raw'!AH249</f>
        <v>355.06369000000001</v>
      </c>
      <c r="AF270" s="30">
        <f>'AEO 2023 Table 49 Raw'!AI249</f>
        <v>1.7000000000000001E-2</v>
      </c>
    </row>
    <row r="271" spans="1:32" ht="12" customHeight="1">
      <c r="A271" s="7" t="s">
        <v>983</v>
      </c>
      <c r="B271" s="16" t="s">
        <v>964</v>
      </c>
      <c r="C271" s="18">
        <f>'AEO 2023 Table 49 Raw'!F250</f>
        <v>685.66467299999999</v>
      </c>
      <c r="D271" s="18">
        <f>'AEO 2023 Table 49 Raw'!G250</f>
        <v>532.26501499999995</v>
      </c>
      <c r="E271" s="18">
        <f>'AEO 2023 Table 49 Raw'!H250</f>
        <v>521.59381099999996</v>
      </c>
      <c r="F271" s="18">
        <f>'AEO 2023 Table 49 Raw'!I250</f>
        <v>525.89343299999996</v>
      </c>
      <c r="G271" s="18">
        <f>'AEO 2023 Table 49 Raw'!J250</f>
        <v>503.096588</v>
      </c>
      <c r="H271" s="18">
        <f>'AEO 2023 Table 49 Raw'!K250</f>
        <v>496.74609400000003</v>
      </c>
      <c r="I271" s="18">
        <f>'AEO 2023 Table 49 Raw'!L250</f>
        <v>477.40963699999998</v>
      </c>
      <c r="J271" s="18">
        <f>'AEO 2023 Table 49 Raw'!M250</f>
        <v>466.270691</v>
      </c>
      <c r="K271" s="18">
        <f>'AEO 2023 Table 49 Raw'!N250</f>
        <v>457.94595299999997</v>
      </c>
      <c r="L271" s="18">
        <f>'AEO 2023 Table 49 Raw'!O250</f>
        <v>456.54238900000001</v>
      </c>
      <c r="M271" s="18">
        <f>'AEO 2023 Table 49 Raw'!P250</f>
        <v>454.821686</v>
      </c>
      <c r="N271" s="18">
        <f>'AEO 2023 Table 49 Raw'!Q250</f>
        <v>454.123627</v>
      </c>
      <c r="O271" s="18">
        <f>'AEO 2023 Table 49 Raw'!R250</f>
        <v>452.39529399999998</v>
      </c>
      <c r="P271" s="18">
        <f>'AEO 2023 Table 49 Raw'!S250</f>
        <v>450.571167</v>
      </c>
      <c r="Q271" s="18">
        <f>'AEO 2023 Table 49 Raw'!T250</f>
        <v>447.20434599999999</v>
      </c>
      <c r="R271" s="18">
        <f>'AEO 2023 Table 49 Raw'!U250</f>
        <v>445.97729500000003</v>
      </c>
      <c r="S271" s="18">
        <f>'AEO 2023 Table 49 Raw'!V250</f>
        <v>443.98672499999998</v>
      </c>
      <c r="T271" s="18">
        <f>'AEO 2023 Table 49 Raw'!W250</f>
        <v>442.23706099999998</v>
      </c>
      <c r="U271" s="18">
        <f>'AEO 2023 Table 49 Raw'!X250</f>
        <v>442.813782</v>
      </c>
      <c r="V271" s="18">
        <f>'AEO 2023 Table 49 Raw'!Y250</f>
        <v>440.02780200000001</v>
      </c>
      <c r="W271" s="18">
        <f>'AEO 2023 Table 49 Raw'!Z250</f>
        <v>437.12060500000001</v>
      </c>
      <c r="X271" s="18">
        <f>'AEO 2023 Table 49 Raw'!AA250</f>
        <v>434.76684599999999</v>
      </c>
      <c r="Y271" s="18">
        <f>'AEO 2023 Table 49 Raw'!AB250</f>
        <v>432.69305400000002</v>
      </c>
      <c r="Z271" s="18">
        <f>'AEO 2023 Table 49 Raw'!AC250</f>
        <v>429.77169800000001</v>
      </c>
      <c r="AA271" s="18">
        <f>'AEO 2023 Table 49 Raw'!AD250</f>
        <v>428.44003300000003</v>
      </c>
      <c r="AB271" s="18">
        <f>'AEO 2023 Table 49 Raw'!AE250</f>
        <v>426.155731</v>
      </c>
      <c r="AC271" s="18">
        <f>'AEO 2023 Table 49 Raw'!AF250</f>
        <v>419.12597699999998</v>
      </c>
      <c r="AD271" s="18">
        <f>'AEO 2023 Table 49 Raw'!AG250</f>
        <v>417.71749899999998</v>
      </c>
      <c r="AE271" s="18">
        <f>'AEO 2023 Table 49 Raw'!AH250</f>
        <v>415.33468599999998</v>
      </c>
      <c r="AF271" s="30">
        <f>'AEO 2023 Table 49 Raw'!AI250</f>
        <v>-1.7999999999999999E-2</v>
      </c>
    </row>
    <row r="272" spans="1:32" ht="12" customHeight="1">
      <c r="A272" s="7" t="s">
        <v>984</v>
      </c>
      <c r="B272" s="16" t="s">
        <v>966</v>
      </c>
      <c r="C272" s="18">
        <f>'AEO 2023 Table 49 Raw'!F251</f>
        <v>0</v>
      </c>
      <c r="D272" s="18">
        <f>'AEO 2023 Table 49 Raw'!G251</f>
        <v>0</v>
      </c>
      <c r="E272" s="18">
        <f>'AEO 2023 Table 49 Raw'!H251</f>
        <v>0</v>
      </c>
      <c r="F272" s="18">
        <f>'AEO 2023 Table 49 Raw'!I251</f>
        <v>0</v>
      </c>
      <c r="G272" s="18">
        <f>'AEO 2023 Table 49 Raw'!J251</f>
        <v>0</v>
      </c>
      <c r="H272" s="18">
        <f>'AEO 2023 Table 49 Raw'!K251</f>
        <v>0</v>
      </c>
      <c r="I272" s="18">
        <f>'AEO 2023 Table 49 Raw'!L251</f>
        <v>0</v>
      </c>
      <c r="J272" s="18">
        <f>'AEO 2023 Table 49 Raw'!M251</f>
        <v>0</v>
      </c>
      <c r="K272" s="18">
        <f>'AEO 2023 Table 49 Raw'!N251</f>
        <v>0</v>
      </c>
      <c r="L272" s="18">
        <f>'AEO 2023 Table 49 Raw'!O251</f>
        <v>0</v>
      </c>
      <c r="M272" s="18">
        <f>'AEO 2023 Table 49 Raw'!P251</f>
        <v>0</v>
      </c>
      <c r="N272" s="18">
        <f>'AEO 2023 Table 49 Raw'!Q251</f>
        <v>0</v>
      </c>
      <c r="O272" s="18">
        <f>'AEO 2023 Table 49 Raw'!R251</f>
        <v>0</v>
      </c>
      <c r="P272" s="18">
        <f>'AEO 2023 Table 49 Raw'!S251</f>
        <v>0</v>
      </c>
      <c r="Q272" s="18">
        <f>'AEO 2023 Table 49 Raw'!T251</f>
        <v>0</v>
      </c>
      <c r="R272" s="18">
        <f>'AEO 2023 Table 49 Raw'!U251</f>
        <v>0</v>
      </c>
      <c r="S272" s="18">
        <f>'AEO 2023 Table 49 Raw'!V251</f>
        <v>0</v>
      </c>
      <c r="T272" s="18">
        <f>'AEO 2023 Table 49 Raw'!W251</f>
        <v>0</v>
      </c>
      <c r="U272" s="18">
        <f>'AEO 2023 Table 49 Raw'!X251</f>
        <v>0</v>
      </c>
      <c r="V272" s="18">
        <f>'AEO 2023 Table 49 Raw'!Y251</f>
        <v>0</v>
      </c>
      <c r="W272" s="18">
        <f>'AEO 2023 Table 49 Raw'!Z251</f>
        <v>0</v>
      </c>
      <c r="X272" s="18">
        <f>'AEO 2023 Table 49 Raw'!AA251</f>
        <v>0</v>
      </c>
      <c r="Y272" s="18">
        <f>'AEO 2023 Table 49 Raw'!AB251</f>
        <v>0</v>
      </c>
      <c r="Z272" s="18">
        <f>'AEO 2023 Table 49 Raw'!AC251</f>
        <v>0</v>
      </c>
      <c r="AA272" s="18">
        <f>'AEO 2023 Table 49 Raw'!AD251</f>
        <v>0</v>
      </c>
      <c r="AB272" s="18">
        <f>'AEO 2023 Table 49 Raw'!AE251</f>
        <v>0</v>
      </c>
      <c r="AC272" s="18">
        <f>'AEO 2023 Table 49 Raw'!AF251</f>
        <v>0</v>
      </c>
      <c r="AD272" s="18">
        <f>'AEO 2023 Table 49 Raw'!AG251</f>
        <v>0</v>
      </c>
      <c r="AE272" s="18">
        <f>'AEO 2023 Table 49 Raw'!AH251</f>
        <v>0</v>
      </c>
      <c r="AF272" s="30" t="str">
        <f>'AEO 2023 Table 49 Raw'!AI251</f>
        <v>- -</v>
      </c>
    </row>
    <row r="273" spans="1:33" ht="12" customHeight="1">
      <c r="A273" s="7" t="s">
        <v>985</v>
      </c>
      <c r="B273" s="16" t="s">
        <v>968</v>
      </c>
      <c r="C273" s="18">
        <f>'AEO 2023 Table 49 Raw'!F252</f>
        <v>26.358443999999999</v>
      </c>
      <c r="D273" s="18">
        <f>'AEO 2023 Table 49 Raw'!G252</f>
        <v>31.450164999999998</v>
      </c>
      <c r="E273" s="18">
        <f>'AEO 2023 Table 49 Raw'!H252</f>
        <v>39.367027</v>
      </c>
      <c r="F273" s="18">
        <f>'AEO 2023 Table 49 Raw'!I252</f>
        <v>34.890903000000002</v>
      </c>
      <c r="G273" s="18">
        <f>'AEO 2023 Table 49 Raw'!J252</f>
        <v>45.094749</v>
      </c>
      <c r="H273" s="18">
        <f>'AEO 2023 Table 49 Raw'!K252</f>
        <v>45.047179999999997</v>
      </c>
      <c r="I273" s="18">
        <f>'AEO 2023 Table 49 Raw'!L252</f>
        <v>49.551949</v>
      </c>
      <c r="J273" s="18">
        <f>'AEO 2023 Table 49 Raw'!M252</f>
        <v>53.193492999999997</v>
      </c>
      <c r="K273" s="18">
        <f>'AEO 2023 Table 49 Raw'!N252</f>
        <v>54.584952999999999</v>
      </c>
      <c r="L273" s="18">
        <f>'AEO 2023 Table 49 Raw'!O252</f>
        <v>54.324471000000003</v>
      </c>
      <c r="M273" s="18">
        <f>'AEO 2023 Table 49 Raw'!P252</f>
        <v>53.443835999999997</v>
      </c>
      <c r="N273" s="18">
        <f>'AEO 2023 Table 49 Raw'!Q252</f>
        <v>51.944271000000001</v>
      </c>
      <c r="O273" s="18">
        <f>'AEO 2023 Table 49 Raw'!R252</f>
        <v>50.878489999999999</v>
      </c>
      <c r="P273" s="18">
        <f>'AEO 2023 Table 49 Raw'!S252</f>
        <v>50.864525</v>
      </c>
      <c r="Q273" s="18">
        <f>'AEO 2023 Table 49 Raw'!T252</f>
        <v>52.271923000000001</v>
      </c>
      <c r="R273" s="18">
        <f>'AEO 2023 Table 49 Raw'!U252</f>
        <v>53.688018999999997</v>
      </c>
      <c r="S273" s="18">
        <f>'AEO 2023 Table 49 Raw'!V252</f>
        <v>54.913826</v>
      </c>
      <c r="T273" s="18">
        <f>'AEO 2023 Table 49 Raw'!W252</f>
        <v>56.159897000000001</v>
      </c>
      <c r="U273" s="18">
        <f>'AEO 2023 Table 49 Raw'!X252</f>
        <v>54.236252</v>
      </c>
      <c r="V273" s="18">
        <f>'AEO 2023 Table 49 Raw'!Y252</f>
        <v>54.856876</v>
      </c>
      <c r="W273" s="18">
        <f>'AEO 2023 Table 49 Raw'!Z252</f>
        <v>56.348083000000003</v>
      </c>
      <c r="X273" s="18">
        <f>'AEO 2023 Table 49 Raw'!AA252</f>
        <v>58.531737999999997</v>
      </c>
      <c r="Y273" s="18">
        <f>'AEO 2023 Table 49 Raw'!AB252</f>
        <v>60.656860000000002</v>
      </c>
      <c r="Z273" s="18">
        <f>'AEO 2023 Table 49 Raw'!AC252</f>
        <v>63.607261999999999</v>
      </c>
      <c r="AA273" s="18">
        <f>'AEO 2023 Table 49 Raw'!AD252</f>
        <v>65.661552</v>
      </c>
      <c r="AB273" s="18">
        <f>'AEO 2023 Table 49 Raw'!AE252</f>
        <v>68.520568999999995</v>
      </c>
      <c r="AC273" s="18">
        <f>'AEO 2023 Table 49 Raw'!AF252</f>
        <v>73.802834000000004</v>
      </c>
      <c r="AD273" s="18">
        <f>'AEO 2023 Table 49 Raw'!AG252</f>
        <v>77.626357999999996</v>
      </c>
      <c r="AE273" s="18">
        <f>'AEO 2023 Table 49 Raw'!AH252</f>
        <v>81.707138</v>
      </c>
      <c r="AF273" s="30">
        <f>'AEO 2023 Table 49 Raw'!AI252</f>
        <v>4.1000000000000002E-2</v>
      </c>
    </row>
    <row r="274" spans="1:33" ht="12" customHeight="1" thickBot="1"/>
    <row r="275" spans="1:33" ht="12" customHeight="1">
      <c r="B275" s="24" t="s">
        <v>986</v>
      </c>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row>
    <row r="276" spans="1:33" ht="12" customHeight="1">
      <c r="B276" s="4" t="s">
        <v>987</v>
      </c>
    </row>
    <row r="277" spans="1:33" ht="12" customHeight="1">
      <c r="B277" s="4" t="s">
        <v>157</v>
      </c>
    </row>
    <row r="278" spans="1:33" ht="12" customHeight="1">
      <c r="B278" s="4" t="s">
        <v>502</v>
      </c>
    </row>
    <row r="279" spans="1:33" ht="12" customHeight="1">
      <c r="B279" s="4" t="s">
        <v>404</v>
      </c>
    </row>
    <row r="280" spans="1:33" ht="12" customHeight="1">
      <c r="B280" s="4" t="s">
        <v>988</v>
      </c>
    </row>
    <row r="281" spans="1:33" ht="12" customHeight="1">
      <c r="B281" s="4" t="s">
        <v>989</v>
      </c>
    </row>
    <row r="282" spans="1:33" ht="12" customHeight="1">
      <c r="B282" s="4" t="s">
        <v>990</v>
      </c>
    </row>
    <row r="283" spans="1:33" ht="12" customHeight="1"/>
    <row r="284" spans="1:33" ht="12" customHeight="1"/>
    <row r="285" spans="1:33" ht="12" customHeight="1"/>
    <row r="286" spans="1:33" ht="12" customHeight="1"/>
    <row r="287" spans="1:33" ht="12" customHeight="1"/>
    <row r="288" spans="1:33"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G119"/>
  <sheetViews>
    <sheetView workbookViewId="0">
      <selection activeCell="E9" sqref="E9"/>
    </sheetView>
  </sheetViews>
  <sheetFormatPr defaultRowHeight="14.5"/>
  <cols>
    <col min="1" max="1" width="15" customWidth="1"/>
    <col min="2" max="2" width="25.7265625" customWidth="1"/>
  </cols>
  <sheetData>
    <row r="1" spans="1:33">
      <c r="A1" t="s">
        <v>3769</v>
      </c>
    </row>
    <row r="2" spans="1:33">
      <c r="A2" t="s">
        <v>3768</v>
      </c>
    </row>
    <row r="3" spans="1:33">
      <c r="A3" t="s">
        <v>3767</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101</v>
      </c>
    </row>
    <row r="7" spans="1:33">
      <c r="A7" t="s">
        <v>100</v>
      </c>
    </row>
    <row r="8" spans="1:33">
      <c r="A8" t="s">
        <v>3766</v>
      </c>
    </row>
    <row r="9" spans="1:33">
      <c r="A9" t="s">
        <v>3765</v>
      </c>
      <c r="B9" t="s">
        <v>3764</v>
      </c>
      <c r="C9" t="s">
        <v>3763</v>
      </c>
      <c r="D9" t="s">
        <v>3762</v>
      </c>
      <c r="E9" t="s">
        <v>3755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2">
        <v>4.0000000000000001E-3</v>
      </c>
    </row>
    <row r="10" spans="1:33" s="94" customFormat="1">
      <c r="A10" s="94" t="s">
        <v>164</v>
      </c>
      <c r="B10" s="94" t="s">
        <v>3761</v>
      </c>
      <c r="C10" s="94" t="s">
        <v>3760</v>
      </c>
      <c r="D10" s="94" t="s">
        <v>3755</v>
      </c>
      <c r="F10" s="94">
        <v>90.234665000000007</v>
      </c>
      <c r="G10" s="94">
        <v>88.746048000000002</v>
      </c>
      <c r="H10" s="94">
        <v>87.524918</v>
      </c>
      <c r="I10" s="94">
        <v>86.879401999999999</v>
      </c>
      <c r="J10" s="94">
        <v>86.146125999999995</v>
      </c>
      <c r="K10" s="94">
        <v>85.551413999999994</v>
      </c>
      <c r="L10" s="94">
        <v>85.088477999999995</v>
      </c>
      <c r="M10" s="94">
        <v>84.555840000000003</v>
      </c>
      <c r="N10" s="94">
        <v>84.013214000000005</v>
      </c>
      <c r="O10" s="94">
        <v>83.542664000000002</v>
      </c>
      <c r="P10" s="94">
        <v>83.043007000000003</v>
      </c>
      <c r="Q10" s="94">
        <v>82.538109000000006</v>
      </c>
      <c r="R10" s="94">
        <v>82.013915999999995</v>
      </c>
      <c r="S10" s="94">
        <v>81.499672000000004</v>
      </c>
      <c r="T10" s="94">
        <v>80.976737999999997</v>
      </c>
      <c r="U10" s="94">
        <v>80.459800999999999</v>
      </c>
      <c r="V10" s="94">
        <v>79.954575000000006</v>
      </c>
      <c r="W10" s="94">
        <v>79.410117999999997</v>
      </c>
      <c r="X10" s="94">
        <v>78.884186</v>
      </c>
      <c r="Y10" s="94">
        <v>78.326515000000001</v>
      </c>
      <c r="Z10" s="94">
        <v>77.806870000000004</v>
      </c>
      <c r="AA10" s="94">
        <v>77.239433000000005</v>
      </c>
      <c r="AB10" s="94">
        <v>76.680190999999994</v>
      </c>
      <c r="AC10" s="94">
        <v>76.081207000000006</v>
      </c>
      <c r="AD10" s="94">
        <v>75.451774999999998</v>
      </c>
      <c r="AE10" s="94">
        <v>74.792136999999997</v>
      </c>
      <c r="AF10" s="94">
        <v>74.117767000000001</v>
      </c>
      <c r="AG10" s="95">
        <v>-8.0000000000000002E-3</v>
      </c>
    </row>
    <row r="11" spans="1:33">
      <c r="A11" t="s">
        <v>3759</v>
      </c>
      <c r="B11" t="s">
        <v>3758</v>
      </c>
      <c r="C11" t="s">
        <v>3757</v>
      </c>
      <c r="D11" t="s">
        <v>3756</v>
      </c>
      <c r="E11" t="s">
        <v>3755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2">
        <v>8.9999999999999993E-3</v>
      </c>
    </row>
    <row r="12" spans="1:33">
      <c r="A12" t="s">
        <v>3754</v>
      </c>
    </row>
    <row r="13" spans="1:33">
      <c r="A13" t="s">
        <v>2171</v>
      </c>
      <c r="B13" t="s">
        <v>3753</v>
      </c>
      <c r="C13" t="s">
        <v>3752</v>
      </c>
      <c r="D13" t="s">
        <v>3748</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2">
        <v>2E-3</v>
      </c>
    </row>
    <row r="14" spans="1:33" s="1" customFormat="1">
      <c r="A14" s="1" t="s">
        <v>3751</v>
      </c>
      <c r="B14" s="1" t="s">
        <v>3750</v>
      </c>
      <c r="C14" s="1" t="s">
        <v>3749</v>
      </c>
      <c r="D14" s="1" t="s">
        <v>3748</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83">
        <v>0.02</v>
      </c>
    </row>
    <row r="15" spans="1:33">
      <c r="A15" t="s">
        <v>3747</v>
      </c>
    </row>
    <row r="16" spans="1:33">
      <c r="A16" t="s">
        <v>173</v>
      </c>
      <c r="B16" t="s">
        <v>3746</v>
      </c>
      <c r="C16" t="s">
        <v>3745</v>
      </c>
      <c r="D16" t="s">
        <v>3744</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22">
        <v>1.7999999999999999E-2</v>
      </c>
    </row>
    <row r="17" spans="1:33">
      <c r="A17" t="s">
        <v>3743</v>
      </c>
    </row>
    <row r="18" spans="1:33">
      <c r="A18" t="s">
        <v>178</v>
      </c>
      <c r="B18" t="s">
        <v>3742</v>
      </c>
      <c r="C18" t="s">
        <v>3741</v>
      </c>
      <c r="D18" t="s">
        <v>3738</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2">
        <v>-2E-3</v>
      </c>
    </row>
    <row r="19" spans="1:33">
      <c r="A19" t="s">
        <v>150</v>
      </c>
      <c r="B19" t="s">
        <v>3740</v>
      </c>
      <c r="C19" t="s">
        <v>3739</v>
      </c>
      <c r="D19" t="s">
        <v>3738</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22">
        <v>-3.0000000000000001E-3</v>
      </c>
    </row>
    <row r="20" spans="1:33">
      <c r="A20" t="s">
        <v>86</v>
      </c>
    </row>
    <row r="21" spans="1:33">
      <c r="A21" t="s">
        <v>3737</v>
      </c>
    </row>
    <row r="22" spans="1:33">
      <c r="A22" t="s">
        <v>3736</v>
      </c>
      <c r="B22" t="s">
        <v>3735</v>
      </c>
      <c r="C22" t="s">
        <v>3734</v>
      </c>
      <c r="D22" t="s">
        <v>269</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2">
        <v>7.0000000000000001E-3</v>
      </c>
    </row>
    <row r="23" spans="1:33">
      <c r="A23" t="s">
        <v>3712</v>
      </c>
      <c r="B23" t="s">
        <v>3733</v>
      </c>
      <c r="C23" t="s">
        <v>3732</v>
      </c>
      <c r="D23" t="s">
        <v>269</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2">
        <v>7.0000000000000001E-3</v>
      </c>
    </row>
    <row r="24" spans="1:33">
      <c r="A24" t="s">
        <v>3709</v>
      </c>
      <c r="B24" t="s">
        <v>3731</v>
      </c>
      <c r="C24" t="s">
        <v>3730</v>
      </c>
      <c r="D24" t="s">
        <v>269</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2">
        <v>7.0000000000000001E-3</v>
      </c>
    </row>
    <row r="25" spans="1:33">
      <c r="A25" t="s">
        <v>3729</v>
      </c>
      <c r="B25" t="s">
        <v>3728</v>
      </c>
      <c r="C25" t="s">
        <v>3727</v>
      </c>
      <c r="D25" t="s">
        <v>269</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2">
        <v>1.2E-2</v>
      </c>
    </row>
    <row r="26" spans="1:33">
      <c r="A26" t="s">
        <v>3712</v>
      </c>
      <c r="B26" t="s">
        <v>3726</v>
      </c>
      <c r="C26" t="s">
        <v>3725</v>
      </c>
      <c r="D26" t="s">
        <v>269</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2">
        <v>1.7000000000000001E-2</v>
      </c>
    </row>
    <row r="27" spans="1:33">
      <c r="A27" t="s">
        <v>3709</v>
      </c>
      <c r="B27" t="s">
        <v>3724</v>
      </c>
      <c r="C27" t="s">
        <v>3723</v>
      </c>
      <c r="D27" t="s">
        <v>269</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2">
        <v>8.9999999999999993E-3</v>
      </c>
    </row>
    <row r="28" spans="1:33">
      <c r="A28" t="s">
        <v>3722</v>
      </c>
      <c r="B28" t="s">
        <v>3721</v>
      </c>
      <c r="C28" t="s">
        <v>3720</v>
      </c>
      <c r="D28" t="s">
        <v>269</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2">
        <v>1.2E-2</v>
      </c>
    </row>
    <row r="29" spans="1:33">
      <c r="A29" t="s">
        <v>3712</v>
      </c>
      <c r="B29" t="s">
        <v>3719</v>
      </c>
      <c r="C29" t="s">
        <v>3718</v>
      </c>
      <c r="D29" t="s">
        <v>269</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2">
        <v>1.7999999999999999E-2</v>
      </c>
    </row>
    <row r="30" spans="1:33">
      <c r="A30" t="s">
        <v>3709</v>
      </c>
      <c r="B30" t="s">
        <v>3717</v>
      </c>
      <c r="C30" t="s">
        <v>3716</v>
      </c>
      <c r="D30" t="s">
        <v>269</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2">
        <v>8.9999999999999993E-3</v>
      </c>
    </row>
    <row r="31" spans="1:33">
      <c r="A31" t="s">
        <v>3715</v>
      </c>
      <c r="B31" t="s">
        <v>3714</v>
      </c>
      <c r="C31" t="s">
        <v>3713</v>
      </c>
      <c r="D31" t="s">
        <v>269</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2">
        <v>1.2E-2</v>
      </c>
    </row>
    <row r="32" spans="1:33">
      <c r="A32" t="s">
        <v>3712</v>
      </c>
      <c r="B32" t="s">
        <v>3711</v>
      </c>
      <c r="C32" t="s">
        <v>3710</v>
      </c>
      <c r="D32" t="s">
        <v>269</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2">
        <v>1.7999999999999999E-2</v>
      </c>
    </row>
    <row r="33" spans="1:33">
      <c r="A33" t="s">
        <v>3709</v>
      </c>
      <c r="B33" t="s">
        <v>3708</v>
      </c>
      <c r="C33" t="s">
        <v>3707</v>
      </c>
      <c r="D33" t="s">
        <v>269</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2">
        <v>8.9999999999999993E-3</v>
      </c>
    </row>
    <row r="34" spans="1:33">
      <c r="A34" t="s">
        <v>3706</v>
      </c>
      <c r="B34" t="s">
        <v>3705</v>
      </c>
      <c r="C34" t="s">
        <v>3704</v>
      </c>
      <c r="D34" t="s">
        <v>269</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2">
        <v>1.4999999999999999E-2</v>
      </c>
    </row>
    <row r="35" spans="1:33">
      <c r="A35" t="s">
        <v>3703</v>
      </c>
      <c r="B35" t="s">
        <v>3702</v>
      </c>
      <c r="C35" t="s">
        <v>3701</v>
      </c>
      <c r="D35" t="s">
        <v>269</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2">
        <v>8.9999999999999993E-3</v>
      </c>
    </row>
    <row r="36" spans="1:33">
      <c r="A36" t="s">
        <v>3700</v>
      </c>
      <c r="B36" t="s">
        <v>3699</v>
      </c>
      <c r="C36" t="s">
        <v>3698</v>
      </c>
      <c r="D36" t="s">
        <v>269</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2">
        <v>7.0000000000000001E-3</v>
      </c>
    </row>
    <row r="37" spans="1:33">
      <c r="A37" t="s">
        <v>3697</v>
      </c>
      <c r="B37" t="s">
        <v>3696</v>
      </c>
      <c r="C37" t="s">
        <v>3695</v>
      </c>
      <c r="D37" t="s">
        <v>269</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2">
        <v>8.9999999999999993E-3</v>
      </c>
    </row>
    <row r="38" spans="1:33">
      <c r="A38" t="s">
        <v>3694</v>
      </c>
    </row>
    <row r="39" spans="1:33">
      <c r="A39" t="s">
        <v>3693</v>
      </c>
      <c r="B39" t="s">
        <v>3692</v>
      </c>
      <c r="C39" t="s">
        <v>3691</v>
      </c>
      <c r="D39" t="s">
        <v>232</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2">
        <v>8.0000000000000002E-3</v>
      </c>
    </row>
    <row r="40" spans="1:33">
      <c r="A40" t="s">
        <v>3690</v>
      </c>
    </row>
    <row r="41" spans="1:33">
      <c r="A41" t="s">
        <v>178</v>
      </c>
      <c r="B41" t="s">
        <v>3689</v>
      </c>
      <c r="C41" t="s">
        <v>3688</v>
      </c>
      <c r="D41" t="s">
        <v>2920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2">
        <v>1E-3</v>
      </c>
    </row>
    <row r="42" spans="1:33">
      <c r="A42" t="s">
        <v>150</v>
      </c>
      <c r="B42" t="s">
        <v>3687</v>
      </c>
      <c r="C42" t="s">
        <v>3686</v>
      </c>
      <c r="D42" t="s">
        <v>2920</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2">
        <v>4.0000000000000001E-3</v>
      </c>
    </row>
    <row r="43" spans="1:33">
      <c r="A43" t="s">
        <v>44</v>
      </c>
    </row>
    <row r="44" spans="1:33">
      <c r="A44" t="s">
        <v>3685</v>
      </c>
    </row>
    <row r="45" spans="1:33">
      <c r="A45" t="s">
        <v>160</v>
      </c>
      <c r="B45" t="s">
        <v>3667</v>
      </c>
      <c r="C45" t="s">
        <v>3684</v>
      </c>
      <c r="D45" t="s">
        <v>3669</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2">
        <v>-8.0000000000000002E-3</v>
      </c>
    </row>
    <row r="46" spans="1:33">
      <c r="A46" t="s">
        <v>164</v>
      </c>
      <c r="B46" t="s">
        <v>3665</v>
      </c>
      <c r="C46" t="s">
        <v>3683</v>
      </c>
      <c r="D46" t="s">
        <v>3669</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2">
        <v>-1.4999999999999999E-2</v>
      </c>
    </row>
    <row r="47" spans="1:33">
      <c r="A47" t="s">
        <v>2171</v>
      </c>
      <c r="B47" t="s">
        <v>3663</v>
      </c>
      <c r="C47" t="s">
        <v>3682</v>
      </c>
      <c r="D47" t="s">
        <v>3669</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2">
        <v>-5.0000000000000001E-3</v>
      </c>
    </row>
    <row r="48" spans="1:33">
      <c r="A48" t="s">
        <v>169</v>
      </c>
      <c r="B48" t="s">
        <v>3661</v>
      </c>
      <c r="C48" t="s">
        <v>3681</v>
      </c>
      <c r="D48" t="s">
        <v>3669</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2">
        <v>-1E-3</v>
      </c>
    </row>
    <row r="49" spans="1:33">
      <c r="A49" t="s">
        <v>178</v>
      </c>
      <c r="B49" t="s">
        <v>3659</v>
      </c>
      <c r="C49" t="s">
        <v>3658</v>
      </c>
      <c r="D49" t="s">
        <v>3680</v>
      </c>
      <c r="E49" t="s">
        <v>3669</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2">
        <v>1.0999999999999999E-2</v>
      </c>
    </row>
    <row r="50" spans="1:33">
      <c r="A50" t="s">
        <v>178</v>
      </c>
      <c r="B50" t="s">
        <v>3656</v>
      </c>
      <c r="C50" t="s">
        <v>3655</v>
      </c>
      <c r="D50" t="s">
        <v>3679</v>
      </c>
      <c r="E50" t="s">
        <v>3669</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2">
        <v>-3.0000000000000001E-3</v>
      </c>
    </row>
    <row r="51" spans="1:33">
      <c r="A51" t="s">
        <v>3650</v>
      </c>
      <c r="B51" t="s">
        <v>3653</v>
      </c>
      <c r="C51" t="s">
        <v>3652</v>
      </c>
      <c r="D51" t="s">
        <v>3678</v>
      </c>
      <c r="E51" t="s">
        <v>3669</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22">
        <v>-7.0000000000000001E-3</v>
      </c>
    </row>
    <row r="52" spans="1:33">
      <c r="A52" t="s">
        <v>3650</v>
      </c>
      <c r="B52" t="s">
        <v>3649</v>
      </c>
      <c r="C52" t="s">
        <v>3648</v>
      </c>
      <c r="D52" t="s">
        <v>3677</v>
      </c>
      <c r="E52" t="s">
        <v>3669</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22">
        <v>8.9999999999999993E-3</v>
      </c>
    </row>
    <row r="53" spans="1:33" s="1" customFormat="1">
      <c r="A53" s="1" t="s">
        <v>177</v>
      </c>
      <c r="B53" s="1" t="s">
        <v>3646</v>
      </c>
      <c r="C53" s="1" t="s">
        <v>3676</v>
      </c>
      <c r="D53" s="1" t="s">
        <v>3669</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83">
        <v>-5.0000000000000001E-3</v>
      </c>
    </row>
    <row r="54" spans="1:33" s="81" customFormat="1">
      <c r="A54" s="81" t="s">
        <v>173</v>
      </c>
      <c r="B54" s="81" t="s">
        <v>3644</v>
      </c>
      <c r="C54" s="81" t="s">
        <v>3675</v>
      </c>
      <c r="D54" s="81" t="s">
        <v>3669</v>
      </c>
      <c r="F54" s="81">
        <v>3.2683239999999998</v>
      </c>
      <c r="G54" s="81">
        <v>3.2620330000000002</v>
      </c>
      <c r="H54" s="81">
        <v>3.2887469999999999</v>
      </c>
      <c r="I54" s="81">
        <v>3.3238750000000001</v>
      </c>
      <c r="J54" s="81">
        <v>3.351261</v>
      </c>
      <c r="K54" s="81">
        <v>3.3835480000000002</v>
      </c>
      <c r="L54" s="81">
        <v>3.411572</v>
      </c>
      <c r="M54" s="81">
        <v>3.4309509999999999</v>
      </c>
      <c r="N54" s="81">
        <v>3.4546049999999999</v>
      </c>
      <c r="O54" s="81">
        <v>3.4793050000000001</v>
      </c>
      <c r="P54" s="81">
        <v>3.5032459999999999</v>
      </c>
      <c r="Q54" s="81">
        <v>3.5340240000000001</v>
      </c>
      <c r="R54" s="81">
        <v>3.5675560000000002</v>
      </c>
      <c r="S54" s="81">
        <v>3.6071569999999999</v>
      </c>
      <c r="T54" s="81">
        <v>3.6496209999999998</v>
      </c>
      <c r="U54" s="81">
        <v>3.6931419999999999</v>
      </c>
      <c r="V54" s="81">
        <v>3.735951</v>
      </c>
      <c r="W54" s="81">
        <v>3.776446</v>
      </c>
      <c r="X54" s="81">
        <v>3.821688</v>
      </c>
      <c r="Y54" s="81">
        <v>3.8639779999999999</v>
      </c>
      <c r="Z54" s="81">
        <v>3.9011779999999998</v>
      </c>
      <c r="AA54" s="81">
        <v>3.9369100000000001</v>
      </c>
      <c r="AB54" s="81">
        <v>3.970224</v>
      </c>
      <c r="AC54" s="81">
        <v>4.0111319999999999</v>
      </c>
      <c r="AD54" s="81">
        <v>4.0551300000000001</v>
      </c>
      <c r="AE54" s="81">
        <v>4.0945159999999996</v>
      </c>
      <c r="AF54" s="81">
        <v>4.1335119999999996</v>
      </c>
      <c r="AG54" s="82">
        <v>8.9999999999999993E-3</v>
      </c>
    </row>
    <row r="55" spans="1:33">
      <c r="A55" t="s">
        <v>183</v>
      </c>
      <c r="B55" t="s">
        <v>3642</v>
      </c>
      <c r="C55" t="s">
        <v>3674</v>
      </c>
      <c r="D55" t="s">
        <v>3669</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2">
        <v>2E-3</v>
      </c>
    </row>
    <row r="56" spans="1:33">
      <c r="A56" t="s">
        <v>181</v>
      </c>
      <c r="B56" t="s">
        <v>3640</v>
      </c>
      <c r="C56" t="s">
        <v>3673</v>
      </c>
      <c r="D56" t="s">
        <v>3669</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2">
        <v>0</v>
      </c>
    </row>
    <row r="57" spans="1:33">
      <c r="A57" t="s">
        <v>3638</v>
      </c>
      <c r="B57" t="s">
        <v>3637</v>
      </c>
      <c r="C57" t="s">
        <v>3672</v>
      </c>
      <c r="D57" t="s">
        <v>3669</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2">
        <v>-4.0000000000000001E-3</v>
      </c>
    </row>
    <row r="58" spans="1:33">
      <c r="A58" t="s">
        <v>1106</v>
      </c>
      <c r="B58" t="s">
        <v>3635</v>
      </c>
      <c r="C58" t="s">
        <v>3671</v>
      </c>
      <c r="D58" t="s">
        <v>3669</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2">
        <v>3.6999999999999998E-2</v>
      </c>
    </row>
    <row r="59" spans="1:33">
      <c r="A59" t="s">
        <v>141</v>
      </c>
      <c r="B59" t="s">
        <v>3633</v>
      </c>
      <c r="C59" t="s">
        <v>3670</v>
      </c>
      <c r="D59" t="s">
        <v>3669</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2">
        <v>-3.0000000000000001E-3</v>
      </c>
    </row>
    <row r="60" spans="1:33">
      <c r="A60" t="s">
        <v>3668</v>
      </c>
    </row>
    <row r="61" spans="1:33">
      <c r="A61" t="s">
        <v>160</v>
      </c>
      <c r="B61" t="s">
        <v>3667</v>
      </c>
      <c r="C61" t="s">
        <v>3666</v>
      </c>
      <c r="D61" t="s">
        <v>3631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2">
        <v>-8.9999999999999993E-3</v>
      </c>
    </row>
    <row r="62" spans="1:33">
      <c r="A62" t="s">
        <v>164</v>
      </c>
      <c r="B62" t="s">
        <v>3665</v>
      </c>
      <c r="C62" t="s">
        <v>3664</v>
      </c>
      <c r="D62" t="s">
        <v>3631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2">
        <v>-1.4E-2</v>
      </c>
    </row>
    <row r="63" spans="1:33">
      <c r="A63" t="s">
        <v>2171</v>
      </c>
      <c r="B63" t="s">
        <v>3663</v>
      </c>
      <c r="C63" t="s">
        <v>3662</v>
      </c>
      <c r="D63" t="s">
        <v>3631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2">
        <v>-5.0000000000000001E-3</v>
      </c>
    </row>
    <row r="64" spans="1:33">
      <c r="A64" t="s">
        <v>169</v>
      </c>
      <c r="B64" t="s">
        <v>3661</v>
      </c>
      <c r="C64" t="s">
        <v>3660</v>
      </c>
      <c r="D64" t="s">
        <v>3631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2">
        <v>-1E-3</v>
      </c>
    </row>
    <row r="65" spans="1:33">
      <c r="A65" t="s">
        <v>178</v>
      </c>
      <c r="B65" t="s">
        <v>3659</v>
      </c>
      <c r="C65" t="s">
        <v>3658</v>
      </c>
      <c r="D65" t="s">
        <v>3657</v>
      </c>
      <c r="E65" t="s">
        <v>3631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2">
        <v>1.0999999999999999E-2</v>
      </c>
    </row>
    <row r="66" spans="1:33">
      <c r="A66" t="s">
        <v>178</v>
      </c>
      <c r="B66" t="s">
        <v>3656</v>
      </c>
      <c r="C66" t="s">
        <v>3655</v>
      </c>
      <c r="D66" t="s">
        <v>3654</v>
      </c>
      <c r="E66" t="s">
        <v>3631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2">
        <v>-3.0000000000000001E-3</v>
      </c>
    </row>
    <row r="67" spans="1:33">
      <c r="A67" t="s">
        <v>3650</v>
      </c>
      <c r="B67" t="s">
        <v>3653</v>
      </c>
      <c r="C67" t="s">
        <v>3652</v>
      </c>
      <c r="D67" t="s">
        <v>3651</v>
      </c>
      <c r="E67" t="s">
        <v>3631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2">
        <v>-7.0000000000000001E-3</v>
      </c>
    </row>
    <row r="68" spans="1:33">
      <c r="A68" t="s">
        <v>3650</v>
      </c>
      <c r="B68" t="s">
        <v>3649</v>
      </c>
      <c r="C68" t="s">
        <v>3648</v>
      </c>
      <c r="D68" t="s">
        <v>3647</v>
      </c>
      <c r="E68" t="s">
        <v>3631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2">
        <v>8.9999999999999993E-3</v>
      </c>
    </row>
    <row r="69" spans="1:33">
      <c r="A69" t="s">
        <v>177</v>
      </c>
      <c r="B69" t="s">
        <v>3646</v>
      </c>
      <c r="C69" t="s">
        <v>3645</v>
      </c>
      <c r="D69" t="s">
        <v>3631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2">
        <v>-5.0000000000000001E-3</v>
      </c>
    </row>
    <row r="70" spans="1:33">
      <c r="A70" t="s">
        <v>173</v>
      </c>
      <c r="B70" t="s">
        <v>3644</v>
      </c>
      <c r="C70" t="s">
        <v>3643</v>
      </c>
      <c r="D70" t="s">
        <v>3631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2">
        <v>8.9999999999999993E-3</v>
      </c>
    </row>
    <row r="71" spans="1:33">
      <c r="A71" t="s">
        <v>183</v>
      </c>
      <c r="B71" t="s">
        <v>3642</v>
      </c>
      <c r="C71" t="s">
        <v>3641</v>
      </c>
      <c r="D71" t="s">
        <v>3631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2">
        <v>2E-3</v>
      </c>
    </row>
    <row r="72" spans="1:33">
      <c r="A72" t="s">
        <v>181</v>
      </c>
      <c r="B72" t="s">
        <v>3640</v>
      </c>
      <c r="C72" t="s">
        <v>3639</v>
      </c>
      <c r="D72" t="s">
        <v>3631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2">
        <v>0</v>
      </c>
    </row>
    <row r="73" spans="1:33">
      <c r="A73" t="s">
        <v>3638</v>
      </c>
      <c r="B73" t="s">
        <v>3637</v>
      </c>
      <c r="C73" t="s">
        <v>3636</v>
      </c>
      <c r="D73" t="s">
        <v>3631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2">
        <v>-4.0000000000000001E-3</v>
      </c>
    </row>
    <row r="74" spans="1:33">
      <c r="A74" t="s">
        <v>1106</v>
      </c>
      <c r="B74" t="s">
        <v>3635</v>
      </c>
      <c r="C74" t="s">
        <v>3634</v>
      </c>
      <c r="D74" t="s">
        <v>3631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2">
        <v>3.6999999999999998E-2</v>
      </c>
    </row>
    <row r="75" spans="1:33">
      <c r="A75" t="s">
        <v>141</v>
      </c>
      <c r="B75" t="s">
        <v>3633</v>
      </c>
      <c r="C75" t="s">
        <v>3632</v>
      </c>
      <c r="D75" t="s">
        <v>3631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2">
        <v>-3.0000000000000001E-3</v>
      </c>
    </row>
    <row r="76" spans="1:33">
      <c r="A76" t="s">
        <v>3630</v>
      </c>
    </row>
    <row r="77" spans="1:33">
      <c r="A77" t="s">
        <v>160</v>
      </c>
    </row>
    <row r="78" spans="1:33">
      <c r="A78" t="s">
        <v>3629</v>
      </c>
      <c r="B78" t="s">
        <v>3628</v>
      </c>
      <c r="C78" t="s">
        <v>3624</v>
      </c>
      <c r="D78" t="s">
        <v>3623</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2">
        <v>-1.9E-2</v>
      </c>
    </row>
    <row r="79" spans="1:33">
      <c r="A79" t="s">
        <v>3627</v>
      </c>
      <c r="B79" t="s">
        <v>3626</v>
      </c>
      <c r="C79" t="s">
        <v>3624</v>
      </c>
      <c r="D79" t="s">
        <v>3623</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2">
        <v>-2.3E-2</v>
      </c>
    </row>
    <row r="80" spans="1:33">
      <c r="A80" t="s">
        <v>3614</v>
      </c>
      <c r="B80" t="s">
        <v>3625</v>
      </c>
      <c r="C80" t="s">
        <v>3624</v>
      </c>
      <c r="D80" t="s">
        <v>3623</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2">
        <v>-2.3E-2</v>
      </c>
    </row>
    <row r="81" spans="1:33">
      <c r="A81" t="s">
        <v>169</v>
      </c>
    </row>
    <row r="82" spans="1:33">
      <c r="A82" t="s">
        <v>3622</v>
      </c>
      <c r="B82" t="s">
        <v>3621</v>
      </c>
      <c r="C82" t="s">
        <v>3612</v>
      </c>
      <c r="D82" t="s">
        <v>3611</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2">
        <v>-2.3E-2</v>
      </c>
    </row>
    <row r="83" spans="1:33">
      <c r="A83" t="s">
        <v>3620</v>
      </c>
      <c r="B83" t="s">
        <v>3619</v>
      </c>
      <c r="C83" t="s">
        <v>3612</v>
      </c>
      <c r="D83" t="s">
        <v>3611</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2">
        <v>-2.3E-2</v>
      </c>
    </row>
    <row r="84" spans="1:33">
      <c r="A84" t="s">
        <v>3618</v>
      </c>
      <c r="B84" t="s">
        <v>3617</v>
      </c>
      <c r="C84" t="s">
        <v>3612</v>
      </c>
      <c r="D84" t="s">
        <v>3611</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2">
        <v>-2.3E-2</v>
      </c>
    </row>
    <row r="85" spans="1:33">
      <c r="A85" t="s">
        <v>3616</v>
      </c>
      <c r="B85" t="s">
        <v>3615</v>
      </c>
      <c r="C85" t="s">
        <v>3612</v>
      </c>
      <c r="D85" t="s">
        <v>3611</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2">
        <v>-2.3E-2</v>
      </c>
    </row>
    <row r="86" spans="1:33">
      <c r="A86" t="s">
        <v>3614</v>
      </c>
      <c r="B86" t="s">
        <v>3613</v>
      </c>
      <c r="C86" t="s">
        <v>3612</v>
      </c>
      <c r="D86" t="s">
        <v>3611</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2">
        <v>-2.3E-2</v>
      </c>
    </row>
    <row r="87" spans="1:33">
      <c r="A87" t="s">
        <v>3610</v>
      </c>
    </row>
    <row r="88" spans="1:33">
      <c r="A88" t="s">
        <v>3609</v>
      </c>
      <c r="B88" t="s">
        <v>3608</v>
      </c>
      <c r="C88" t="s">
        <v>3607</v>
      </c>
      <c r="D88" t="s">
        <v>3583</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2">
        <v>-4.0000000000000001E-3</v>
      </c>
    </row>
    <row r="89" spans="1:33">
      <c r="A89" t="s">
        <v>160</v>
      </c>
      <c r="B89" t="s">
        <v>3606</v>
      </c>
      <c r="C89" t="s">
        <v>3599</v>
      </c>
      <c r="D89" t="s">
        <v>3583</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2">
        <v>-5.0000000000000001E-3</v>
      </c>
    </row>
    <row r="90" spans="1:33">
      <c r="A90" t="s">
        <v>3605</v>
      </c>
      <c r="B90" t="s">
        <v>3604</v>
      </c>
      <c r="C90" t="s">
        <v>3599</v>
      </c>
      <c r="D90" t="s">
        <v>3583</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2">
        <v>-5.0000000000000001E-3</v>
      </c>
    </row>
    <row r="91" spans="1:33">
      <c r="A91" t="s">
        <v>3603</v>
      </c>
      <c r="B91" t="s">
        <v>3602</v>
      </c>
      <c r="C91" t="s">
        <v>3599</v>
      </c>
      <c r="D91" t="s">
        <v>3583</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2">
        <v>-0.01</v>
      </c>
    </row>
    <row r="92" spans="1:33">
      <c r="A92" t="s">
        <v>3601</v>
      </c>
      <c r="B92" t="s">
        <v>3600</v>
      </c>
      <c r="C92" t="s">
        <v>3599</v>
      </c>
      <c r="D92" t="s">
        <v>3583</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2">
        <v>-0.01</v>
      </c>
    </row>
    <row r="93" spans="1:33">
      <c r="A93" t="s">
        <v>3598</v>
      </c>
      <c r="B93" t="s">
        <v>3597</v>
      </c>
      <c r="C93" t="s">
        <v>3593</v>
      </c>
      <c r="D93" t="s">
        <v>3583</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2">
        <v>-8.0000000000000002E-3</v>
      </c>
    </row>
    <row r="94" spans="1:33">
      <c r="A94" t="s">
        <v>168</v>
      </c>
      <c r="B94" t="s">
        <v>3596</v>
      </c>
      <c r="C94" t="s">
        <v>3593</v>
      </c>
      <c r="D94" t="s">
        <v>3583</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2">
        <v>-8.9999999999999993E-3</v>
      </c>
    </row>
    <row r="95" spans="1:33">
      <c r="A95" t="s">
        <v>166</v>
      </c>
      <c r="B95" t="s">
        <v>3595</v>
      </c>
      <c r="C95" t="s">
        <v>3593</v>
      </c>
      <c r="D95" t="s">
        <v>3583</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2">
        <v>-8.0000000000000002E-3</v>
      </c>
    </row>
    <row r="96" spans="1:33">
      <c r="A96" t="s">
        <v>167</v>
      </c>
      <c r="B96" t="s">
        <v>3594</v>
      </c>
      <c r="C96" t="s">
        <v>3593</v>
      </c>
      <c r="D96" t="s">
        <v>3583</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2">
        <v>-4.0000000000000001E-3</v>
      </c>
    </row>
    <row r="97" spans="1:33">
      <c r="A97" t="s">
        <v>3592</v>
      </c>
      <c r="B97" t="s">
        <v>3591</v>
      </c>
      <c r="C97" t="s">
        <v>3588</v>
      </c>
      <c r="D97" t="s">
        <v>3583</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2">
        <v>-1.6E-2</v>
      </c>
    </row>
    <row r="98" spans="1:33">
      <c r="A98" t="s">
        <v>3560</v>
      </c>
      <c r="B98" t="s">
        <v>3590</v>
      </c>
      <c r="C98" t="s">
        <v>3588</v>
      </c>
      <c r="D98" t="s">
        <v>3583</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2">
        <v>-4.0000000000000001E-3</v>
      </c>
    </row>
    <row r="99" spans="1:33">
      <c r="A99" t="s">
        <v>3563</v>
      </c>
      <c r="B99" t="s">
        <v>3589</v>
      </c>
      <c r="C99" t="s">
        <v>3588</v>
      </c>
      <c r="D99" t="s">
        <v>3583</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2">
        <v>-3.0000000000000001E-3</v>
      </c>
    </row>
    <row r="100" spans="1:33">
      <c r="A100" t="s">
        <v>3587</v>
      </c>
    </row>
    <row r="101" spans="1:33">
      <c r="A101" t="s">
        <v>3560</v>
      </c>
      <c r="B101" t="s">
        <v>3586</v>
      </c>
      <c r="C101" t="s">
        <v>3584</v>
      </c>
      <c r="D101" t="s">
        <v>3583</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2">
        <v>-4.0000000000000001E-3</v>
      </c>
    </row>
    <row r="102" spans="1:33">
      <c r="A102" t="s">
        <v>3563</v>
      </c>
      <c r="B102" t="s">
        <v>3585</v>
      </c>
      <c r="C102" t="s">
        <v>3584</v>
      </c>
      <c r="D102" t="s">
        <v>3583</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2">
        <v>-3.0000000000000001E-3</v>
      </c>
    </row>
    <row r="103" spans="1:33">
      <c r="A103" t="s">
        <v>3582</v>
      </c>
      <c r="B103" t="s">
        <v>3581</v>
      </c>
      <c r="C103" t="s">
        <v>3580</v>
      </c>
      <c r="D103" t="s">
        <v>3579</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2">
        <v>1E-3</v>
      </c>
    </row>
    <row r="104" spans="1:33">
      <c r="A104" t="s">
        <v>3578</v>
      </c>
    </row>
    <row r="105" spans="1:33">
      <c r="A105" t="s">
        <v>260</v>
      </c>
    </row>
    <row r="106" spans="1:33">
      <c r="A106" t="s">
        <v>169</v>
      </c>
      <c r="B106" t="s">
        <v>3577</v>
      </c>
      <c r="C106" t="s">
        <v>3576</v>
      </c>
      <c r="D106" t="s">
        <v>3547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2">
        <v>3.0000000000000001E-3</v>
      </c>
    </row>
    <row r="107" spans="1:33">
      <c r="A107" t="s">
        <v>3563</v>
      </c>
      <c r="B107" t="s">
        <v>3575</v>
      </c>
      <c r="C107" t="s">
        <v>3574</v>
      </c>
      <c r="D107" t="s">
        <v>3547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2">
        <v>1E-3</v>
      </c>
    </row>
    <row r="108" spans="1:33">
      <c r="A108" t="s">
        <v>3560</v>
      </c>
      <c r="B108" t="s">
        <v>3573</v>
      </c>
      <c r="C108" t="s">
        <v>3572</v>
      </c>
      <c r="D108" t="s">
        <v>3547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2">
        <v>1E-3</v>
      </c>
    </row>
    <row r="109" spans="1:33">
      <c r="A109" t="s">
        <v>3554</v>
      </c>
      <c r="B109" t="s">
        <v>3571</v>
      </c>
      <c r="C109" t="s">
        <v>3570</v>
      </c>
      <c r="D109" t="s">
        <v>3547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111</v>
      </c>
    </row>
    <row r="110" spans="1:33">
      <c r="A110" t="s">
        <v>206</v>
      </c>
      <c r="B110" t="s">
        <v>3569</v>
      </c>
      <c r="C110" t="s">
        <v>3568</v>
      </c>
      <c r="D110" t="s">
        <v>3547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2">
        <v>4.0000000000000001E-3</v>
      </c>
    </row>
    <row r="111" spans="1:33">
      <c r="A111" t="s">
        <v>207</v>
      </c>
      <c r="B111" t="s">
        <v>3567</v>
      </c>
      <c r="C111" t="s">
        <v>3566</v>
      </c>
      <c r="D111" t="s">
        <v>3547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2">
        <v>4.0000000000000001E-3</v>
      </c>
    </row>
    <row r="112" spans="1:33">
      <c r="A112" t="s">
        <v>261</v>
      </c>
    </row>
    <row r="113" spans="1:33">
      <c r="A113" t="s">
        <v>169</v>
      </c>
      <c r="B113" t="s">
        <v>3565</v>
      </c>
      <c r="C113" t="s">
        <v>3564</v>
      </c>
      <c r="D113" t="s">
        <v>3547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2">
        <v>2E-3</v>
      </c>
    </row>
    <row r="114" spans="1:33">
      <c r="A114" t="s">
        <v>3563</v>
      </c>
      <c r="B114" t="s">
        <v>3562</v>
      </c>
      <c r="C114" t="s">
        <v>3561</v>
      </c>
      <c r="D114" t="s">
        <v>3547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2">
        <v>3.0000000000000001E-3</v>
      </c>
    </row>
    <row r="115" spans="1:33">
      <c r="A115" t="s">
        <v>3560</v>
      </c>
      <c r="B115" t="s">
        <v>3559</v>
      </c>
      <c r="C115" t="s">
        <v>3558</v>
      </c>
      <c r="D115" t="s">
        <v>3547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2">
        <v>3.0000000000000001E-3</v>
      </c>
    </row>
    <row r="116" spans="1:33">
      <c r="A116" t="s">
        <v>3557</v>
      </c>
      <c r="B116" t="s">
        <v>3556</v>
      </c>
      <c r="C116" t="s">
        <v>3555</v>
      </c>
      <c r="D116" t="s">
        <v>3547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2">
        <v>8.9999999999999993E-3</v>
      </c>
    </row>
    <row r="117" spans="1:33">
      <c r="A117" t="s">
        <v>3554</v>
      </c>
      <c r="B117" t="s">
        <v>3553</v>
      </c>
      <c r="C117" t="s">
        <v>3552</v>
      </c>
      <c r="D117" t="s">
        <v>3547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2">
        <v>8.9999999999999993E-3</v>
      </c>
    </row>
    <row r="118" spans="1:33">
      <c r="A118" t="s">
        <v>206</v>
      </c>
      <c r="B118" t="s">
        <v>3551</v>
      </c>
      <c r="C118" t="s">
        <v>3550</v>
      </c>
      <c r="D118" t="s">
        <v>3547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2">
        <v>6.0000000000000001E-3</v>
      </c>
    </row>
    <row r="119" spans="1:33">
      <c r="A119" t="s">
        <v>207</v>
      </c>
      <c r="B119" t="s">
        <v>3549</v>
      </c>
      <c r="C119" t="s">
        <v>3548</v>
      </c>
      <c r="D119" t="s">
        <v>3547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2">
        <v>8.9999999999999993E-3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4.5"/>
  <cols>
    <col min="1" max="1" width="22.1796875" customWidth="1"/>
  </cols>
  <sheetData>
    <row r="1" spans="1:33">
      <c r="A1" t="s">
        <v>197</v>
      </c>
    </row>
    <row r="2" spans="1:33">
      <c r="A2" t="s">
        <v>3546</v>
      </c>
    </row>
    <row r="3" spans="1:33">
      <c r="A3" t="s">
        <v>3545</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44</v>
      </c>
    </row>
    <row r="7" spans="1:33">
      <c r="A7" t="s">
        <v>159</v>
      </c>
    </row>
    <row r="8" spans="1:33">
      <c r="A8" t="s">
        <v>160</v>
      </c>
      <c r="B8" t="s">
        <v>3544</v>
      </c>
      <c r="C8" t="s">
        <v>3543</v>
      </c>
      <c r="D8" t="s">
        <v>201</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22">
        <v>-8.0000000000000002E-3</v>
      </c>
    </row>
    <row r="9" spans="1:33">
      <c r="A9" t="s">
        <v>161</v>
      </c>
      <c r="B9" t="s">
        <v>3542</v>
      </c>
      <c r="C9" t="s">
        <v>3541</v>
      </c>
      <c r="D9" t="s">
        <v>201</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22">
        <v>-2.4E-2</v>
      </c>
    </row>
    <row r="10" spans="1:33">
      <c r="A10" t="s">
        <v>162</v>
      </c>
      <c r="B10" t="s">
        <v>3540</v>
      </c>
      <c r="C10" t="s">
        <v>3539</v>
      </c>
      <c r="D10" t="s">
        <v>201</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22">
        <v>-1E-3</v>
      </c>
    </row>
    <row r="11" spans="1:33">
      <c r="A11" t="s">
        <v>163</v>
      </c>
      <c r="B11" t="s">
        <v>3538</v>
      </c>
      <c r="C11" t="s">
        <v>3537</v>
      </c>
      <c r="D11" t="s">
        <v>201</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22">
        <v>-2.7E-2</v>
      </c>
    </row>
    <row r="12" spans="1:33">
      <c r="A12" t="s">
        <v>164</v>
      </c>
      <c r="B12" t="s">
        <v>3536</v>
      </c>
      <c r="C12" t="s">
        <v>3535</v>
      </c>
      <c r="D12" t="s">
        <v>201</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22">
        <v>-1.4999999999999999E-2</v>
      </c>
    </row>
    <row r="13" spans="1:33">
      <c r="A13" t="s">
        <v>165</v>
      </c>
      <c r="B13" t="s">
        <v>3534</v>
      </c>
      <c r="C13" t="s">
        <v>3533</v>
      </c>
      <c r="D13" t="s">
        <v>201</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22">
        <v>-5.0000000000000001E-3</v>
      </c>
    </row>
    <row r="14" spans="1:33">
      <c r="A14" t="s">
        <v>166</v>
      </c>
      <c r="B14" t="s">
        <v>3532</v>
      </c>
      <c r="C14" t="s">
        <v>3531</v>
      </c>
      <c r="D14" t="s">
        <v>201</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22">
        <v>0</v>
      </c>
    </row>
    <row r="15" spans="1:33">
      <c r="A15" t="s">
        <v>167</v>
      </c>
      <c r="B15" t="s">
        <v>3530</v>
      </c>
      <c r="C15" t="s">
        <v>3529</v>
      </c>
      <c r="D15" t="s">
        <v>201</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22">
        <v>3.0000000000000001E-3</v>
      </c>
    </row>
    <row r="16" spans="1:33">
      <c r="A16" t="s">
        <v>168</v>
      </c>
      <c r="B16" t="s">
        <v>3528</v>
      </c>
      <c r="C16" t="s">
        <v>3527</v>
      </c>
      <c r="D16" t="s">
        <v>201</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22">
        <v>-1.2999999999999999E-2</v>
      </c>
    </row>
    <row r="17" spans="1:33">
      <c r="A17" t="s">
        <v>169</v>
      </c>
      <c r="B17" t="s">
        <v>3526</v>
      </c>
      <c r="C17" t="s">
        <v>3525</v>
      </c>
      <c r="D17" t="s">
        <v>201</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22">
        <v>-1E-3</v>
      </c>
    </row>
    <row r="18" spans="1:33">
      <c r="A18" t="s">
        <v>170</v>
      </c>
      <c r="B18" t="s">
        <v>3524</v>
      </c>
      <c r="C18" t="s">
        <v>3523</v>
      </c>
      <c r="D18" t="s">
        <v>201</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22">
        <v>6.0000000000000001E-3</v>
      </c>
    </row>
    <row r="19" spans="1:33">
      <c r="A19" t="s">
        <v>171</v>
      </c>
      <c r="B19" t="s">
        <v>3522</v>
      </c>
      <c r="C19" t="s">
        <v>3521</v>
      </c>
      <c r="D19" t="s">
        <v>201</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22">
        <v>-7.0000000000000001E-3</v>
      </c>
    </row>
    <row r="20" spans="1:33">
      <c r="A20" t="s">
        <v>243</v>
      </c>
      <c r="B20" t="s">
        <v>3520</v>
      </c>
      <c r="C20" t="s">
        <v>3519</v>
      </c>
      <c r="D20" t="s">
        <v>201</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22">
        <v>-1E-3</v>
      </c>
    </row>
    <row r="21" spans="1:33">
      <c r="A21" t="s">
        <v>172</v>
      </c>
    </row>
    <row r="22" spans="1:33">
      <c r="A22" t="s">
        <v>173</v>
      </c>
      <c r="B22" t="s">
        <v>3518</v>
      </c>
      <c r="C22" t="s">
        <v>3517</v>
      </c>
      <c r="D22" t="s">
        <v>201</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22">
        <v>8.9999999999999993E-3</v>
      </c>
    </row>
    <row r="23" spans="1:33">
      <c r="A23" t="s">
        <v>174</v>
      </c>
      <c r="B23" t="s">
        <v>3516</v>
      </c>
      <c r="C23" t="s">
        <v>3515</v>
      </c>
      <c r="D23" t="s">
        <v>201</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22">
        <v>8.0000000000000002E-3</v>
      </c>
    </row>
    <row r="24" spans="1:33">
      <c r="A24" t="s">
        <v>203</v>
      </c>
      <c r="B24" t="s">
        <v>3514</v>
      </c>
      <c r="C24" t="s">
        <v>3513</v>
      </c>
      <c r="D24" t="s">
        <v>201</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22">
        <v>8.0000000000000002E-3</v>
      </c>
    </row>
    <row r="25" spans="1:33">
      <c r="A25" t="s">
        <v>204</v>
      </c>
      <c r="B25" t="s">
        <v>3512</v>
      </c>
      <c r="C25" t="s">
        <v>3511</v>
      </c>
      <c r="D25" t="s">
        <v>201</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22">
        <v>0.01</v>
      </c>
    </row>
    <row r="26" spans="1:33">
      <c r="A26" t="s">
        <v>205</v>
      </c>
      <c r="B26" t="s">
        <v>3510</v>
      </c>
      <c r="C26" t="s">
        <v>3509</v>
      </c>
      <c r="D26" t="s">
        <v>201</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22">
        <v>0.01</v>
      </c>
    </row>
    <row r="27" spans="1:33">
      <c r="A27" t="s">
        <v>175</v>
      </c>
      <c r="B27" t="s">
        <v>3508</v>
      </c>
      <c r="C27" t="s">
        <v>3507</v>
      </c>
      <c r="D27" t="s">
        <v>201</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22">
        <v>5.0000000000000001E-3</v>
      </c>
    </row>
    <row r="28" spans="1:33">
      <c r="A28" t="s">
        <v>176</v>
      </c>
      <c r="B28" t="s">
        <v>3506</v>
      </c>
      <c r="C28" t="s">
        <v>3505</v>
      </c>
      <c r="D28" t="s">
        <v>201</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22">
        <v>7.0000000000000001E-3</v>
      </c>
    </row>
    <row r="29" spans="1:33">
      <c r="A29" t="s">
        <v>150</v>
      </c>
      <c r="B29" t="s">
        <v>3504</v>
      </c>
      <c r="C29" t="s">
        <v>3503</v>
      </c>
      <c r="D29" t="s">
        <v>201</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22">
        <v>-7.0000000000000001E-3</v>
      </c>
    </row>
    <row r="30" spans="1:33">
      <c r="A30" t="s">
        <v>151</v>
      </c>
      <c r="B30" t="s">
        <v>3502</v>
      </c>
      <c r="C30" t="s">
        <v>3501</v>
      </c>
      <c r="D30" t="s">
        <v>201</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22">
        <v>8.9999999999999993E-3</v>
      </c>
    </row>
    <row r="31" spans="1:33">
      <c r="A31" t="s">
        <v>177</v>
      </c>
      <c r="B31" t="s">
        <v>3500</v>
      </c>
      <c r="C31" t="s">
        <v>3499</v>
      </c>
      <c r="D31" t="s">
        <v>201</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22">
        <v>-5.0000000000000001E-3</v>
      </c>
    </row>
    <row r="32" spans="1:33">
      <c r="A32" t="s">
        <v>178</v>
      </c>
      <c r="B32" t="s">
        <v>3498</v>
      </c>
      <c r="C32" t="s">
        <v>3497</v>
      </c>
      <c r="D32" t="s">
        <v>201</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22">
        <v>-1E-3</v>
      </c>
    </row>
    <row r="33" spans="1:33">
      <c r="A33" t="s">
        <v>176</v>
      </c>
      <c r="B33" t="s">
        <v>3496</v>
      </c>
      <c r="C33" t="s">
        <v>3495</v>
      </c>
      <c r="D33" t="s">
        <v>201</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22">
        <v>-3.0000000000000001E-3</v>
      </c>
    </row>
    <row r="34" spans="1:33">
      <c r="A34" t="s">
        <v>179</v>
      </c>
      <c r="B34" t="s">
        <v>3494</v>
      </c>
      <c r="C34" t="s">
        <v>3493</v>
      </c>
      <c r="D34" t="s">
        <v>201</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22">
        <v>1.0999999999999999E-2</v>
      </c>
    </row>
    <row r="35" spans="1:33">
      <c r="A35" t="s">
        <v>167</v>
      </c>
      <c r="B35" t="s">
        <v>3492</v>
      </c>
      <c r="C35" t="s">
        <v>3491</v>
      </c>
      <c r="D35" t="s">
        <v>201</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22">
        <v>1.2999999999999999E-2</v>
      </c>
    </row>
    <row r="36" spans="1:33">
      <c r="A36" t="s">
        <v>166</v>
      </c>
      <c r="B36" t="s">
        <v>3490</v>
      </c>
      <c r="C36" t="s">
        <v>3489</v>
      </c>
      <c r="D36" t="s">
        <v>201</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22">
        <v>1.2999999999999999E-2</v>
      </c>
    </row>
    <row r="37" spans="1:33">
      <c r="A37" t="s">
        <v>180</v>
      </c>
      <c r="B37" t="s">
        <v>3488</v>
      </c>
      <c r="C37" t="s">
        <v>3487</v>
      </c>
      <c r="D37" t="s">
        <v>201</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22">
        <v>8.9999999999999993E-3</v>
      </c>
    </row>
    <row r="38" spans="1:33">
      <c r="A38" t="s">
        <v>181</v>
      </c>
      <c r="B38" t="s">
        <v>3486</v>
      </c>
      <c r="C38" t="s">
        <v>3485</v>
      </c>
      <c r="D38" t="s">
        <v>201</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22">
        <v>0</v>
      </c>
    </row>
    <row r="39" spans="1:33">
      <c r="A39" t="s">
        <v>182</v>
      </c>
      <c r="B39" t="s">
        <v>3484</v>
      </c>
      <c r="C39" t="s">
        <v>3447</v>
      </c>
      <c r="D39" t="s">
        <v>201</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22">
        <v>-4.0000000000000001E-3</v>
      </c>
    </row>
    <row r="40" spans="1:33">
      <c r="A40" t="s">
        <v>1106</v>
      </c>
      <c r="B40" t="s">
        <v>3483</v>
      </c>
      <c r="C40" t="s">
        <v>3445</v>
      </c>
      <c r="D40" t="s">
        <v>201</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22">
        <v>3.6999999999999998E-2</v>
      </c>
    </row>
    <row r="41" spans="1:33">
      <c r="A41" t="s">
        <v>183</v>
      </c>
      <c r="B41" t="s">
        <v>3482</v>
      </c>
      <c r="C41" t="s">
        <v>3481</v>
      </c>
      <c r="D41" t="s">
        <v>201</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22">
        <v>2E-3</v>
      </c>
    </row>
    <row r="42" spans="1:33">
      <c r="A42" t="s">
        <v>184</v>
      </c>
      <c r="B42" t="s">
        <v>3480</v>
      </c>
      <c r="C42" t="s">
        <v>3479</v>
      </c>
      <c r="D42" t="s">
        <v>201</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22">
        <v>2E-3</v>
      </c>
    </row>
    <row r="43" spans="1:33">
      <c r="A43" t="s">
        <v>185</v>
      </c>
      <c r="B43" t="s">
        <v>3478</v>
      </c>
      <c r="C43" t="s">
        <v>3477</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111</v>
      </c>
    </row>
    <row r="44" spans="1:33">
      <c r="A44" t="s">
        <v>186</v>
      </c>
      <c r="B44" t="s">
        <v>3476</v>
      </c>
      <c r="C44" t="s">
        <v>3475</v>
      </c>
      <c r="D44" t="s">
        <v>201</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22">
        <v>2E-3</v>
      </c>
    </row>
    <row r="45" spans="1:33">
      <c r="A45" t="s">
        <v>141</v>
      </c>
      <c r="B45" t="s">
        <v>3474</v>
      </c>
      <c r="C45" t="s">
        <v>3473</v>
      </c>
      <c r="D45" t="s">
        <v>201</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22">
        <v>-3.0000000000000001E-3</v>
      </c>
    </row>
    <row r="46" spans="1:33">
      <c r="A46" t="s">
        <v>142</v>
      </c>
    </row>
    <row r="47" spans="1:33">
      <c r="A47" t="s">
        <v>187</v>
      </c>
      <c r="B47" t="s">
        <v>3472</v>
      </c>
      <c r="C47" t="s">
        <v>3471</v>
      </c>
      <c r="D47" t="s">
        <v>201</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22">
        <v>-8.9999999999999993E-3</v>
      </c>
    </row>
    <row r="48" spans="1:33">
      <c r="A48" t="s">
        <v>188</v>
      </c>
      <c r="B48" t="s">
        <v>3470</v>
      </c>
      <c r="C48" t="s">
        <v>3469</v>
      </c>
      <c r="D48" t="s">
        <v>201</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22">
        <v>-4.4999999999999998E-2</v>
      </c>
    </row>
    <row r="49" spans="1:33">
      <c r="A49" t="s">
        <v>189</v>
      </c>
      <c r="B49" t="s">
        <v>3468</v>
      </c>
      <c r="C49" t="s">
        <v>3467</v>
      </c>
      <c r="D49" t="s">
        <v>201</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22">
        <v>-6.0000000000000001E-3</v>
      </c>
    </row>
    <row r="50" spans="1:33">
      <c r="A50" t="s">
        <v>190</v>
      </c>
      <c r="B50" t="s">
        <v>3466</v>
      </c>
      <c r="C50" t="s">
        <v>3465</v>
      </c>
      <c r="D50" t="s">
        <v>201</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22">
        <v>8.0000000000000002E-3</v>
      </c>
    </row>
    <row r="51" spans="1:33">
      <c r="A51" t="s">
        <v>185</v>
      </c>
      <c r="B51" t="s">
        <v>3464</v>
      </c>
      <c r="C51" t="s">
        <v>3463</v>
      </c>
      <c r="D51" t="s">
        <v>201</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22">
        <v>5.0000000000000001E-3</v>
      </c>
    </row>
    <row r="52" spans="1:33">
      <c r="A52" t="s">
        <v>191</v>
      </c>
      <c r="B52" t="s">
        <v>3462</v>
      </c>
      <c r="C52" t="s">
        <v>3461</v>
      </c>
      <c r="D52" t="s">
        <v>201</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22">
        <v>0</v>
      </c>
    </row>
    <row r="53" spans="1:33">
      <c r="A53" t="s">
        <v>192</v>
      </c>
      <c r="B53" t="s">
        <v>3460</v>
      </c>
      <c r="C53" t="s">
        <v>3459</v>
      </c>
      <c r="D53" t="s">
        <v>201</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22">
        <v>-0.01</v>
      </c>
    </row>
    <row r="54" spans="1:33">
      <c r="A54" t="s">
        <v>181</v>
      </c>
      <c r="B54" t="s">
        <v>3458</v>
      </c>
      <c r="C54" t="s">
        <v>3457</v>
      </c>
      <c r="D54" t="s">
        <v>201</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22">
        <v>0</v>
      </c>
    </row>
    <row r="55" spans="1:33">
      <c r="A55" t="s">
        <v>193</v>
      </c>
      <c r="B55" t="s">
        <v>3456</v>
      </c>
      <c r="C55" t="s">
        <v>3455</v>
      </c>
      <c r="D55" t="s">
        <v>201</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22">
        <v>-5.0000000000000001E-3</v>
      </c>
    </row>
    <row r="56" spans="1:33">
      <c r="A56" t="s">
        <v>194</v>
      </c>
      <c r="B56" t="s">
        <v>3454</v>
      </c>
      <c r="C56" t="s">
        <v>3453</v>
      </c>
      <c r="D56" t="s">
        <v>201</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22">
        <v>0.10299999999999999</v>
      </c>
    </row>
    <row r="57" spans="1:33">
      <c r="A57" t="s">
        <v>195</v>
      </c>
      <c r="B57" t="s">
        <v>3452</v>
      </c>
      <c r="C57" t="s">
        <v>3451</v>
      </c>
      <c r="D57" t="s">
        <v>201</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22">
        <v>2.9000000000000001E-2</v>
      </c>
    </row>
    <row r="58" spans="1:33">
      <c r="A58" t="s">
        <v>196</v>
      </c>
      <c r="B58" t="s">
        <v>3450</v>
      </c>
      <c r="C58" t="s">
        <v>3449</v>
      </c>
      <c r="D58" t="s">
        <v>201</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22">
        <v>-4.4999999999999998E-2</v>
      </c>
    </row>
    <row r="59" spans="1:33">
      <c r="A59" t="s">
        <v>182</v>
      </c>
      <c r="B59" t="s">
        <v>3448</v>
      </c>
      <c r="C59" t="s">
        <v>3447</v>
      </c>
      <c r="D59" t="s">
        <v>201</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22">
        <v>-4.0000000000000001E-3</v>
      </c>
    </row>
    <row r="60" spans="1:33">
      <c r="A60" t="s">
        <v>1106</v>
      </c>
      <c r="B60" t="s">
        <v>3446</v>
      </c>
      <c r="C60" t="s">
        <v>3445</v>
      </c>
      <c r="D60" t="s">
        <v>201</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22">
        <v>3.6999999999999998E-2</v>
      </c>
    </row>
    <row r="61" spans="1:33">
      <c r="A61" t="s">
        <v>143</v>
      </c>
      <c r="B61" t="s">
        <v>3444</v>
      </c>
      <c r="C61" t="s">
        <v>3443</v>
      </c>
      <c r="D61" t="s">
        <v>201</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22">
        <v>-3.0000000000000001E-3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4.5"/>
  <sheetData>
    <row r="1" spans="1:33">
      <c r="A1" t="s">
        <v>992</v>
      </c>
    </row>
    <row r="2" spans="1:33">
      <c r="A2" t="s">
        <v>2419</v>
      </c>
    </row>
    <row r="3" spans="1:33">
      <c r="A3" t="s">
        <v>2418</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993</v>
      </c>
    </row>
    <row r="7" spans="1:33">
      <c r="A7" t="s">
        <v>994</v>
      </c>
    </row>
    <row r="8" spans="1:33">
      <c r="A8" t="s">
        <v>995</v>
      </c>
      <c r="B8" t="s">
        <v>2416</v>
      </c>
      <c r="C8" t="s">
        <v>2415</v>
      </c>
      <c r="D8" t="s">
        <v>202</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22">
        <v>-3.3000000000000002E-2</v>
      </c>
    </row>
    <row r="9" spans="1:33">
      <c r="A9" t="s">
        <v>996</v>
      </c>
      <c r="B9" t="s">
        <v>2414</v>
      </c>
      <c r="C9" t="s">
        <v>2413</v>
      </c>
      <c r="D9" t="s">
        <v>202</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22">
        <v>-0.12</v>
      </c>
    </row>
    <row r="10" spans="1:33">
      <c r="A10" t="s">
        <v>997</v>
      </c>
      <c r="B10" t="s">
        <v>2412</v>
      </c>
      <c r="C10" t="s">
        <v>2411</v>
      </c>
      <c r="D10" t="s">
        <v>202</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22">
        <v>-3.3000000000000002E-2</v>
      </c>
    </row>
    <row r="11" spans="1:33">
      <c r="A11" t="s">
        <v>998</v>
      </c>
    </row>
    <row r="12" spans="1:33">
      <c r="A12" t="s">
        <v>999</v>
      </c>
      <c r="B12" t="s">
        <v>2410</v>
      </c>
      <c r="C12" t="s">
        <v>2409</v>
      </c>
      <c r="D12" t="s">
        <v>202</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22">
        <v>-7.5999999999999998E-2</v>
      </c>
    </row>
    <row r="13" spans="1:33">
      <c r="A13" t="s">
        <v>1157</v>
      </c>
      <c r="B13" t="s">
        <v>2408</v>
      </c>
      <c r="C13" t="s">
        <v>2407</v>
      </c>
      <c r="D13" t="s">
        <v>202</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22">
        <v>1E-3</v>
      </c>
    </row>
    <row r="14" spans="1:33">
      <c r="A14" t="s">
        <v>1159</v>
      </c>
      <c r="B14" t="s">
        <v>2406</v>
      </c>
      <c r="C14" t="s">
        <v>2405</v>
      </c>
      <c r="D14" t="s">
        <v>202</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22">
        <v>0.1</v>
      </c>
    </row>
    <row r="15" spans="1:33">
      <c r="A15" t="s">
        <v>1161</v>
      </c>
      <c r="B15" t="s">
        <v>2404</v>
      </c>
      <c r="C15" t="s">
        <v>2403</v>
      </c>
      <c r="D15" t="s">
        <v>202</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22">
        <v>6.2E-2</v>
      </c>
    </row>
    <row r="16" spans="1:33">
      <c r="A16" t="s">
        <v>1000</v>
      </c>
      <c r="B16" t="s">
        <v>2402</v>
      </c>
      <c r="C16" t="s">
        <v>2401</v>
      </c>
      <c r="D16" t="s">
        <v>202</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22">
        <v>2.3E-2</v>
      </c>
    </row>
    <row r="17" spans="1:33">
      <c r="A17" t="s">
        <v>1001</v>
      </c>
      <c r="B17" t="s">
        <v>2400</v>
      </c>
      <c r="C17" t="s">
        <v>2399</v>
      </c>
      <c r="D17" t="s">
        <v>202</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22">
        <v>3.9E-2</v>
      </c>
    </row>
    <row r="18" spans="1:33">
      <c r="A18" t="s">
        <v>1002</v>
      </c>
      <c r="B18" t="s">
        <v>2398</v>
      </c>
      <c r="C18" t="s">
        <v>2397</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1003</v>
      </c>
      <c r="B19" t="s">
        <v>2396</v>
      </c>
      <c r="C19" t="s">
        <v>2395</v>
      </c>
      <c r="D19" t="s">
        <v>202</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22">
        <v>1.9E-2</v>
      </c>
    </row>
    <row r="20" spans="1:33">
      <c r="A20" t="s">
        <v>1004</v>
      </c>
      <c r="B20" t="s">
        <v>2394</v>
      </c>
      <c r="C20" t="s">
        <v>2393</v>
      </c>
      <c r="D20" t="s">
        <v>202</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22">
        <v>-8.6999999999999994E-2</v>
      </c>
    </row>
    <row r="21" spans="1:33">
      <c r="A21" t="s">
        <v>1005</v>
      </c>
      <c r="B21" t="s">
        <v>2392</v>
      </c>
      <c r="C21" t="s">
        <v>2391</v>
      </c>
      <c r="D21" t="s">
        <v>202</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22">
        <v>-6.0999999999999999E-2</v>
      </c>
    </row>
    <row r="22" spans="1:33">
      <c r="A22" t="s">
        <v>1006</v>
      </c>
      <c r="B22" t="s">
        <v>2390</v>
      </c>
      <c r="C22" t="s">
        <v>2389</v>
      </c>
      <c r="D22" t="s">
        <v>202</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22">
        <v>-6.5000000000000002E-2</v>
      </c>
    </row>
    <row r="23" spans="1:33">
      <c r="A23" t="s">
        <v>1007</v>
      </c>
      <c r="B23" t="s">
        <v>2388</v>
      </c>
      <c r="C23" t="s">
        <v>2387</v>
      </c>
      <c r="D23" t="s">
        <v>202</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22">
        <v>-6.7000000000000004E-2</v>
      </c>
    </row>
    <row r="24" spans="1:33">
      <c r="A24" t="s">
        <v>1008</v>
      </c>
      <c r="B24" t="s">
        <v>2386</v>
      </c>
      <c r="C24" t="s">
        <v>2385</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111</v>
      </c>
    </row>
    <row r="25" spans="1:33">
      <c r="A25" t="s">
        <v>1009</v>
      </c>
      <c r="B25" t="s">
        <v>2384</v>
      </c>
      <c r="C25" t="s">
        <v>2383</v>
      </c>
      <c r="D25" t="s">
        <v>202</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22">
        <v>-0.05</v>
      </c>
    </row>
    <row r="26" spans="1:33">
      <c r="A26" t="s">
        <v>1010</v>
      </c>
      <c r="B26" t="s">
        <v>2382</v>
      </c>
      <c r="C26" t="s">
        <v>2381</v>
      </c>
      <c r="D26" t="s">
        <v>202</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22">
        <v>4.5999999999999999E-2</v>
      </c>
    </row>
    <row r="27" spans="1:33">
      <c r="A27" t="s">
        <v>1011</v>
      </c>
      <c r="B27" t="s">
        <v>2380</v>
      </c>
      <c r="C27" t="s">
        <v>2379</v>
      </c>
      <c r="D27" t="s">
        <v>202</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22">
        <v>-8.0000000000000002E-3</v>
      </c>
    </row>
    <row r="28" spans="1:33">
      <c r="A28" t="s">
        <v>162</v>
      </c>
    </row>
    <row r="29" spans="1:33">
      <c r="A29" t="s">
        <v>1012</v>
      </c>
    </row>
    <row r="30" spans="1:33">
      <c r="A30" t="s">
        <v>995</v>
      </c>
      <c r="B30" t="s">
        <v>2378</v>
      </c>
      <c r="C30" t="s">
        <v>2377</v>
      </c>
      <c r="D30" t="s">
        <v>202</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22">
        <v>-7.0000000000000001E-3</v>
      </c>
    </row>
    <row r="31" spans="1:33">
      <c r="A31" t="s">
        <v>996</v>
      </c>
      <c r="B31" t="s">
        <v>2376</v>
      </c>
      <c r="C31" t="s">
        <v>2375</v>
      </c>
      <c r="D31" t="s">
        <v>202</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22">
        <v>2.8000000000000001E-2</v>
      </c>
    </row>
    <row r="32" spans="1:33">
      <c r="A32" t="s">
        <v>1013</v>
      </c>
      <c r="B32" t="s">
        <v>2374</v>
      </c>
      <c r="C32" t="s">
        <v>2373</v>
      </c>
      <c r="D32" t="s">
        <v>202</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22">
        <v>-7.0000000000000001E-3</v>
      </c>
    </row>
    <row r="33" spans="1:33">
      <c r="A33" t="s">
        <v>1014</v>
      </c>
    </row>
    <row r="34" spans="1:33">
      <c r="A34" t="s">
        <v>999</v>
      </c>
      <c r="B34" t="s">
        <v>2372</v>
      </c>
      <c r="C34" t="s">
        <v>2371</v>
      </c>
      <c r="D34" t="s">
        <v>202</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22">
        <v>-5.5E-2</v>
      </c>
    </row>
    <row r="35" spans="1:33">
      <c r="A35" t="s">
        <v>1157</v>
      </c>
      <c r="B35" t="s">
        <v>2370</v>
      </c>
      <c r="C35" t="s">
        <v>2369</v>
      </c>
      <c r="D35" t="s">
        <v>202</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22">
        <v>-9.2999999999999999E-2</v>
      </c>
    </row>
    <row r="36" spans="1:33">
      <c r="A36" t="s">
        <v>1159</v>
      </c>
      <c r="B36" t="s">
        <v>2368</v>
      </c>
      <c r="C36" t="s">
        <v>2367</v>
      </c>
      <c r="D36" t="s">
        <v>202</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22">
        <v>0.108</v>
      </c>
    </row>
    <row r="37" spans="1:33">
      <c r="A37" t="s">
        <v>1161</v>
      </c>
      <c r="B37" t="s">
        <v>2366</v>
      </c>
      <c r="C37" t="s">
        <v>2365</v>
      </c>
      <c r="D37" t="s">
        <v>202</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22">
        <v>0.125</v>
      </c>
    </row>
    <row r="38" spans="1:33">
      <c r="A38" t="s">
        <v>1000</v>
      </c>
      <c r="B38" t="s">
        <v>2364</v>
      </c>
      <c r="C38" t="s">
        <v>2363</v>
      </c>
      <c r="D38" t="s">
        <v>202</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22">
        <v>6.5000000000000002E-2</v>
      </c>
    </row>
    <row r="39" spans="1:33">
      <c r="A39" t="s">
        <v>1001</v>
      </c>
      <c r="B39" t="s">
        <v>2362</v>
      </c>
      <c r="C39" t="s">
        <v>2361</v>
      </c>
      <c r="D39" t="s">
        <v>202</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22">
        <v>0.17899999999999999</v>
      </c>
    </row>
    <row r="40" spans="1:33">
      <c r="A40" t="s">
        <v>1002</v>
      </c>
      <c r="B40" t="s">
        <v>2360</v>
      </c>
      <c r="C40" t="s">
        <v>2359</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111</v>
      </c>
    </row>
    <row r="41" spans="1:33">
      <c r="A41" t="s">
        <v>1003</v>
      </c>
      <c r="B41" t="s">
        <v>2358</v>
      </c>
      <c r="C41" t="s">
        <v>2357</v>
      </c>
      <c r="D41" t="s">
        <v>202</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22">
        <v>5.3999999999999999E-2</v>
      </c>
    </row>
    <row r="42" spans="1:33">
      <c r="A42" t="s">
        <v>1004</v>
      </c>
      <c r="B42" t="s">
        <v>2356</v>
      </c>
      <c r="C42" t="s">
        <v>2355</v>
      </c>
      <c r="D42" t="s">
        <v>202</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22">
        <v>-6.6000000000000003E-2</v>
      </c>
    </row>
    <row r="43" spans="1:33">
      <c r="A43" t="s">
        <v>1005</v>
      </c>
      <c r="B43" t="s">
        <v>2354</v>
      </c>
      <c r="C43" t="s">
        <v>2353</v>
      </c>
      <c r="D43" t="s">
        <v>202</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22">
        <v>-6.2E-2</v>
      </c>
    </row>
    <row r="44" spans="1:33">
      <c r="A44" t="s">
        <v>1006</v>
      </c>
      <c r="B44" t="s">
        <v>2352</v>
      </c>
      <c r="C44" t="s">
        <v>2351</v>
      </c>
      <c r="D44" t="s">
        <v>202</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22">
        <v>-6.3E-2</v>
      </c>
    </row>
    <row r="45" spans="1:33">
      <c r="A45" t="s">
        <v>1007</v>
      </c>
      <c r="B45" t="s">
        <v>2350</v>
      </c>
      <c r="C45" t="s">
        <v>2349</v>
      </c>
      <c r="D45" t="s">
        <v>202</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22">
        <v>-6.2E-2</v>
      </c>
    </row>
    <row r="46" spans="1:33">
      <c r="A46" t="s">
        <v>1008</v>
      </c>
      <c r="B46" t="s">
        <v>2348</v>
      </c>
      <c r="C46" t="s">
        <v>2347</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1009</v>
      </c>
      <c r="B47" t="s">
        <v>2346</v>
      </c>
      <c r="C47" t="s">
        <v>2345</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1015</v>
      </c>
      <c r="B48" t="s">
        <v>2344</v>
      </c>
      <c r="C48" t="s">
        <v>2343</v>
      </c>
      <c r="D48" t="s">
        <v>202</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22">
        <v>3.7999999999999999E-2</v>
      </c>
    </row>
    <row r="49" spans="1:33">
      <c r="A49" t="s">
        <v>1016</v>
      </c>
      <c r="B49" t="s">
        <v>2342</v>
      </c>
      <c r="C49" t="s">
        <v>2341</v>
      </c>
      <c r="D49" t="s">
        <v>202</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22">
        <v>4.0000000000000001E-3</v>
      </c>
    </row>
    <row r="50" spans="1:33">
      <c r="A50" t="s">
        <v>478</v>
      </c>
      <c r="B50" t="s">
        <v>2340</v>
      </c>
      <c r="C50" t="s">
        <v>2339</v>
      </c>
      <c r="D50" t="s">
        <v>202</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22">
        <v>1E-3</v>
      </c>
    </row>
    <row r="51" spans="1:33">
      <c r="A51" t="s">
        <v>235</v>
      </c>
      <c r="B51" t="s">
        <v>2338</v>
      </c>
      <c r="C51" t="s">
        <v>2337</v>
      </c>
      <c r="D51" t="s">
        <v>202</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22">
        <v>-2.7E-2</v>
      </c>
    </row>
    <row r="52" spans="1:33">
      <c r="A52" t="s">
        <v>189</v>
      </c>
      <c r="B52" t="s">
        <v>2336</v>
      </c>
      <c r="C52" t="s">
        <v>2335</v>
      </c>
      <c r="D52" t="s">
        <v>202</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22">
        <v>-6.0999999999999999E-2</v>
      </c>
    </row>
    <row r="53" spans="1:33">
      <c r="A53" t="s">
        <v>192</v>
      </c>
      <c r="B53" t="s">
        <v>2334</v>
      </c>
      <c r="C53" t="s">
        <v>2333</v>
      </c>
      <c r="D53" t="s">
        <v>202</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22">
        <v>7.5999999999999998E-2</v>
      </c>
    </row>
    <row r="54" spans="1:33">
      <c r="A54" t="s">
        <v>195</v>
      </c>
      <c r="B54" t="s">
        <v>2332</v>
      </c>
      <c r="C54" t="s">
        <v>2331</v>
      </c>
      <c r="D54" t="s">
        <v>202</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22">
        <v>0.11899999999999999</v>
      </c>
    </row>
    <row r="55" spans="1:33">
      <c r="A55" t="s">
        <v>236</v>
      </c>
      <c r="B55" t="s">
        <v>2330</v>
      </c>
      <c r="C55" t="s">
        <v>2329</v>
      </c>
      <c r="D55" t="s">
        <v>202</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22">
        <v>-8.0000000000000002E-3</v>
      </c>
    </row>
    <row r="56" spans="1:33">
      <c r="A56" t="s">
        <v>237</v>
      </c>
      <c r="B56" t="s">
        <v>2328</v>
      </c>
      <c r="C56" t="s">
        <v>2327</v>
      </c>
      <c r="D56" t="s">
        <v>202</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22">
        <v>0.127</v>
      </c>
    </row>
    <row r="57" spans="1:33">
      <c r="A57" t="s">
        <v>239</v>
      </c>
      <c r="B57" t="s">
        <v>2326</v>
      </c>
      <c r="C57" t="s">
        <v>2325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111</v>
      </c>
    </row>
    <row r="58" spans="1:33">
      <c r="A58" t="s">
        <v>238</v>
      </c>
      <c r="B58" t="s">
        <v>2324</v>
      </c>
      <c r="C58" t="s">
        <v>2323</v>
      </c>
      <c r="D58" t="s">
        <v>202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111</v>
      </c>
    </row>
    <row r="59" spans="1:33">
      <c r="A59" t="s">
        <v>240</v>
      </c>
      <c r="B59" t="s">
        <v>2322</v>
      </c>
      <c r="C59" t="s">
        <v>2321</v>
      </c>
      <c r="D59" t="s">
        <v>202</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2320</v>
      </c>
      <c r="B60" t="s">
        <v>2319</v>
      </c>
      <c r="C60" t="s">
        <v>2318</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2317</v>
      </c>
      <c r="B61" t="s">
        <v>2316</v>
      </c>
      <c r="C61" t="s">
        <v>2315</v>
      </c>
      <c r="D61" t="s">
        <v>202</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111</v>
      </c>
    </row>
    <row r="62" spans="1:33">
      <c r="A62" t="s">
        <v>2314</v>
      </c>
      <c r="B62" t="s">
        <v>2313</v>
      </c>
      <c r="C62" t="s">
        <v>2312</v>
      </c>
      <c r="D62" t="s">
        <v>202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1017</v>
      </c>
      <c r="B63" t="s">
        <v>2311</v>
      </c>
      <c r="C63" t="s">
        <v>2310</v>
      </c>
      <c r="D63" t="s">
        <v>202</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22">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4.5"/>
  <sheetData>
    <row r="1" spans="1:33">
      <c r="A1" t="s">
        <v>228</v>
      </c>
    </row>
    <row r="2" spans="1:33">
      <c r="A2" t="s">
        <v>2897</v>
      </c>
    </row>
    <row r="3" spans="1:33">
      <c r="A3" t="s">
        <v>2896</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2895</v>
      </c>
      <c r="B6" t="s">
        <v>2894</v>
      </c>
      <c r="C6" t="s">
        <v>2893</v>
      </c>
      <c r="D6" t="s">
        <v>229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2">
        <v>8.0000000000000002E-3</v>
      </c>
    </row>
    <row r="7" spans="1:33">
      <c r="A7" t="s">
        <v>116</v>
      </c>
    </row>
    <row r="8" spans="1:33">
      <c r="A8" t="s">
        <v>208</v>
      </c>
      <c r="B8" t="s">
        <v>2892</v>
      </c>
      <c r="C8" t="s">
        <v>2891</v>
      </c>
      <c r="D8" t="s">
        <v>230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2">
        <v>1E-3</v>
      </c>
    </row>
    <row r="9" spans="1:33">
      <c r="A9" t="s">
        <v>209</v>
      </c>
      <c r="B9" t="s">
        <v>2890</v>
      </c>
      <c r="C9" t="s">
        <v>2889</v>
      </c>
      <c r="D9" t="s">
        <v>230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2">
        <v>2E-3</v>
      </c>
    </row>
    <row r="10" spans="1:33">
      <c r="A10" t="s">
        <v>115</v>
      </c>
    </row>
    <row r="11" spans="1:33">
      <c r="A11" t="s">
        <v>210</v>
      </c>
    </row>
    <row r="12" spans="1:33">
      <c r="A12" t="s">
        <v>211</v>
      </c>
      <c r="B12" t="s">
        <v>2888</v>
      </c>
      <c r="C12" t="s">
        <v>2887</v>
      </c>
      <c r="D12" t="s">
        <v>231</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2">
        <v>3.0000000000000001E-3</v>
      </c>
    </row>
    <row r="13" spans="1:33">
      <c r="A13" t="s">
        <v>212</v>
      </c>
      <c r="B13" t="s">
        <v>2886</v>
      </c>
      <c r="C13" t="s">
        <v>2885</v>
      </c>
      <c r="D13" t="s">
        <v>231</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2">
        <v>8.9999999999999993E-3</v>
      </c>
    </row>
    <row r="14" spans="1:33">
      <c r="A14" t="s">
        <v>2459</v>
      </c>
      <c r="B14" t="s">
        <v>2884</v>
      </c>
      <c r="C14" t="s">
        <v>2883</v>
      </c>
      <c r="D14" t="s">
        <v>231</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2">
        <v>5.0000000000000001E-3</v>
      </c>
    </row>
    <row r="15" spans="1:33">
      <c r="A15" t="s">
        <v>2456</v>
      </c>
      <c r="B15" t="s">
        <v>2882</v>
      </c>
      <c r="C15" t="s">
        <v>2881</v>
      </c>
      <c r="D15" t="s">
        <v>231</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2">
        <v>0</v>
      </c>
    </row>
    <row r="16" spans="1:33">
      <c r="A16" t="s">
        <v>1262</v>
      </c>
      <c r="B16" t="s">
        <v>2880</v>
      </c>
      <c r="C16" t="s">
        <v>2879</v>
      </c>
      <c r="D16" t="s">
        <v>231</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2">
        <v>-6.0000000000000001E-3</v>
      </c>
    </row>
    <row r="17" spans="1:33">
      <c r="A17" t="s">
        <v>1265</v>
      </c>
      <c r="B17" t="s">
        <v>2878</v>
      </c>
      <c r="C17" t="s">
        <v>2877</v>
      </c>
      <c r="D17" t="s">
        <v>231</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2">
        <v>8.9999999999999993E-3</v>
      </c>
    </row>
    <row r="18" spans="1:33">
      <c r="A18" t="s">
        <v>1268</v>
      </c>
      <c r="B18" t="s">
        <v>2876</v>
      </c>
      <c r="C18" t="s">
        <v>2875</v>
      </c>
      <c r="D18" t="s">
        <v>231</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2">
        <v>-5.0000000000000001E-3</v>
      </c>
    </row>
    <row r="19" spans="1:33">
      <c r="A19" t="s">
        <v>1271</v>
      </c>
      <c r="B19" t="s">
        <v>2874</v>
      </c>
      <c r="C19" t="s">
        <v>2873</v>
      </c>
      <c r="D19" t="s">
        <v>231</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2">
        <v>-2E-3</v>
      </c>
    </row>
    <row r="20" spans="1:33">
      <c r="A20" t="s">
        <v>2445</v>
      </c>
      <c r="B20" t="s">
        <v>2872</v>
      </c>
      <c r="C20" t="s">
        <v>2871</v>
      </c>
      <c r="D20" t="s">
        <v>231</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2">
        <v>6.0000000000000001E-3</v>
      </c>
    </row>
    <row r="21" spans="1:33">
      <c r="A21" t="s">
        <v>214</v>
      </c>
      <c r="B21" t="s">
        <v>2870</v>
      </c>
      <c r="C21" t="s">
        <v>2869</v>
      </c>
      <c r="D21" t="s">
        <v>231</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2">
        <v>-5.0000000000000001E-3</v>
      </c>
    </row>
    <row r="22" spans="1:33">
      <c r="A22" t="s">
        <v>1279</v>
      </c>
      <c r="B22" t="s">
        <v>2868</v>
      </c>
      <c r="C22" t="s">
        <v>2867</v>
      </c>
      <c r="D22" t="s">
        <v>231</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2">
        <v>6.0000000000000001E-3</v>
      </c>
    </row>
    <row r="23" spans="1:33">
      <c r="A23" t="s">
        <v>2438</v>
      </c>
      <c r="B23" t="s">
        <v>2866</v>
      </c>
      <c r="C23" t="s">
        <v>2865</v>
      </c>
      <c r="D23" t="s">
        <v>231</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2">
        <v>8.0000000000000002E-3</v>
      </c>
    </row>
    <row r="24" spans="1:33">
      <c r="A24" t="s">
        <v>1285</v>
      </c>
      <c r="B24" t="s">
        <v>2864</v>
      </c>
      <c r="C24" t="s">
        <v>2863</v>
      </c>
      <c r="D24" t="s">
        <v>231</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2">
        <v>1.2999999999999999E-2</v>
      </c>
    </row>
    <row r="25" spans="1:33">
      <c r="A25" t="s">
        <v>213</v>
      </c>
      <c r="B25" t="s">
        <v>2862</v>
      </c>
      <c r="C25" t="s">
        <v>2861</v>
      </c>
      <c r="D25" t="s">
        <v>231</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2">
        <v>1.9E-2</v>
      </c>
    </row>
    <row r="26" spans="1:33">
      <c r="A26" t="s">
        <v>1290</v>
      </c>
      <c r="B26" t="s">
        <v>2860</v>
      </c>
      <c r="C26" t="s">
        <v>2859</v>
      </c>
      <c r="D26" t="s">
        <v>231</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2">
        <v>1E-3</v>
      </c>
    </row>
    <row r="27" spans="1:33">
      <c r="A27" t="s">
        <v>2429</v>
      </c>
      <c r="B27" t="s">
        <v>2858</v>
      </c>
      <c r="C27" t="s">
        <v>2857</v>
      </c>
      <c r="D27" t="s">
        <v>231</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2">
        <v>5.0000000000000001E-3</v>
      </c>
    </row>
    <row r="28" spans="1:33">
      <c r="A28" t="s">
        <v>114</v>
      </c>
    </row>
    <row r="29" spans="1:33">
      <c r="A29" t="s">
        <v>215</v>
      </c>
    </row>
    <row r="30" spans="1:33">
      <c r="A30" t="s">
        <v>206</v>
      </c>
    </row>
    <row r="31" spans="1:33">
      <c r="A31" t="s">
        <v>211</v>
      </c>
      <c r="B31" t="s">
        <v>2856</v>
      </c>
      <c r="C31" t="s">
        <v>2855</v>
      </c>
      <c r="D31" t="s">
        <v>202</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22">
        <v>1.7999999999999999E-2</v>
      </c>
    </row>
    <row r="32" spans="1:33">
      <c r="A32" t="s">
        <v>212</v>
      </c>
      <c r="B32" t="s">
        <v>2854</v>
      </c>
      <c r="C32" t="s">
        <v>2853</v>
      </c>
      <c r="D32" t="s">
        <v>202</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2">
        <v>1.7000000000000001E-2</v>
      </c>
    </row>
    <row r="33" spans="1:33">
      <c r="A33" t="s">
        <v>2459</v>
      </c>
      <c r="B33" t="s">
        <v>2852</v>
      </c>
      <c r="C33" t="s">
        <v>2851</v>
      </c>
      <c r="D33" t="s">
        <v>202</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2">
        <v>3.5999999999999997E-2</v>
      </c>
    </row>
    <row r="34" spans="1:33">
      <c r="A34" t="s">
        <v>2456</v>
      </c>
      <c r="B34" t="s">
        <v>2850</v>
      </c>
      <c r="C34" t="s">
        <v>2849</v>
      </c>
      <c r="D34" t="s">
        <v>202</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2">
        <v>2.1000000000000001E-2</v>
      </c>
    </row>
    <row r="35" spans="1:33">
      <c r="A35" t="s">
        <v>1262</v>
      </c>
      <c r="B35" t="s">
        <v>2848</v>
      </c>
      <c r="C35" t="s">
        <v>2847</v>
      </c>
      <c r="D35" t="s">
        <v>202</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2">
        <v>5.0000000000000001E-3</v>
      </c>
    </row>
    <row r="36" spans="1:33">
      <c r="A36" t="s">
        <v>1265</v>
      </c>
      <c r="B36" t="s">
        <v>2846</v>
      </c>
      <c r="C36" t="s">
        <v>2845</v>
      </c>
      <c r="D36" t="s">
        <v>202</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2">
        <v>2.3E-2</v>
      </c>
    </row>
    <row r="37" spans="1:33">
      <c r="A37" t="s">
        <v>1268</v>
      </c>
      <c r="B37" t="s">
        <v>2844</v>
      </c>
      <c r="C37" t="s">
        <v>2843</v>
      </c>
      <c r="D37" t="s">
        <v>202</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2">
        <v>0.01</v>
      </c>
    </row>
    <row r="38" spans="1:33">
      <c r="A38" t="s">
        <v>1271</v>
      </c>
      <c r="B38" t="s">
        <v>2842</v>
      </c>
      <c r="C38" t="s">
        <v>2841</v>
      </c>
      <c r="D38" t="s">
        <v>202</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2">
        <v>1.2E-2</v>
      </c>
    </row>
    <row r="39" spans="1:33">
      <c r="A39" t="s">
        <v>2445</v>
      </c>
      <c r="B39" t="s">
        <v>2840</v>
      </c>
      <c r="C39" t="s">
        <v>2839</v>
      </c>
      <c r="D39" t="s">
        <v>202</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2">
        <v>3.2000000000000001E-2</v>
      </c>
    </row>
    <row r="40" spans="1:33">
      <c r="A40" t="s">
        <v>214</v>
      </c>
      <c r="B40" t="s">
        <v>2838</v>
      </c>
      <c r="C40" t="s">
        <v>2837</v>
      </c>
      <c r="D40" t="s">
        <v>202</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2">
        <v>4.3999999999999997E-2</v>
      </c>
    </row>
    <row r="41" spans="1:33">
      <c r="A41" t="s">
        <v>1279</v>
      </c>
      <c r="B41" t="s">
        <v>2836</v>
      </c>
      <c r="C41" t="s">
        <v>2835</v>
      </c>
      <c r="D41" t="s">
        <v>202</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2">
        <v>6.0999999999999999E-2</v>
      </c>
    </row>
    <row r="42" spans="1:33">
      <c r="A42" t="s">
        <v>2438</v>
      </c>
      <c r="B42" t="s">
        <v>2834</v>
      </c>
      <c r="C42" t="s">
        <v>2833</v>
      </c>
      <c r="D42" t="s">
        <v>202</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2">
        <v>4.2999999999999997E-2</v>
      </c>
    </row>
    <row r="43" spans="1:33">
      <c r="A43" t="s">
        <v>1285</v>
      </c>
      <c r="B43" t="s">
        <v>2832</v>
      </c>
      <c r="C43" t="s">
        <v>2831</v>
      </c>
      <c r="D43" t="s">
        <v>202</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2">
        <v>3.6999999999999998E-2</v>
      </c>
    </row>
    <row r="44" spans="1:33">
      <c r="A44" t="s">
        <v>213</v>
      </c>
      <c r="B44" t="s">
        <v>2830</v>
      </c>
      <c r="C44" t="s">
        <v>2829</v>
      </c>
      <c r="D44" t="s">
        <v>202</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2">
        <v>4.3999999999999997E-2</v>
      </c>
    </row>
    <row r="45" spans="1:33">
      <c r="A45" t="s">
        <v>1290</v>
      </c>
      <c r="B45" t="s">
        <v>2828</v>
      </c>
      <c r="C45" t="s">
        <v>2827</v>
      </c>
      <c r="D45" t="s">
        <v>202</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2">
        <v>1.6E-2</v>
      </c>
    </row>
    <row r="46" spans="1:33">
      <c r="A46" t="s">
        <v>2429</v>
      </c>
      <c r="B46" t="s">
        <v>2826</v>
      </c>
      <c r="C46" t="s">
        <v>2825</v>
      </c>
      <c r="D46" t="s">
        <v>202</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2">
        <v>2.5000000000000001E-2</v>
      </c>
    </row>
    <row r="47" spans="1:33">
      <c r="A47" t="s">
        <v>1328</v>
      </c>
      <c r="B47" t="s">
        <v>2824</v>
      </c>
      <c r="C47" t="s">
        <v>2823</v>
      </c>
      <c r="D47" t="s">
        <v>202</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2">
        <v>0.03</v>
      </c>
    </row>
    <row r="48" spans="1:33">
      <c r="A48" t="s">
        <v>207</v>
      </c>
    </row>
    <row r="49" spans="1:33">
      <c r="A49" t="s">
        <v>211</v>
      </c>
      <c r="B49" t="s">
        <v>2822</v>
      </c>
      <c r="C49" t="s">
        <v>2821</v>
      </c>
      <c r="D49" t="s">
        <v>202</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22">
        <v>2.1000000000000001E-2</v>
      </c>
    </row>
    <row r="50" spans="1:33">
      <c r="A50" t="s">
        <v>212</v>
      </c>
      <c r="B50" t="s">
        <v>2820</v>
      </c>
      <c r="C50" t="s">
        <v>2819</v>
      </c>
      <c r="D50" t="s">
        <v>202</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2">
        <v>2.5000000000000001E-2</v>
      </c>
    </row>
    <row r="51" spans="1:33">
      <c r="A51" t="s">
        <v>2459</v>
      </c>
      <c r="B51" t="s">
        <v>2818</v>
      </c>
      <c r="C51" t="s">
        <v>2817</v>
      </c>
      <c r="D51" t="s">
        <v>202</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2">
        <v>0.03</v>
      </c>
    </row>
    <row r="52" spans="1:33">
      <c r="A52" t="s">
        <v>2456</v>
      </c>
      <c r="B52" t="s">
        <v>2816</v>
      </c>
      <c r="C52" t="s">
        <v>2815</v>
      </c>
      <c r="D52" t="s">
        <v>202</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2">
        <v>1.9E-2</v>
      </c>
    </row>
    <row r="53" spans="1:33">
      <c r="A53" t="s">
        <v>1262</v>
      </c>
      <c r="B53" t="s">
        <v>2814</v>
      </c>
      <c r="C53" t="s">
        <v>2813</v>
      </c>
      <c r="D53" t="s">
        <v>202</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2">
        <v>1E-3</v>
      </c>
    </row>
    <row r="54" spans="1:33">
      <c r="A54" t="s">
        <v>1265</v>
      </c>
      <c r="B54" t="s">
        <v>2812</v>
      </c>
      <c r="C54" t="s">
        <v>2811</v>
      </c>
      <c r="D54" t="s">
        <v>202</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2">
        <v>2.9000000000000001E-2</v>
      </c>
    </row>
    <row r="55" spans="1:33">
      <c r="A55" t="s">
        <v>1268</v>
      </c>
      <c r="B55" t="s">
        <v>2810</v>
      </c>
      <c r="C55" t="s">
        <v>2809</v>
      </c>
      <c r="D55" t="s">
        <v>202</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2">
        <v>3.1E-2</v>
      </c>
    </row>
    <row r="56" spans="1:33">
      <c r="A56" t="s">
        <v>1271</v>
      </c>
      <c r="B56" t="s">
        <v>2808</v>
      </c>
      <c r="C56" t="s">
        <v>2807</v>
      </c>
      <c r="D56" t="s">
        <v>202</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2">
        <v>5.0999999999999997E-2</v>
      </c>
    </row>
    <row r="57" spans="1:33">
      <c r="A57" t="s">
        <v>2445</v>
      </c>
      <c r="B57" t="s">
        <v>2806</v>
      </c>
      <c r="C57" t="s">
        <v>2805</v>
      </c>
      <c r="D57" t="s">
        <v>202</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2">
        <v>3.5000000000000003E-2</v>
      </c>
    </row>
    <row r="58" spans="1:33">
      <c r="A58" t="s">
        <v>214</v>
      </c>
      <c r="B58" t="s">
        <v>2804</v>
      </c>
      <c r="C58" t="s">
        <v>2803</v>
      </c>
      <c r="D58" t="s">
        <v>202</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2">
        <v>4.3999999999999997E-2</v>
      </c>
    </row>
    <row r="59" spans="1:33">
      <c r="A59" t="s">
        <v>1279</v>
      </c>
      <c r="B59" t="s">
        <v>2802</v>
      </c>
      <c r="C59" t="s">
        <v>2801</v>
      </c>
      <c r="D59" t="s">
        <v>202</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2">
        <v>5.2999999999999999E-2</v>
      </c>
    </row>
    <row r="60" spans="1:33">
      <c r="A60" t="s">
        <v>2438</v>
      </c>
      <c r="B60" t="s">
        <v>2800</v>
      </c>
      <c r="C60" t="s">
        <v>2799</v>
      </c>
      <c r="D60" t="s">
        <v>202</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2">
        <v>3.9E-2</v>
      </c>
    </row>
    <row r="61" spans="1:33">
      <c r="A61" t="s">
        <v>1285</v>
      </c>
      <c r="B61" t="s">
        <v>2798</v>
      </c>
      <c r="C61" t="s">
        <v>2797</v>
      </c>
      <c r="D61" t="s">
        <v>202</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2">
        <v>4.1000000000000002E-2</v>
      </c>
    </row>
    <row r="62" spans="1:33">
      <c r="A62" t="s">
        <v>213</v>
      </c>
      <c r="B62" t="s">
        <v>2796</v>
      </c>
      <c r="C62" t="s">
        <v>2795</v>
      </c>
      <c r="D62" t="s">
        <v>202</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2">
        <v>0.04</v>
      </c>
    </row>
    <row r="63" spans="1:33">
      <c r="A63" t="s">
        <v>1290</v>
      </c>
      <c r="B63" t="s">
        <v>2794</v>
      </c>
      <c r="C63" t="s">
        <v>2793</v>
      </c>
      <c r="D63" t="s">
        <v>202</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2">
        <v>1.9E-2</v>
      </c>
    </row>
    <row r="64" spans="1:33">
      <c r="A64" t="s">
        <v>2429</v>
      </c>
      <c r="B64" t="s">
        <v>2792</v>
      </c>
      <c r="C64" t="s">
        <v>2791</v>
      </c>
      <c r="D64" t="s">
        <v>202</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2">
        <v>0.03</v>
      </c>
    </row>
    <row r="65" spans="1:33">
      <c r="A65" t="s">
        <v>1363</v>
      </c>
      <c r="B65" t="s">
        <v>2790</v>
      </c>
      <c r="C65" t="s">
        <v>2788</v>
      </c>
      <c r="D65" t="s">
        <v>202</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2">
        <v>3.1E-2</v>
      </c>
    </row>
    <row r="66" spans="1:33">
      <c r="A66" t="s">
        <v>112</v>
      </c>
      <c r="B66" t="s">
        <v>2789</v>
      </c>
      <c r="C66" t="s">
        <v>2788</v>
      </c>
      <c r="D66" t="s">
        <v>202</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2">
        <v>0.03</v>
      </c>
    </row>
    <row r="67" spans="1:33">
      <c r="A67" t="s">
        <v>216</v>
      </c>
    </row>
    <row r="68" spans="1:33">
      <c r="A68" t="s">
        <v>211</v>
      </c>
      <c r="B68" t="s">
        <v>2787</v>
      </c>
      <c r="C68" t="s">
        <v>2786</v>
      </c>
      <c r="D68" t="s">
        <v>202</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2">
        <v>0.02</v>
      </c>
    </row>
    <row r="69" spans="1:33">
      <c r="A69" t="s">
        <v>212</v>
      </c>
      <c r="B69" t="s">
        <v>2785</v>
      </c>
      <c r="C69" t="s">
        <v>2784</v>
      </c>
      <c r="D69" t="s">
        <v>202</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2">
        <v>4.0000000000000001E-3</v>
      </c>
    </row>
    <row r="70" spans="1:33">
      <c r="A70" t="s">
        <v>2459</v>
      </c>
      <c r="B70" t="s">
        <v>2783</v>
      </c>
      <c r="C70" t="s">
        <v>2782</v>
      </c>
      <c r="D70" t="s">
        <v>202</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2">
        <v>2.7E-2</v>
      </c>
    </row>
    <row r="71" spans="1:33">
      <c r="A71" t="s">
        <v>2456</v>
      </c>
      <c r="B71" t="s">
        <v>2781</v>
      </c>
      <c r="C71" t="s">
        <v>2780</v>
      </c>
      <c r="D71" t="s">
        <v>202</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2">
        <v>0.03</v>
      </c>
    </row>
    <row r="72" spans="1:33">
      <c r="A72" t="s">
        <v>1262</v>
      </c>
      <c r="B72" t="s">
        <v>2779</v>
      </c>
      <c r="C72" t="s">
        <v>2778</v>
      </c>
      <c r="D72" t="s">
        <v>202</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2">
        <v>2E-3</v>
      </c>
    </row>
    <row r="73" spans="1:33">
      <c r="A73" t="s">
        <v>1265</v>
      </c>
      <c r="B73" t="s">
        <v>2777</v>
      </c>
      <c r="C73" t="s">
        <v>2776</v>
      </c>
      <c r="D73" t="s">
        <v>202</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2">
        <v>1.7999999999999999E-2</v>
      </c>
    </row>
    <row r="74" spans="1:33">
      <c r="A74" t="s">
        <v>1268</v>
      </c>
      <c r="B74" t="s">
        <v>2775</v>
      </c>
      <c r="C74" t="s">
        <v>2774</v>
      </c>
      <c r="D74" t="s">
        <v>202</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2">
        <v>1.4999999999999999E-2</v>
      </c>
    </row>
    <row r="75" spans="1:33">
      <c r="A75" t="s">
        <v>1271</v>
      </c>
      <c r="B75" t="s">
        <v>2773</v>
      </c>
      <c r="C75" t="s">
        <v>2772</v>
      </c>
      <c r="D75" t="s">
        <v>202</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2">
        <v>1.7999999999999999E-2</v>
      </c>
    </row>
    <row r="76" spans="1:33">
      <c r="A76" t="s">
        <v>2445</v>
      </c>
      <c r="B76" t="s">
        <v>2771</v>
      </c>
      <c r="C76" t="s">
        <v>2770</v>
      </c>
      <c r="D76" t="s">
        <v>202</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2">
        <v>-4.2000000000000003E-2</v>
      </c>
    </row>
    <row r="77" spans="1:33">
      <c r="A77" t="s">
        <v>214</v>
      </c>
      <c r="B77" t="s">
        <v>2769</v>
      </c>
      <c r="C77" t="s">
        <v>2768</v>
      </c>
      <c r="D77" t="s">
        <v>202</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2">
        <v>2.5999999999999999E-2</v>
      </c>
    </row>
    <row r="78" spans="1:33">
      <c r="A78" t="s">
        <v>1279</v>
      </c>
      <c r="B78" t="s">
        <v>2767</v>
      </c>
      <c r="C78" t="s">
        <v>2766</v>
      </c>
      <c r="D78" t="s">
        <v>202</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2">
        <v>3.5000000000000003E-2</v>
      </c>
    </row>
    <row r="79" spans="1:33">
      <c r="A79" t="s">
        <v>2438</v>
      </c>
      <c r="B79" t="s">
        <v>2765</v>
      </c>
      <c r="C79" t="s">
        <v>2764</v>
      </c>
      <c r="D79" t="s">
        <v>202</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2">
        <v>1.2999999999999999E-2</v>
      </c>
    </row>
    <row r="80" spans="1:33">
      <c r="A80" t="s">
        <v>1285</v>
      </c>
      <c r="B80" t="s">
        <v>2763</v>
      </c>
      <c r="C80" t="s">
        <v>2762</v>
      </c>
      <c r="D80" t="s">
        <v>202</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2">
        <v>-0.02</v>
      </c>
    </row>
    <row r="81" spans="1:33">
      <c r="A81" t="s">
        <v>213</v>
      </c>
      <c r="B81" t="s">
        <v>2761</v>
      </c>
      <c r="C81" t="s">
        <v>2760</v>
      </c>
      <c r="D81" t="s">
        <v>202</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2">
        <v>3.6999999999999998E-2</v>
      </c>
    </row>
    <row r="82" spans="1:33">
      <c r="A82" t="s">
        <v>1290</v>
      </c>
      <c r="B82" t="s">
        <v>2759</v>
      </c>
      <c r="C82" t="s">
        <v>2758</v>
      </c>
      <c r="D82" t="s">
        <v>202</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2">
        <v>8.9999999999999993E-3</v>
      </c>
    </row>
    <row r="83" spans="1:33">
      <c r="A83" t="s">
        <v>2429</v>
      </c>
      <c r="B83" t="s">
        <v>2757</v>
      </c>
      <c r="C83" t="s">
        <v>2756</v>
      </c>
      <c r="D83" t="s">
        <v>202</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2">
        <v>3.5000000000000003E-2</v>
      </c>
    </row>
    <row r="84" spans="1:33">
      <c r="A84" t="s">
        <v>1328</v>
      </c>
      <c r="B84" t="s">
        <v>2755</v>
      </c>
      <c r="C84" t="s">
        <v>2752</v>
      </c>
      <c r="D84" t="s">
        <v>202</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2">
        <v>1.6E-2</v>
      </c>
    </row>
    <row r="85" spans="1:33">
      <c r="A85" t="s">
        <v>1363</v>
      </c>
      <c r="B85" t="s">
        <v>2754</v>
      </c>
      <c r="C85" t="s">
        <v>2752</v>
      </c>
      <c r="D85" t="s">
        <v>202</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2">
        <v>2.1999999999999999E-2</v>
      </c>
    </row>
    <row r="86" spans="1:33">
      <c r="A86" t="s">
        <v>112</v>
      </c>
      <c r="B86" t="s">
        <v>2753</v>
      </c>
      <c r="C86" t="s">
        <v>2752</v>
      </c>
      <c r="D86" t="s">
        <v>202</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2">
        <v>2.1000000000000001E-2</v>
      </c>
    </row>
    <row r="87" spans="1:33">
      <c r="A87" t="s">
        <v>113</v>
      </c>
    </row>
    <row r="88" spans="1:33">
      <c r="A88" t="s">
        <v>211</v>
      </c>
      <c r="B88" t="s">
        <v>2751</v>
      </c>
      <c r="C88" t="s">
        <v>2750</v>
      </c>
      <c r="D88" t="s">
        <v>202</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2">
        <v>1.7999999999999999E-2</v>
      </c>
    </row>
    <row r="89" spans="1:33">
      <c r="A89" t="s">
        <v>217</v>
      </c>
      <c r="B89" t="s">
        <v>2749</v>
      </c>
      <c r="C89" t="s">
        <v>2748</v>
      </c>
      <c r="D89" t="s">
        <v>202</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2">
        <v>1.7000000000000001E-2</v>
      </c>
    </row>
    <row r="90" spans="1:33">
      <c r="A90" t="s">
        <v>218</v>
      </c>
      <c r="B90" t="s">
        <v>2747</v>
      </c>
      <c r="C90" t="s">
        <v>2746</v>
      </c>
      <c r="D90" t="s">
        <v>202</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2">
        <v>1.9E-2</v>
      </c>
    </row>
    <row r="91" spans="1:33">
      <c r="A91" t="s">
        <v>219</v>
      </c>
      <c r="B91" t="s">
        <v>2745</v>
      </c>
      <c r="C91" t="s">
        <v>2744</v>
      </c>
      <c r="D91" t="s">
        <v>202</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2">
        <v>1.7000000000000001E-2</v>
      </c>
    </row>
    <row r="92" spans="1:33">
      <c r="A92" t="s">
        <v>212</v>
      </c>
      <c r="B92" t="s">
        <v>2743</v>
      </c>
      <c r="C92" t="s">
        <v>2742</v>
      </c>
      <c r="D92" t="s">
        <v>202</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2">
        <v>2.1000000000000001E-2</v>
      </c>
    </row>
    <row r="93" spans="1:33">
      <c r="A93" t="s">
        <v>217</v>
      </c>
      <c r="B93" t="s">
        <v>2741</v>
      </c>
      <c r="C93" t="s">
        <v>2740</v>
      </c>
      <c r="D93" t="s">
        <v>202</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2">
        <v>1.9E-2</v>
      </c>
    </row>
    <row r="94" spans="1:33">
      <c r="A94" t="s">
        <v>218</v>
      </c>
      <c r="B94" t="s">
        <v>2739</v>
      </c>
      <c r="C94" t="s">
        <v>2738</v>
      </c>
      <c r="D94" t="s">
        <v>202</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2">
        <v>2.3E-2</v>
      </c>
    </row>
    <row r="95" spans="1:33">
      <c r="A95" t="s">
        <v>219</v>
      </c>
      <c r="B95" t="s">
        <v>2737</v>
      </c>
      <c r="C95" t="s">
        <v>2736</v>
      </c>
      <c r="D95" t="s">
        <v>202</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2">
        <v>1.9E-2</v>
      </c>
    </row>
    <row r="96" spans="1:33">
      <c r="A96" t="s">
        <v>2459</v>
      </c>
      <c r="B96" t="s">
        <v>2735</v>
      </c>
      <c r="C96" t="s">
        <v>2734</v>
      </c>
      <c r="D96" t="s">
        <v>202</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2">
        <v>3.2000000000000001E-2</v>
      </c>
    </row>
    <row r="97" spans="1:33">
      <c r="A97" t="s">
        <v>217</v>
      </c>
      <c r="B97" t="s">
        <v>2733</v>
      </c>
      <c r="C97" t="s">
        <v>2732</v>
      </c>
      <c r="D97" t="s">
        <v>202</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2">
        <v>3.2000000000000001E-2</v>
      </c>
    </row>
    <row r="98" spans="1:33">
      <c r="A98" t="s">
        <v>218</v>
      </c>
      <c r="B98" t="s">
        <v>2731</v>
      </c>
      <c r="C98" t="s">
        <v>2730</v>
      </c>
      <c r="D98" t="s">
        <v>202</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2">
        <v>0.03</v>
      </c>
    </row>
    <row r="99" spans="1:33">
      <c r="A99" t="s">
        <v>219</v>
      </c>
      <c r="B99" t="s">
        <v>2729</v>
      </c>
      <c r="C99" t="s">
        <v>2728</v>
      </c>
      <c r="D99" t="s">
        <v>202</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2">
        <v>3.3000000000000002E-2</v>
      </c>
    </row>
    <row r="100" spans="1:33">
      <c r="A100" t="s">
        <v>2456</v>
      </c>
      <c r="B100" t="s">
        <v>2727</v>
      </c>
      <c r="C100" t="s">
        <v>2726</v>
      </c>
      <c r="D100" t="s">
        <v>202</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2">
        <v>1.7999999999999999E-2</v>
      </c>
    </row>
    <row r="101" spans="1:33">
      <c r="A101" t="s">
        <v>217</v>
      </c>
      <c r="B101" t="s">
        <v>2725</v>
      </c>
      <c r="C101" t="s">
        <v>2724</v>
      </c>
      <c r="D101" t="s">
        <v>202</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2">
        <v>0.02</v>
      </c>
    </row>
    <row r="102" spans="1:33">
      <c r="A102" t="s">
        <v>218</v>
      </c>
      <c r="B102" t="s">
        <v>2723</v>
      </c>
      <c r="C102" t="s">
        <v>2722</v>
      </c>
      <c r="D102" t="s">
        <v>202</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2">
        <v>1.6E-2</v>
      </c>
    </row>
    <row r="103" spans="1:33">
      <c r="A103" t="s">
        <v>219</v>
      </c>
      <c r="B103" t="s">
        <v>2721</v>
      </c>
      <c r="C103" t="s">
        <v>2720</v>
      </c>
      <c r="D103" t="s">
        <v>202</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2">
        <v>0.02</v>
      </c>
    </row>
    <row r="104" spans="1:33">
      <c r="A104" t="s">
        <v>1262</v>
      </c>
      <c r="B104" t="s">
        <v>2719</v>
      </c>
      <c r="C104" t="s">
        <v>2718</v>
      </c>
      <c r="D104" t="s">
        <v>202</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2">
        <v>-1E-3</v>
      </c>
    </row>
    <row r="105" spans="1:33">
      <c r="A105" t="s">
        <v>217</v>
      </c>
      <c r="B105" t="s">
        <v>2717</v>
      </c>
      <c r="C105" t="s">
        <v>2716</v>
      </c>
      <c r="D105" t="s">
        <v>202</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2">
        <v>3.0000000000000001E-3</v>
      </c>
    </row>
    <row r="106" spans="1:33">
      <c r="A106" t="s">
        <v>218</v>
      </c>
      <c r="B106" t="s">
        <v>2715</v>
      </c>
      <c r="C106" t="s">
        <v>2714</v>
      </c>
      <c r="D106" t="s">
        <v>202</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2">
        <v>-4.0000000000000001E-3</v>
      </c>
    </row>
    <row r="107" spans="1:33">
      <c r="A107" t="s">
        <v>219</v>
      </c>
      <c r="B107" t="s">
        <v>2713</v>
      </c>
      <c r="C107" t="s">
        <v>2712</v>
      </c>
      <c r="D107" t="s">
        <v>202</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2">
        <v>4.0000000000000001E-3</v>
      </c>
    </row>
    <row r="108" spans="1:33">
      <c r="A108" t="s">
        <v>1265</v>
      </c>
      <c r="B108" t="s">
        <v>2711</v>
      </c>
      <c r="C108" t="s">
        <v>2710</v>
      </c>
      <c r="D108" t="s">
        <v>202</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2">
        <v>2.1999999999999999E-2</v>
      </c>
    </row>
    <row r="109" spans="1:33">
      <c r="A109" t="s">
        <v>217</v>
      </c>
      <c r="B109" t="s">
        <v>2709</v>
      </c>
      <c r="C109" t="s">
        <v>2708</v>
      </c>
      <c r="D109" t="s">
        <v>202</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2">
        <v>2.1999999999999999E-2</v>
      </c>
    </row>
    <row r="110" spans="1:33">
      <c r="A110" t="s">
        <v>218</v>
      </c>
      <c r="B110" t="s">
        <v>2707</v>
      </c>
      <c r="C110" t="s">
        <v>2706</v>
      </c>
      <c r="D110" t="s">
        <v>202</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2">
        <v>2.1999999999999999E-2</v>
      </c>
    </row>
    <row r="111" spans="1:33">
      <c r="A111" t="s">
        <v>219</v>
      </c>
      <c r="B111" t="s">
        <v>2705</v>
      </c>
      <c r="C111" t="s">
        <v>2704</v>
      </c>
      <c r="D111" t="s">
        <v>202</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2">
        <v>2.1999999999999999E-2</v>
      </c>
    </row>
    <row r="112" spans="1:33">
      <c r="A112" t="s">
        <v>1268</v>
      </c>
      <c r="B112" t="s">
        <v>2703</v>
      </c>
      <c r="C112" t="s">
        <v>2702</v>
      </c>
      <c r="D112" t="s">
        <v>202</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2">
        <v>2.7E-2</v>
      </c>
    </row>
    <row r="113" spans="1:33">
      <c r="A113" t="s">
        <v>217</v>
      </c>
      <c r="B113" t="s">
        <v>2701</v>
      </c>
      <c r="C113" t="s">
        <v>2700</v>
      </c>
      <c r="D113" t="s">
        <v>202</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2">
        <v>2.1999999999999999E-2</v>
      </c>
    </row>
    <row r="114" spans="1:33">
      <c r="A114" t="s">
        <v>218</v>
      </c>
      <c r="B114" t="s">
        <v>2699</v>
      </c>
      <c r="C114" t="s">
        <v>2698</v>
      </c>
      <c r="D114" t="s">
        <v>202</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2">
        <v>2.8000000000000001E-2</v>
      </c>
    </row>
    <row r="115" spans="1:33">
      <c r="A115" t="s">
        <v>219</v>
      </c>
      <c r="B115" t="s">
        <v>2697</v>
      </c>
      <c r="C115" t="s">
        <v>2696</v>
      </c>
      <c r="D115" t="s">
        <v>202</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2">
        <v>1.7999999999999999E-2</v>
      </c>
    </row>
    <row r="116" spans="1:33">
      <c r="A116" t="s">
        <v>1271</v>
      </c>
      <c r="B116" t="s">
        <v>2695</v>
      </c>
      <c r="C116" t="s">
        <v>2694</v>
      </c>
      <c r="D116" t="s">
        <v>202</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2">
        <v>2.7E-2</v>
      </c>
    </row>
    <row r="117" spans="1:33">
      <c r="A117" t="s">
        <v>217</v>
      </c>
      <c r="B117" t="s">
        <v>2693</v>
      </c>
      <c r="C117" t="s">
        <v>2692</v>
      </c>
      <c r="D117" t="s">
        <v>202</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2">
        <v>2.3E-2</v>
      </c>
    </row>
    <row r="118" spans="1:33">
      <c r="A118" t="s">
        <v>218</v>
      </c>
      <c r="B118" t="s">
        <v>2691</v>
      </c>
      <c r="C118" t="s">
        <v>2690</v>
      </c>
      <c r="D118" t="s">
        <v>202</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2">
        <v>0.04</v>
      </c>
    </row>
    <row r="119" spans="1:33">
      <c r="A119" t="s">
        <v>219</v>
      </c>
      <c r="B119" t="s">
        <v>2689</v>
      </c>
      <c r="C119" t="s">
        <v>2688</v>
      </c>
      <c r="D119" t="s">
        <v>202</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2">
        <v>1.7000000000000001E-2</v>
      </c>
    </row>
    <row r="120" spans="1:33">
      <c r="A120" t="s">
        <v>2445</v>
      </c>
      <c r="B120" t="s">
        <v>2687</v>
      </c>
      <c r="C120" t="s">
        <v>2686</v>
      </c>
      <c r="D120" t="s">
        <v>202</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2">
        <v>3.3000000000000002E-2</v>
      </c>
    </row>
    <row r="121" spans="1:33">
      <c r="A121" t="s">
        <v>217</v>
      </c>
      <c r="B121" t="s">
        <v>2685</v>
      </c>
      <c r="C121" t="s">
        <v>2684</v>
      </c>
      <c r="D121" t="s">
        <v>202</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2">
        <v>3.3000000000000002E-2</v>
      </c>
    </row>
    <row r="122" spans="1:33">
      <c r="A122" t="s">
        <v>218</v>
      </c>
      <c r="B122" t="s">
        <v>2683</v>
      </c>
      <c r="C122" t="s">
        <v>2682</v>
      </c>
      <c r="D122" t="s">
        <v>202</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2">
        <v>3.3000000000000002E-2</v>
      </c>
    </row>
    <row r="123" spans="1:33">
      <c r="A123" t="s">
        <v>219</v>
      </c>
      <c r="B123" t="s">
        <v>2681</v>
      </c>
      <c r="C123" t="s">
        <v>2680</v>
      </c>
      <c r="D123" t="s">
        <v>202</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2">
        <v>3.2000000000000001E-2</v>
      </c>
    </row>
    <row r="124" spans="1:33">
      <c r="A124" t="s">
        <v>214</v>
      </c>
      <c r="B124" t="s">
        <v>2679</v>
      </c>
      <c r="C124" t="s">
        <v>2678</v>
      </c>
      <c r="D124" t="s">
        <v>202</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2">
        <v>4.2000000000000003E-2</v>
      </c>
    </row>
    <row r="125" spans="1:33">
      <c r="A125" t="s">
        <v>217</v>
      </c>
      <c r="B125" t="s">
        <v>2677</v>
      </c>
      <c r="C125" t="s">
        <v>2676</v>
      </c>
      <c r="D125" t="s">
        <v>202</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2">
        <v>4.2999999999999997E-2</v>
      </c>
    </row>
    <row r="126" spans="1:33">
      <c r="A126" t="s">
        <v>218</v>
      </c>
      <c r="B126" t="s">
        <v>2675</v>
      </c>
      <c r="C126" t="s">
        <v>2674</v>
      </c>
      <c r="D126" t="s">
        <v>202</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2">
        <v>4.1000000000000002E-2</v>
      </c>
    </row>
    <row r="127" spans="1:33">
      <c r="A127" t="s">
        <v>219</v>
      </c>
      <c r="B127" t="s">
        <v>2673</v>
      </c>
      <c r="C127" t="s">
        <v>2672</v>
      </c>
      <c r="D127" t="s">
        <v>202</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2">
        <v>4.2999999999999997E-2</v>
      </c>
    </row>
    <row r="128" spans="1:33">
      <c r="A128" t="s">
        <v>1279</v>
      </c>
      <c r="B128" t="s">
        <v>2671</v>
      </c>
      <c r="C128" t="s">
        <v>2670</v>
      </c>
      <c r="D128" t="s">
        <v>202</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2">
        <v>5.5E-2</v>
      </c>
    </row>
    <row r="129" spans="1:33">
      <c r="A129" t="s">
        <v>217</v>
      </c>
      <c r="B129" t="s">
        <v>2669</v>
      </c>
      <c r="C129" t="s">
        <v>2668</v>
      </c>
      <c r="D129" t="s">
        <v>202</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2">
        <v>5.6000000000000001E-2</v>
      </c>
    </row>
    <row r="130" spans="1:33">
      <c r="A130" t="s">
        <v>218</v>
      </c>
      <c r="B130" t="s">
        <v>2667</v>
      </c>
      <c r="C130" t="s">
        <v>2666</v>
      </c>
      <c r="D130" t="s">
        <v>202</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2">
        <v>0.05</v>
      </c>
    </row>
    <row r="131" spans="1:33">
      <c r="A131" t="s">
        <v>219</v>
      </c>
      <c r="B131" t="s">
        <v>2665</v>
      </c>
      <c r="C131" t="s">
        <v>2664</v>
      </c>
      <c r="D131" t="s">
        <v>202</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2">
        <v>0.06</v>
      </c>
    </row>
    <row r="132" spans="1:33">
      <c r="A132" t="s">
        <v>2438</v>
      </c>
      <c r="B132" t="s">
        <v>2663</v>
      </c>
      <c r="C132" t="s">
        <v>2662</v>
      </c>
      <c r="D132" t="s">
        <v>202</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2">
        <v>3.9E-2</v>
      </c>
    </row>
    <row r="133" spans="1:33">
      <c r="A133" t="s">
        <v>217</v>
      </c>
      <c r="B133" t="s">
        <v>2661</v>
      </c>
      <c r="C133" t="s">
        <v>2660</v>
      </c>
      <c r="D133" t="s">
        <v>202</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2">
        <v>0.04</v>
      </c>
    </row>
    <row r="134" spans="1:33">
      <c r="A134" t="s">
        <v>218</v>
      </c>
      <c r="B134" t="s">
        <v>2659</v>
      </c>
      <c r="C134" t="s">
        <v>2658</v>
      </c>
      <c r="D134" t="s">
        <v>202</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2">
        <v>3.7999999999999999E-2</v>
      </c>
    </row>
    <row r="135" spans="1:33">
      <c r="A135" t="s">
        <v>219</v>
      </c>
      <c r="B135" t="s">
        <v>2657</v>
      </c>
      <c r="C135" t="s">
        <v>2656</v>
      </c>
      <c r="D135" t="s">
        <v>202</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2">
        <v>4.1000000000000002E-2</v>
      </c>
    </row>
    <row r="136" spans="1:33">
      <c r="A136" t="s">
        <v>1285</v>
      </c>
      <c r="B136" t="s">
        <v>2655</v>
      </c>
      <c r="C136" t="s">
        <v>2654</v>
      </c>
      <c r="D136" t="s">
        <v>202</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2">
        <v>3.9E-2</v>
      </c>
    </row>
    <row r="137" spans="1:33">
      <c r="A137" t="s">
        <v>217</v>
      </c>
      <c r="B137" t="s">
        <v>2653</v>
      </c>
      <c r="C137" t="s">
        <v>2652</v>
      </c>
      <c r="D137" t="s">
        <v>202</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2">
        <v>3.7999999999999999E-2</v>
      </c>
    </row>
    <row r="138" spans="1:33">
      <c r="A138" t="s">
        <v>218</v>
      </c>
      <c r="B138" t="s">
        <v>2651</v>
      </c>
      <c r="C138" t="s">
        <v>2650</v>
      </c>
      <c r="D138" t="s">
        <v>202</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2">
        <v>3.9E-2</v>
      </c>
    </row>
    <row r="139" spans="1:33">
      <c r="A139" t="s">
        <v>219</v>
      </c>
      <c r="B139" t="s">
        <v>2649</v>
      </c>
      <c r="C139" t="s">
        <v>2648</v>
      </c>
      <c r="D139" t="s">
        <v>202</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2">
        <v>3.5000000000000003E-2</v>
      </c>
    </row>
    <row r="140" spans="1:33">
      <c r="A140" t="s">
        <v>213</v>
      </c>
      <c r="B140" t="s">
        <v>2647</v>
      </c>
      <c r="C140" t="s">
        <v>2646</v>
      </c>
      <c r="D140" t="s">
        <v>202</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2">
        <v>0.04</v>
      </c>
    </row>
    <row r="141" spans="1:33">
      <c r="A141" t="s">
        <v>217</v>
      </c>
      <c r="B141" t="s">
        <v>2645</v>
      </c>
      <c r="C141" t="s">
        <v>2644</v>
      </c>
      <c r="D141" t="s">
        <v>202</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2">
        <v>4.1000000000000002E-2</v>
      </c>
    </row>
    <row r="142" spans="1:33">
      <c r="A142" t="s">
        <v>218</v>
      </c>
      <c r="B142" t="s">
        <v>2643</v>
      </c>
      <c r="C142" t="s">
        <v>2642</v>
      </c>
      <c r="D142" t="s">
        <v>202</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2">
        <v>3.9E-2</v>
      </c>
    </row>
    <row r="143" spans="1:33">
      <c r="A143" t="s">
        <v>219</v>
      </c>
      <c r="B143" t="s">
        <v>2641</v>
      </c>
      <c r="C143" t="s">
        <v>2640</v>
      </c>
      <c r="D143" t="s">
        <v>202</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2">
        <v>4.2000000000000003E-2</v>
      </c>
    </row>
    <row r="144" spans="1:33">
      <c r="A144" t="s">
        <v>1290</v>
      </c>
      <c r="B144" t="s">
        <v>2639</v>
      </c>
      <c r="C144" t="s">
        <v>2638</v>
      </c>
      <c r="D144" t="s">
        <v>202</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2">
        <v>1.4999999999999999E-2</v>
      </c>
    </row>
    <row r="145" spans="1:33">
      <c r="A145" t="s">
        <v>217</v>
      </c>
      <c r="B145" t="s">
        <v>2637</v>
      </c>
      <c r="C145" t="s">
        <v>2636</v>
      </c>
      <c r="D145" t="s">
        <v>202</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2">
        <v>1.4999999999999999E-2</v>
      </c>
    </row>
    <row r="146" spans="1:33">
      <c r="A146" t="s">
        <v>218</v>
      </c>
      <c r="B146" t="s">
        <v>2635</v>
      </c>
      <c r="C146" t="s">
        <v>2634</v>
      </c>
      <c r="D146" t="s">
        <v>202</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2">
        <v>1.4E-2</v>
      </c>
    </row>
    <row r="147" spans="1:33">
      <c r="A147" t="s">
        <v>219</v>
      </c>
      <c r="B147" t="s">
        <v>2633</v>
      </c>
      <c r="C147" t="s">
        <v>2632</v>
      </c>
      <c r="D147" t="s">
        <v>202</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2">
        <v>1.4999999999999999E-2</v>
      </c>
    </row>
    <row r="148" spans="1:33">
      <c r="A148" t="s">
        <v>2429</v>
      </c>
      <c r="B148" t="s">
        <v>2631</v>
      </c>
      <c r="C148" t="s">
        <v>2630</v>
      </c>
      <c r="D148" t="s">
        <v>202</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2">
        <v>2.5999999999999999E-2</v>
      </c>
    </row>
    <row r="149" spans="1:33">
      <c r="A149" t="s">
        <v>217</v>
      </c>
      <c r="B149" t="s">
        <v>2629</v>
      </c>
      <c r="C149" t="s">
        <v>2628</v>
      </c>
      <c r="D149" t="s">
        <v>202</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2">
        <v>2.5000000000000001E-2</v>
      </c>
    </row>
    <row r="150" spans="1:33">
      <c r="A150" t="s">
        <v>218</v>
      </c>
      <c r="B150" t="s">
        <v>2627</v>
      </c>
      <c r="C150" t="s">
        <v>2626</v>
      </c>
      <c r="D150" t="s">
        <v>202</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2">
        <v>2.7E-2</v>
      </c>
    </row>
    <row r="151" spans="1:33">
      <c r="A151" t="s">
        <v>219</v>
      </c>
      <c r="B151" t="s">
        <v>2625</v>
      </c>
      <c r="C151" t="s">
        <v>2624</v>
      </c>
      <c r="D151" t="s">
        <v>202</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2">
        <v>2.4E-2</v>
      </c>
    </row>
    <row r="152" spans="1:33">
      <c r="A152" t="s">
        <v>1531</v>
      </c>
      <c r="B152" t="s">
        <v>2623</v>
      </c>
      <c r="C152" t="s">
        <v>2622</v>
      </c>
      <c r="D152" t="s">
        <v>202</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2">
        <v>2.9000000000000001E-2</v>
      </c>
    </row>
    <row r="153" spans="1:33">
      <c r="A153" t="s">
        <v>1534</v>
      </c>
      <c r="B153" t="s">
        <v>2621</v>
      </c>
      <c r="C153" t="s">
        <v>2620</v>
      </c>
      <c r="D153" t="s">
        <v>202</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2">
        <v>2.9000000000000001E-2</v>
      </c>
    </row>
    <row r="154" spans="1:33">
      <c r="A154" t="s">
        <v>1537</v>
      </c>
      <c r="B154" t="s">
        <v>2619</v>
      </c>
      <c r="C154" t="s">
        <v>2618</v>
      </c>
      <c r="D154" t="s">
        <v>202</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2">
        <v>2.8000000000000001E-2</v>
      </c>
    </row>
    <row r="155" spans="1:33">
      <c r="A155" t="s">
        <v>112</v>
      </c>
      <c r="B155" t="s">
        <v>2617</v>
      </c>
      <c r="C155" t="s">
        <v>2616</v>
      </c>
      <c r="D155" t="s">
        <v>202</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2">
        <v>2.9000000000000001E-2</v>
      </c>
    </row>
    <row r="156" spans="1:33">
      <c r="A156" t="s">
        <v>637</v>
      </c>
    </row>
    <row r="157" spans="1:33">
      <c r="A157" t="s">
        <v>211</v>
      </c>
      <c r="B157" t="s">
        <v>2615</v>
      </c>
      <c r="C157" t="s">
        <v>2614</v>
      </c>
      <c r="D157" t="s">
        <v>200</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2">
        <v>5.0000000000000001E-3</v>
      </c>
    </row>
    <row r="158" spans="1:33">
      <c r="A158" t="s">
        <v>217</v>
      </c>
      <c r="B158" t="s">
        <v>2613</v>
      </c>
      <c r="C158" t="s">
        <v>2612</v>
      </c>
      <c r="D158" t="s">
        <v>200</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2">
        <v>7.0000000000000001E-3</v>
      </c>
    </row>
    <row r="159" spans="1:33">
      <c r="A159" t="s">
        <v>218</v>
      </c>
      <c r="B159" t="s">
        <v>2611</v>
      </c>
      <c r="C159" t="s">
        <v>2610</v>
      </c>
      <c r="D159" t="s">
        <v>200</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2">
        <v>-0.01</v>
      </c>
    </row>
    <row r="160" spans="1:33">
      <c r="A160" t="s">
        <v>219</v>
      </c>
      <c r="B160" t="s">
        <v>2609</v>
      </c>
      <c r="C160" t="s">
        <v>2608</v>
      </c>
      <c r="D160" t="s">
        <v>200</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2">
        <v>1.0999999999999999E-2</v>
      </c>
    </row>
    <row r="161" spans="1:33">
      <c r="A161" t="s">
        <v>212</v>
      </c>
      <c r="B161" t="s">
        <v>2607</v>
      </c>
      <c r="C161" t="s">
        <v>2606</v>
      </c>
      <c r="D161" t="s">
        <v>200</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2">
        <v>6.0000000000000001E-3</v>
      </c>
    </row>
    <row r="162" spans="1:33">
      <c r="A162" t="s">
        <v>217</v>
      </c>
      <c r="B162" t="s">
        <v>2605</v>
      </c>
      <c r="C162" t="s">
        <v>2604</v>
      </c>
      <c r="D162" t="s">
        <v>200</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2">
        <v>2.7E-2</v>
      </c>
    </row>
    <row r="163" spans="1:33">
      <c r="A163" t="s">
        <v>218</v>
      </c>
      <c r="B163" t="s">
        <v>2603</v>
      </c>
      <c r="C163" t="s">
        <v>2602</v>
      </c>
      <c r="D163" t="s">
        <v>200</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2">
        <v>1.2E-2</v>
      </c>
    </row>
    <row r="164" spans="1:33">
      <c r="A164" t="s">
        <v>219</v>
      </c>
      <c r="B164" t="s">
        <v>2601</v>
      </c>
      <c r="C164" t="s">
        <v>2600</v>
      </c>
      <c r="D164" t="s">
        <v>200</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2">
        <v>-8.9999999999999993E-3</v>
      </c>
    </row>
    <row r="165" spans="1:33">
      <c r="A165" t="s">
        <v>2459</v>
      </c>
      <c r="B165" t="s">
        <v>2599</v>
      </c>
      <c r="C165" t="s">
        <v>2598</v>
      </c>
      <c r="D165" t="s">
        <v>200</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2">
        <v>3.6999999999999998E-2</v>
      </c>
    </row>
    <row r="166" spans="1:33">
      <c r="A166" t="s">
        <v>217</v>
      </c>
      <c r="B166" t="s">
        <v>2597</v>
      </c>
      <c r="C166" t="s">
        <v>2596</v>
      </c>
      <c r="D166" t="s">
        <v>200</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2">
        <v>0.04</v>
      </c>
    </row>
    <row r="167" spans="1:33">
      <c r="A167" t="s">
        <v>218</v>
      </c>
      <c r="B167" t="s">
        <v>2595</v>
      </c>
      <c r="C167" t="s">
        <v>2594</v>
      </c>
      <c r="D167" t="s">
        <v>200</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2">
        <v>2.8000000000000001E-2</v>
      </c>
    </row>
    <row r="168" spans="1:33">
      <c r="A168" t="s">
        <v>219</v>
      </c>
      <c r="B168" t="s">
        <v>2593</v>
      </c>
      <c r="C168" t="s">
        <v>2592</v>
      </c>
      <c r="D168" t="s">
        <v>200</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2">
        <v>3.1E-2</v>
      </c>
    </row>
    <row r="169" spans="1:33">
      <c r="A169" t="s">
        <v>2456</v>
      </c>
      <c r="B169" t="s">
        <v>2591</v>
      </c>
      <c r="C169" t="s">
        <v>2590</v>
      </c>
      <c r="D169" t="s">
        <v>200</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2">
        <v>4.8000000000000001E-2</v>
      </c>
    </row>
    <row r="170" spans="1:33">
      <c r="A170" t="s">
        <v>217</v>
      </c>
      <c r="B170" t="s">
        <v>2589</v>
      </c>
      <c r="C170" t="s">
        <v>2588</v>
      </c>
      <c r="D170" t="s">
        <v>200</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2">
        <v>6.4000000000000001E-2</v>
      </c>
    </row>
    <row r="171" spans="1:33">
      <c r="A171" t="s">
        <v>218</v>
      </c>
      <c r="B171" t="s">
        <v>2587</v>
      </c>
      <c r="C171" t="s">
        <v>2586</v>
      </c>
      <c r="D171" t="s">
        <v>200</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2">
        <v>6.4000000000000001E-2</v>
      </c>
    </row>
    <row r="172" spans="1:33">
      <c r="A172" t="s">
        <v>219</v>
      </c>
      <c r="B172" t="s">
        <v>2585</v>
      </c>
      <c r="C172" t="s">
        <v>2584</v>
      </c>
      <c r="D172" t="s">
        <v>200</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2">
        <v>1.6E-2</v>
      </c>
    </row>
    <row r="173" spans="1:33">
      <c r="A173" t="s">
        <v>1262</v>
      </c>
      <c r="B173" t="s">
        <v>2583</v>
      </c>
      <c r="C173" t="s">
        <v>2582</v>
      </c>
      <c r="D173" t="s">
        <v>200</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2">
        <v>-0.01</v>
      </c>
    </row>
    <row r="174" spans="1:33">
      <c r="A174" t="s">
        <v>217</v>
      </c>
      <c r="B174" t="s">
        <v>2581</v>
      </c>
      <c r="C174" t="s">
        <v>2580</v>
      </c>
      <c r="D174" t="s">
        <v>200</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2">
        <v>0.08</v>
      </c>
    </row>
    <row r="175" spans="1:33">
      <c r="A175" t="s">
        <v>218</v>
      </c>
      <c r="B175" t="s">
        <v>2579</v>
      </c>
      <c r="C175" t="s">
        <v>2578</v>
      </c>
      <c r="D175" t="s">
        <v>200</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2">
        <v>-3.6999999999999998E-2</v>
      </c>
    </row>
    <row r="176" spans="1:33">
      <c r="A176" t="s">
        <v>219</v>
      </c>
      <c r="B176" t="s">
        <v>2577</v>
      </c>
      <c r="C176" t="s">
        <v>2576</v>
      </c>
      <c r="D176" t="s">
        <v>200</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111</v>
      </c>
    </row>
    <row r="177" spans="1:33">
      <c r="A177" t="s">
        <v>1265</v>
      </c>
      <c r="B177" t="s">
        <v>2575</v>
      </c>
      <c r="C177" t="s">
        <v>2574</v>
      </c>
      <c r="D177" t="s">
        <v>200</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2">
        <v>2.4E-2</v>
      </c>
    </row>
    <row r="178" spans="1:33">
      <c r="A178" t="s">
        <v>217</v>
      </c>
      <c r="B178" t="s">
        <v>2573</v>
      </c>
      <c r="C178" t="s">
        <v>2572</v>
      </c>
      <c r="D178" t="s">
        <v>200</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2">
        <v>1.7999999999999999E-2</v>
      </c>
    </row>
    <row r="179" spans="1:33">
      <c r="A179" t="s">
        <v>218</v>
      </c>
      <c r="B179" t="s">
        <v>2571</v>
      </c>
      <c r="C179" t="s">
        <v>2570</v>
      </c>
      <c r="D179" t="s">
        <v>200</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2">
        <v>2.4E-2</v>
      </c>
    </row>
    <row r="180" spans="1:33">
      <c r="A180" t="s">
        <v>219</v>
      </c>
      <c r="B180" t="s">
        <v>2569</v>
      </c>
      <c r="C180" t="s">
        <v>2568</v>
      </c>
      <c r="D180" t="s">
        <v>200</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2">
        <v>3.4000000000000002E-2</v>
      </c>
    </row>
    <row r="181" spans="1:33">
      <c r="A181" t="s">
        <v>1268</v>
      </c>
      <c r="B181" t="s">
        <v>2567</v>
      </c>
      <c r="C181" t="s">
        <v>2566</v>
      </c>
      <c r="D181" t="s">
        <v>200</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2">
        <v>-8.9999999999999993E-3</v>
      </c>
    </row>
    <row r="182" spans="1:33">
      <c r="A182" t="s">
        <v>217</v>
      </c>
      <c r="B182" t="s">
        <v>2565</v>
      </c>
      <c r="C182" t="s">
        <v>2564</v>
      </c>
      <c r="D182" t="s">
        <v>200</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2">
        <v>3.4000000000000002E-2</v>
      </c>
    </row>
    <row r="183" spans="1:33">
      <c r="A183" t="s">
        <v>218</v>
      </c>
      <c r="B183" t="s">
        <v>2563</v>
      </c>
      <c r="C183" t="s">
        <v>2562</v>
      </c>
      <c r="D183" t="s">
        <v>200</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2">
        <v>-2.5000000000000001E-2</v>
      </c>
    </row>
    <row r="184" spans="1:33">
      <c r="A184" t="s">
        <v>219</v>
      </c>
      <c r="B184" t="s">
        <v>2561</v>
      </c>
      <c r="C184" t="s">
        <v>2560</v>
      </c>
      <c r="D184" t="s">
        <v>200</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2">
        <v>7.0000000000000001E-3</v>
      </c>
    </row>
    <row r="185" spans="1:33">
      <c r="A185" t="s">
        <v>1271</v>
      </c>
      <c r="B185" t="s">
        <v>2559</v>
      </c>
      <c r="C185" t="s">
        <v>2558</v>
      </c>
      <c r="D185" t="s">
        <v>200</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2">
        <v>-0.01</v>
      </c>
    </row>
    <row r="186" spans="1:33">
      <c r="A186" t="s">
        <v>217</v>
      </c>
      <c r="B186" t="s">
        <v>2557</v>
      </c>
      <c r="C186" t="s">
        <v>2556</v>
      </c>
      <c r="D186" t="s">
        <v>200</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2">
        <v>-1.2E-2</v>
      </c>
    </row>
    <row r="187" spans="1:33">
      <c r="A187" t="s">
        <v>218</v>
      </c>
      <c r="B187" t="s">
        <v>2555</v>
      </c>
      <c r="C187" t="s">
        <v>2554</v>
      </c>
      <c r="D187" t="s">
        <v>200</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2">
        <v>-2E-3</v>
      </c>
    </row>
    <row r="188" spans="1:33">
      <c r="A188" t="s">
        <v>219</v>
      </c>
      <c r="B188" t="s">
        <v>2553</v>
      </c>
      <c r="C188" t="s">
        <v>2552</v>
      </c>
      <c r="D188" t="s">
        <v>200</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2">
        <v>-6.0000000000000001E-3</v>
      </c>
    </row>
    <row r="189" spans="1:33">
      <c r="A189" t="s">
        <v>2445</v>
      </c>
      <c r="B189" t="s">
        <v>2551</v>
      </c>
      <c r="C189" t="s">
        <v>2550</v>
      </c>
      <c r="D189" t="s">
        <v>200</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2">
        <v>2.1999999999999999E-2</v>
      </c>
    </row>
    <row r="190" spans="1:33">
      <c r="A190" t="s">
        <v>217</v>
      </c>
      <c r="B190" t="s">
        <v>2549</v>
      </c>
      <c r="C190" t="s">
        <v>2548</v>
      </c>
      <c r="D190" t="s">
        <v>200</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2">
        <v>2.1000000000000001E-2</v>
      </c>
    </row>
    <row r="191" spans="1:33">
      <c r="A191" t="s">
        <v>218</v>
      </c>
      <c r="B191" t="s">
        <v>2547</v>
      </c>
      <c r="C191" t="s">
        <v>2546</v>
      </c>
      <c r="D191" t="s">
        <v>200</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2">
        <v>2.5999999999999999E-2</v>
      </c>
    </row>
    <row r="192" spans="1:33">
      <c r="A192" t="s">
        <v>219</v>
      </c>
      <c r="B192" t="s">
        <v>2545</v>
      </c>
      <c r="C192" t="s">
        <v>2544</v>
      </c>
      <c r="D192" t="s">
        <v>200</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2">
        <v>2.1999999999999999E-2</v>
      </c>
    </row>
    <row r="193" spans="1:33">
      <c r="A193" t="s">
        <v>214</v>
      </c>
      <c r="B193" t="s">
        <v>2543</v>
      </c>
      <c r="C193" t="s">
        <v>2542</v>
      </c>
      <c r="D193" t="s">
        <v>200</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2">
        <v>1.9E-2</v>
      </c>
    </row>
    <row r="194" spans="1:33">
      <c r="A194" t="s">
        <v>217</v>
      </c>
      <c r="B194" t="s">
        <v>2541</v>
      </c>
      <c r="C194" t="s">
        <v>2540</v>
      </c>
      <c r="D194" t="s">
        <v>200</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2">
        <v>3.1E-2</v>
      </c>
    </row>
    <row r="195" spans="1:33">
      <c r="A195" t="s">
        <v>218</v>
      </c>
      <c r="B195" t="s">
        <v>2539</v>
      </c>
      <c r="C195" t="s">
        <v>2538</v>
      </c>
      <c r="D195" t="s">
        <v>200</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2">
        <v>-1.2E-2</v>
      </c>
    </row>
    <row r="196" spans="1:33">
      <c r="A196" t="s">
        <v>219</v>
      </c>
      <c r="B196" t="s">
        <v>2537</v>
      </c>
      <c r="C196" t="s">
        <v>2536</v>
      </c>
      <c r="D196" t="s">
        <v>200</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2">
        <v>0.03</v>
      </c>
    </row>
    <row r="197" spans="1:33">
      <c r="A197" t="s">
        <v>1279</v>
      </c>
      <c r="B197" t="s">
        <v>2535</v>
      </c>
      <c r="C197" t="s">
        <v>2534</v>
      </c>
      <c r="D197" t="s">
        <v>200</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2">
        <v>4.5999999999999999E-2</v>
      </c>
    </row>
    <row r="198" spans="1:33">
      <c r="A198" t="s">
        <v>217</v>
      </c>
      <c r="B198" t="s">
        <v>2533</v>
      </c>
      <c r="C198" t="s">
        <v>2532</v>
      </c>
      <c r="D198" t="s">
        <v>200</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2">
        <v>4.7E-2</v>
      </c>
    </row>
    <row r="199" spans="1:33">
      <c r="A199" t="s">
        <v>218</v>
      </c>
      <c r="B199" t="s">
        <v>2531</v>
      </c>
      <c r="C199" t="s">
        <v>2530</v>
      </c>
      <c r="D199" t="s">
        <v>200</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2">
        <v>4.2000000000000003E-2</v>
      </c>
    </row>
    <row r="200" spans="1:33">
      <c r="A200" t="s">
        <v>219</v>
      </c>
      <c r="B200" t="s">
        <v>2529</v>
      </c>
      <c r="C200" t="s">
        <v>2528</v>
      </c>
      <c r="D200" t="s">
        <v>200</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2">
        <v>4.1000000000000002E-2</v>
      </c>
    </row>
    <row r="201" spans="1:33">
      <c r="A201" t="s">
        <v>2438</v>
      </c>
      <c r="B201" t="s">
        <v>2527</v>
      </c>
      <c r="C201" t="s">
        <v>2526</v>
      </c>
      <c r="D201" t="s">
        <v>200</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2">
        <v>1.9E-2</v>
      </c>
    </row>
    <row r="202" spans="1:33">
      <c r="A202" t="s">
        <v>217</v>
      </c>
      <c r="B202" t="s">
        <v>2525</v>
      </c>
      <c r="C202" t="s">
        <v>2524</v>
      </c>
      <c r="D202" t="s">
        <v>200</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2">
        <v>5.1999999999999998E-2</v>
      </c>
    </row>
    <row r="203" spans="1:33">
      <c r="A203" t="s">
        <v>218</v>
      </c>
      <c r="B203" t="s">
        <v>2523</v>
      </c>
      <c r="C203" t="s">
        <v>2522</v>
      </c>
      <c r="D203" t="s">
        <v>200</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2">
        <v>-7.0000000000000001E-3</v>
      </c>
    </row>
    <row r="204" spans="1:33">
      <c r="A204" t="s">
        <v>219</v>
      </c>
      <c r="B204" t="s">
        <v>2521</v>
      </c>
      <c r="C204" t="s">
        <v>2520</v>
      </c>
      <c r="D204" t="s">
        <v>200</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2">
        <v>0.01</v>
      </c>
    </row>
    <row r="205" spans="1:33">
      <c r="A205" t="s">
        <v>1285</v>
      </c>
      <c r="B205" t="s">
        <v>2519</v>
      </c>
      <c r="C205" t="s">
        <v>2518</v>
      </c>
      <c r="D205" t="s">
        <v>200</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2">
        <v>3.5999999999999997E-2</v>
      </c>
    </row>
    <row r="206" spans="1:33">
      <c r="A206" t="s">
        <v>217</v>
      </c>
      <c r="B206" t="s">
        <v>2517</v>
      </c>
      <c r="C206" t="s">
        <v>2516</v>
      </c>
      <c r="D206" t="s">
        <v>200</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2">
        <v>3.5000000000000003E-2</v>
      </c>
    </row>
    <row r="207" spans="1:33">
      <c r="A207" t="s">
        <v>218</v>
      </c>
      <c r="B207" t="s">
        <v>2515</v>
      </c>
      <c r="C207" t="s">
        <v>2514</v>
      </c>
      <c r="D207" t="s">
        <v>200</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2">
        <v>3.5999999999999997E-2</v>
      </c>
    </row>
    <row r="208" spans="1:33">
      <c r="A208" t="s">
        <v>219</v>
      </c>
      <c r="B208" t="s">
        <v>2513</v>
      </c>
      <c r="C208" t="s">
        <v>2512</v>
      </c>
      <c r="D208" t="s">
        <v>200</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2">
        <v>3.2000000000000001E-2</v>
      </c>
    </row>
    <row r="209" spans="1:33">
      <c r="A209" t="s">
        <v>213</v>
      </c>
      <c r="B209" t="s">
        <v>2511</v>
      </c>
      <c r="C209" t="s">
        <v>2510</v>
      </c>
      <c r="D209" t="s">
        <v>200</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2">
        <v>4.7E-2</v>
      </c>
    </row>
    <row r="210" spans="1:33">
      <c r="A210" t="s">
        <v>217</v>
      </c>
      <c r="B210" t="s">
        <v>2509</v>
      </c>
      <c r="C210" t="s">
        <v>2508</v>
      </c>
      <c r="D210" t="s">
        <v>200</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2">
        <v>3.6999999999999998E-2</v>
      </c>
    </row>
    <row r="211" spans="1:33">
      <c r="A211" t="s">
        <v>218</v>
      </c>
      <c r="B211" t="s">
        <v>2507</v>
      </c>
      <c r="C211" t="s">
        <v>2506</v>
      </c>
      <c r="D211" t="s">
        <v>200</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2">
        <v>4.9000000000000002E-2</v>
      </c>
    </row>
    <row r="212" spans="1:33">
      <c r="A212" t="s">
        <v>219</v>
      </c>
      <c r="B212" t="s">
        <v>2505</v>
      </c>
      <c r="C212" t="s">
        <v>2504</v>
      </c>
      <c r="D212" t="s">
        <v>200</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2">
        <v>5.8999999999999997E-2</v>
      </c>
    </row>
    <row r="213" spans="1:33">
      <c r="A213" t="s">
        <v>1290</v>
      </c>
      <c r="B213" t="s">
        <v>2503</v>
      </c>
      <c r="C213" t="s">
        <v>2502</v>
      </c>
      <c r="D213" t="s">
        <v>200</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2">
        <v>7.0000000000000001E-3</v>
      </c>
    </row>
    <row r="214" spans="1:33">
      <c r="A214" t="s">
        <v>217</v>
      </c>
      <c r="B214" t="s">
        <v>2501</v>
      </c>
      <c r="C214" t="s">
        <v>2500</v>
      </c>
      <c r="D214" t="s">
        <v>200</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2">
        <v>6.0000000000000001E-3</v>
      </c>
    </row>
    <row r="215" spans="1:33">
      <c r="A215" t="s">
        <v>218</v>
      </c>
      <c r="B215" t="s">
        <v>2499</v>
      </c>
      <c r="C215" t="s">
        <v>2498</v>
      </c>
      <c r="D215" t="s">
        <v>200</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2">
        <v>2.8000000000000001E-2</v>
      </c>
    </row>
    <row r="216" spans="1:33">
      <c r="A216" t="s">
        <v>219</v>
      </c>
      <c r="B216" t="s">
        <v>2497</v>
      </c>
      <c r="C216" t="s">
        <v>2496</v>
      </c>
      <c r="D216" t="s">
        <v>200</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2">
        <v>4.0000000000000001E-3</v>
      </c>
    </row>
    <row r="217" spans="1:33">
      <c r="A217" t="s">
        <v>2429</v>
      </c>
      <c r="B217" t="s">
        <v>2495</v>
      </c>
      <c r="C217" t="s">
        <v>2494</v>
      </c>
      <c r="D217" t="s">
        <v>200</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2">
        <v>4.3999999999999997E-2</v>
      </c>
    </row>
    <row r="218" spans="1:33">
      <c r="A218" t="s">
        <v>217</v>
      </c>
      <c r="B218" t="s">
        <v>2493</v>
      </c>
      <c r="C218" t="s">
        <v>2492</v>
      </c>
      <c r="D218" t="s">
        <v>200</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2">
        <v>4.5999999999999999E-2</v>
      </c>
    </row>
    <row r="219" spans="1:33">
      <c r="A219" t="s">
        <v>218</v>
      </c>
      <c r="B219" t="s">
        <v>2491</v>
      </c>
      <c r="C219" t="s">
        <v>2490</v>
      </c>
      <c r="D219" t="s">
        <v>200</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2">
        <v>7.8E-2</v>
      </c>
    </row>
    <row r="220" spans="1:33">
      <c r="A220" t="s">
        <v>219</v>
      </c>
      <c r="B220" t="s">
        <v>2489</v>
      </c>
      <c r="C220" t="s">
        <v>2488</v>
      </c>
      <c r="D220" t="s">
        <v>200</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2">
        <v>2.5999999999999999E-2</v>
      </c>
    </row>
    <row r="221" spans="1:33">
      <c r="A221" t="s">
        <v>1531</v>
      </c>
      <c r="B221" t="s">
        <v>2487</v>
      </c>
      <c r="C221" t="s">
        <v>2486</v>
      </c>
      <c r="D221" t="s">
        <v>200</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2">
        <v>0.03</v>
      </c>
    </row>
    <row r="222" spans="1:33">
      <c r="A222" t="s">
        <v>1534</v>
      </c>
      <c r="B222" t="s">
        <v>2485</v>
      </c>
      <c r="C222" t="s">
        <v>2484</v>
      </c>
      <c r="D222" t="s">
        <v>200</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2">
        <v>4.0000000000000001E-3</v>
      </c>
    </row>
    <row r="223" spans="1:33">
      <c r="A223" t="s">
        <v>1537</v>
      </c>
      <c r="B223" t="s">
        <v>2483</v>
      </c>
      <c r="C223" t="s">
        <v>2482</v>
      </c>
      <c r="D223" t="s">
        <v>200</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2">
        <v>1.7999999999999999E-2</v>
      </c>
    </row>
    <row r="224" spans="1:33">
      <c r="A224" t="s">
        <v>112</v>
      </c>
      <c r="B224" t="s">
        <v>2481</v>
      </c>
      <c r="C224" t="s">
        <v>2480</v>
      </c>
      <c r="D224" t="s">
        <v>200</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2">
        <v>2.1000000000000001E-2</v>
      </c>
    </row>
    <row r="225" spans="1:33">
      <c r="A225" t="s">
        <v>220</v>
      </c>
    </row>
    <row r="226" spans="1:33">
      <c r="A226" t="s">
        <v>221</v>
      </c>
    </row>
    <row r="227" spans="1:33">
      <c r="A227" t="s">
        <v>217</v>
      </c>
      <c r="B227" t="s">
        <v>2479</v>
      </c>
      <c r="C227" t="s">
        <v>2478</v>
      </c>
      <c r="D227" t="s">
        <v>232</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2">
        <v>8.0000000000000002E-3</v>
      </c>
    </row>
    <row r="228" spans="1:33">
      <c r="A228" t="s">
        <v>218</v>
      </c>
      <c r="B228" t="s">
        <v>2477</v>
      </c>
      <c r="C228" t="s">
        <v>2476</v>
      </c>
      <c r="D228" t="s">
        <v>232</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2">
        <v>8.0000000000000002E-3</v>
      </c>
    </row>
    <row r="229" spans="1:33">
      <c r="A229" t="s">
        <v>219</v>
      </c>
      <c r="B229" t="s">
        <v>2475</v>
      </c>
      <c r="C229" t="s">
        <v>2474</v>
      </c>
      <c r="D229" t="s">
        <v>232</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2">
        <v>8.9999999999999993E-3</v>
      </c>
    </row>
    <row r="230" spans="1:33">
      <c r="A230" t="s">
        <v>222</v>
      </c>
      <c r="B230" t="s">
        <v>2473</v>
      </c>
      <c r="C230" t="s">
        <v>2472</v>
      </c>
      <c r="D230" t="s">
        <v>232</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2">
        <v>8.0000000000000002E-3</v>
      </c>
    </row>
    <row r="231" spans="1:33">
      <c r="A231" t="s">
        <v>223</v>
      </c>
    </row>
    <row r="232" spans="1:33">
      <c r="A232" t="s">
        <v>217</v>
      </c>
      <c r="B232" t="s">
        <v>2471</v>
      </c>
      <c r="C232" t="s">
        <v>2470</v>
      </c>
      <c r="D232" t="s">
        <v>232</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2">
        <v>8.0000000000000002E-3</v>
      </c>
    </row>
    <row r="233" spans="1:33">
      <c r="A233" t="s">
        <v>218</v>
      </c>
      <c r="B233" t="s">
        <v>2469</v>
      </c>
      <c r="C233" t="s">
        <v>2468</v>
      </c>
      <c r="D233" t="s">
        <v>232</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2">
        <v>8.0000000000000002E-3</v>
      </c>
    </row>
    <row r="234" spans="1:33">
      <c r="A234" t="s">
        <v>219</v>
      </c>
      <c r="B234" t="s">
        <v>2467</v>
      </c>
      <c r="C234" t="s">
        <v>2466</v>
      </c>
      <c r="D234" t="s">
        <v>232</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2">
        <v>7.0000000000000001E-3</v>
      </c>
    </row>
    <row r="235" spans="1:33">
      <c r="A235" t="s">
        <v>222</v>
      </c>
      <c r="B235" t="s">
        <v>2465</v>
      </c>
      <c r="C235" t="s">
        <v>2464</v>
      </c>
      <c r="D235" t="s">
        <v>232</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2">
        <v>8.0000000000000002E-3</v>
      </c>
    </row>
    <row r="236" spans="1:33">
      <c r="A236" t="s">
        <v>110</v>
      </c>
    </row>
    <row r="237" spans="1:33">
      <c r="A237" t="s">
        <v>224</v>
      </c>
    </row>
    <row r="238" spans="1:33">
      <c r="A238" t="s">
        <v>211</v>
      </c>
      <c r="B238" t="s">
        <v>2463</v>
      </c>
      <c r="C238" t="s">
        <v>2462</v>
      </c>
      <c r="D238" t="s">
        <v>201</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2">
        <v>8.9999999999999993E-3</v>
      </c>
    </row>
    <row r="239" spans="1:33">
      <c r="A239" t="s">
        <v>212</v>
      </c>
      <c r="B239" t="s">
        <v>2461</v>
      </c>
      <c r="C239" t="s">
        <v>2460</v>
      </c>
      <c r="D239" t="s">
        <v>201</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2">
        <v>0.01</v>
      </c>
    </row>
    <row r="240" spans="1:33">
      <c r="A240" t="s">
        <v>2459</v>
      </c>
      <c r="B240" t="s">
        <v>2458</v>
      </c>
      <c r="C240" t="s">
        <v>2457</v>
      </c>
      <c r="D240" t="s">
        <v>201</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2">
        <v>2.4E-2</v>
      </c>
    </row>
    <row r="241" spans="1:33">
      <c r="A241" t="s">
        <v>2456</v>
      </c>
      <c r="B241" t="s">
        <v>2455</v>
      </c>
      <c r="C241" t="s">
        <v>2454</v>
      </c>
      <c r="D241" t="s">
        <v>201</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2">
        <v>1.0999999999999999E-2</v>
      </c>
    </row>
    <row r="242" spans="1:33">
      <c r="A242" t="s">
        <v>1262</v>
      </c>
      <c r="B242" t="s">
        <v>2453</v>
      </c>
      <c r="C242" t="s">
        <v>2452</v>
      </c>
      <c r="D242" t="s">
        <v>201</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2">
        <v>-8.0000000000000002E-3</v>
      </c>
    </row>
    <row r="243" spans="1:33">
      <c r="A243" t="s">
        <v>1265</v>
      </c>
      <c r="B243" t="s">
        <v>2451</v>
      </c>
      <c r="C243" t="s">
        <v>2450</v>
      </c>
      <c r="D243" t="s">
        <v>201</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2">
        <v>1.4E-2</v>
      </c>
    </row>
    <row r="244" spans="1:33">
      <c r="A244" t="s">
        <v>1268</v>
      </c>
      <c r="B244" t="s">
        <v>2449</v>
      </c>
      <c r="C244" t="s">
        <v>2448</v>
      </c>
      <c r="D244" t="s">
        <v>201</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2">
        <v>1.4E-2</v>
      </c>
    </row>
    <row r="245" spans="1:33">
      <c r="A245" t="s">
        <v>1271</v>
      </c>
      <c r="B245" t="s">
        <v>2447</v>
      </c>
      <c r="C245" t="s">
        <v>2446</v>
      </c>
      <c r="D245" t="s">
        <v>201</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2">
        <v>1.7000000000000001E-2</v>
      </c>
    </row>
    <row r="246" spans="1:33">
      <c r="A246" t="s">
        <v>2445</v>
      </c>
      <c r="B246" t="s">
        <v>2444</v>
      </c>
      <c r="C246" t="s">
        <v>2443</v>
      </c>
      <c r="D246" t="s">
        <v>201</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2">
        <v>0.02</v>
      </c>
    </row>
    <row r="247" spans="1:33">
      <c r="A247" t="s">
        <v>214</v>
      </c>
      <c r="B247" t="s">
        <v>2442</v>
      </c>
      <c r="C247" t="s">
        <v>2441</v>
      </c>
      <c r="D247" t="s">
        <v>201</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2">
        <v>0.03</v>
      </c>
    </row>
    <row r="248" spans="1:33">
      <c r="A248" t="s">
        <v>1279</v>
      </c>
      <c r="B248" t="s">
        <v>2440</v>
      </c>
      <c r="C248" t="s">
        <v>2439</v>
      </c>
      <c r="D248" t="s">
        <v>201</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2">
        <v>4.4999999999999998E-2</v>
      </c>
    </row>
    <row r="249" spans="1:33">
      <c r="A249" t="s">
        <v>2438</v>
      </c>
      <c r="B249" t="s">
        <v>2437</v>
      </c>
      <c r="C249" t="s">
        <v>2436</v>
      </c>
      <c r="D249" t="s">
        <v>201</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2">
        <v>2.5999999999999999E-2</v>
      </c>
    </row>
    <row r="250" spans="1:33">
      <c r="A250" t="s">
        <v>1285</v>
      </c>
      <c r="B250" t="s">
        <v>2435</v>
      </c>
      <c r="C250" t="s">
        <v>2434</v>
      </c>
      <c r="D250" t="s">
        <v>201</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2">
        <v>2.4E-2</v>
      </c>
    </row>
    <row r="251" spans="1:33">
      <c r="A251" t="s">
        <v>213</v>
      </c>
      <c r="B251" t="s">
        <v>2433</v>
      </c>
      <c r="C251" t="s">
        <v>2432</v>
      </c>
      <c r="D251" t="s">
        <v>201</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2">
        <v>0.03</v>
      </c>
    </row>
    <row r="252" spans="1:33">
      <c r="A252" t="s">
        <v>1290</v>
      </c>
      <c r="B252" t="s">
        <v>2431</v>
      </c>
      <c r="C252" t="s">
        <v>2430</v>
      </c>
      <c r="D252" t="s">
        <v>201</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2">
        <v>7.0000000000000001E-3</v>
      </c>
    </row>
    <row r="253" spans="1:33">
      <c r="A253" t="s">
        <v>2429</v>
      </c>
      <c r="B253" t="s">
        <v>2428</v>
      </c>
      <c r="C253" t="s">
        <v>2427</v>
      </c>
      <c r="D253" t="s">
        <v>201</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2">
        <v>1.7999999999999999E-2</v>
      </c>
    </row>
    <row r="254" spans="1:33">
      <c r="A254" t="s">
        <v>112</v>
      </c>
      <c r="B254" t="s">
        <v>2426</v>
      </c>
      <c r="C254" t="s">
        <v>2425</v>
      </c>
      <c r="D254" t="s">
        <v>201</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2">
        <v>1.7999999999999999E-2</v>
      </c>
    </row>
    <row r="255" spans="1:33">
      <c r="A255" t="s">
        <v>225</v>
      </c>
      <c r="B255" t="s">
        <v>2422</v>
      </c>
      <c r="C255" t="s">
        <v>2424</v>
      </c>
      <c r="D255" t="s">
        <v>2423</v>
      </c>
      <c r="E255" t="s">
        <v>201</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22">
        <v>0</v>
      </c>
    </row>
    <row r="256" spans="1:33">
      <c r="A256" t="s">
        <v>227</v>
      </c>
      <c r="B256" t="s">
        <v>2422</v>
      </c>
      <c r="C256" t="s">
        <v>2421</v>
      </c>
      <c r="D256" t="s">
        <v>2420</v>
      </c>
      <c r="E256" t="s">
        <v>201</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22">
        <v>2E-3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4.5"/>
  <cols>
    <col min="1" max="1" width="25.26953125" customWidth="1"/>
  </cols>
  <sheetData>
    <row r="1" spans="1:33">
      <c r="A1" t="s">
        <v>233</v>
      </c>
    </row>
    <row r="2" spans="1:33">
      <c r="A2" t="s">
        <v>3442</v>
      </c>
    </row>
    <row r="3" spans="1:33">
      <c r="A3" t="s">
        <v>3441</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147</v>
      </c>
    </row>
    <row r="7" spans="1:33">
      <c r="A7" t="s">
        <v>234</v>
      </c>
    </row>
    <row r="8" spans="1:33">
      <c r="A8" t="s">
        <v>170</v>
      </c>
    </row>
    <row r="9" spans="1:33">
      <c r="A9" t="s">
        <v>189</v>
      </c>
      <c r="B9" t="s">
        <v>3440</v>
      </c>
      <c r="C9" t="s">
        <v>3439</v>
      </c>
      <c r="D9" t="s">
        <v>202</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22">
        <v>-4.2000000000000003E-2</v>
      </c>
    </row>
    <row r="10" spans="1:33">
      <c r="A10" t="s">
        <v>235</v>
      </c>
      <c r="B10" t="s">
        <v>3438</v>
      </c>
      <c r="C10" t="s">
        <v>3437</v>
      </c>
      <c r="D10" t="s">
        <v>202</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22">
        <v>-1.2E-2</v>
      </c>
    </row>
    <row r="11" spans="1:33">
      <c r="A11" t="s">
        <v>192</v>
      </c>
      <c r="B11" t="s">
        <v>3436</v>
      </c>
      <c r="C11" t="s">
        <v>3435</v>
      </c>
      <c r="D11" t="s">
        <v>202</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22">
        <v>1.7999999999999999E-2</v>
      </c>
    </row>
    <row r="12" spans="1:33">
      <c r="A12" t="s">
        <v>195</v>
      </c>
      <c r="B12" t="s">
        <v>3434</v>
      </c>
      <c r="C12" t="s">
        <v>3433</v>
      </c>
      <c r="D12" t="s">
        <v>202</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22">
        <v>0.153</v>
      </c>
    </row>
    <row r="13" spans="1:33">
      <c r="A13" t="s">
        <v>236</v>
      </c>
      <c r="B13" t="s">
        <v>3432</v>
      </c>
      <c r="C13" t="s">
        <v>3431</v>
      </c>
      <c r="D13" t="s">
        <v>202</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22">
        <v>-0.114</v>
      </c>
    </row>
    <row r="14" spans="1:33">
      <c r="A14" t="s">
        <v>237</v>
      </c>
      <c r="B14" t="s">
        <v>3430</v>
      </c>
      <c r="C14" t="s">
        <v>3429</v>
      </c>
      <c r="D14" t="s">
        <v>202</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22">
        <v>0.23100000000000001</v>
      </c>
    </row>
    <row r="15" spans="1:33">
      <c r="A15" t="s">
        <v>238</v>
      </c>
      <c r="B15" t="s">
        <v>3428</v>
      </c>
      <c r="C15" t="s">
        <v>3427</v>
      </c>
      <c r="D15" t="s">
        <v>202</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111</v>
      </c>
    </row>
    <row r="16" spans="1:33">
      <c r="A16" t="s">
        <v>239</v>
      </c>
      <c r="B16" t="s">
        <v>3426</v>
      </c>
      <c r="C16" t="s">
        <v>3425</v>
      </c>
      <c r="D16" t="s">
        <v>202</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111</v>
      </c>
    </row>
    <row r="17" spans="1:33">
      <c r="A17" t="s">
        <v>240</v>
      </c>
      <c r="B17" t="s">
        <v>3424</v>
      </c>
      <c r="C17" t="s">
        <v>3423</v>
      </c>
      <c r="D17" t="s">
        <v>202</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111</v>
      </c>
    </row>
    <row r="18" spans="1:33">
      <c r="A18" t="s">
        <v>2320</v>
      </c>
      <c r="B18" t="s">
        <v>3422</v>
      </c>
      <c r="C18" t="s">
        <v>3421</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2317</v>
      </c>
      <c r="B19" t="s">
        <v>3420</v>
      </c>
      <c r="C19" t="s">
        <v>3419</v>
      </c>
      <c r="D19" t="s">
        <v>202</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111</v>
      </c>
    </row>
    <row r="20" spans="1:33">
      <c r="A20" t="s">
        <v>2314</v>
      </c>
      <c r="B20" t="s">
        <v>3418</v>
      </c>
      <c r="C20" t="s">
        <v>3417</v>
      </c>
      <c r="D20" t="s">
        <v>202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111</v>
      </c>
    </row>
    <row r="21" spans="1:33" s="94" customFormat="1">
      <c r="A21" s="94" t="s">
        <v>241</v>
      </c>
      <c r="B21" s="94" t="s">
        <v>3416</v>
      </c>
      <c r="C21" s="94" t="s">
        <v>3415</v>
      </c>
      <c r="D21" s="94" t="s">
        <v>202</v>
      </c>
      <c r="F21" s="94">
        <v>81.913414000000003</v>
      </c>
      <c r="G21" s="94">
        <v>83.637932000000006</v>
      </c>
      <c r="H21" s="94">
        <v>84.649970999999994</v>
      </c>
      <c r="I21" s="94">
        <v>85.366112000000001</v>
      </c>
      <c r="J21" s="94">
        <v>86.041008000000005</v>
      </c>
      <c r="K21" s="94">
        <v>87.189673999999997</v>
      </c>
      <c r="L21" s="94">
        <v>88.634345999999994</v>
      </c>
      <c r="M21" s="94">
        <v>90.136009000000001</v>
      </c>
      <c r="N21" s="94">
        <v>91.764342999999997</v>
      </c>
      <c r="O21" s="94">
        <v>93.408591999999999</v>
      </c>
      <c r="P21" s="94">
        <v>95.227249</v>
      </c>
      <c r="Q21" s="94">
        <v>97.079216000000002</v>
      </c>
      <c r="R21" s="94">
        <v>99.016814999999994</v>
      </c>
      <c r="S21" s="94">
        <v>100.936539</v>
      </c>
      <c r="T21" s="94">
        <v>102.872658</v>
      </c>
      <c r="U21" s="94">
        <v>104.776962</v>
      </c>
      <c r="V21" s="94">
        <v>106.826088</v>
      </c>
      <c r="W21" s="94">
        <v>108.78827699999999</v>
      </c>
      <c r="X21" s="94">
        <v>110.690437</v>
      </c>
      <c r="Y21" s="94">
        <v>112.395782</v>
      </c>
      <c r="Z21" s="94">
        <v>114.059608</v>
      </c>
      <c r="AA21" s="94">
        <v>115.924751</v>
      </c>
      <c r="AB21" s="94">
        <v>117.859016</v>
      </c>
      <c r="AC21" s="94">
        <v>120.16201</v>
      </c>
      <c r="AD21" s="94">
        <v>122.30836499999999</v>
      </c>
      <c r="AE21" s="94">
        <v>124.313187</v>
      </c>
      <c r="AF21" s="94">
        <v>126.225555</v>
      </c>
      <c r="AG21" s="95">
        <v>1.7000000000000001E-2</v>
      </c>
    </row>
    <row r="22" spans="1:33">
      <c r="A22" t="s">
        <v>171</v>
      </c>
    </row>
    <row r="23" spans="1:33">
      <c r="A23" t="s">
        <v>189</v>
      </c>
      <c r="B23" t="s">
        <v>3414</v>
      </c>
      <c r="C23" t="s">
        <v>3413</v>
      </c>
      <c r="D23" t="s">
        <v>202</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22">
        <v>-1.7999999999999999E-2</v>
      </c>
    </row>
    <row r="24" spans="1:33">
      <c r="A24" t="s">
        <v>235</v>
      </c>
      <c r="B24" t="s">
        <v>3412</v>
      </c>
      <c r="C24" t="s">
        <v>3411</v>
      </c>
      <c r="D24" t="s">
        <v>202</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22">
        <v>-4.0000000000000001E-3</v>
      </c>
    </row>
    <row r="25" spans="1:33">
      <c r="A25" t="s">
        <v>192</v>
      </c>
      <c r="B25" t="s">
        <v>3410</v>
      </c>
      <c r="C25" t="s">
        <v>3409</v>
      </c>
      <c r="D25" t="s">
        <v>202</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22">
        <v>-0.1</v>
      </c>
    </row>
    <row r="26" spans="1:33">
      <c r="A26" t="s">
        <v>195</v>
      </c>
      <c r="B26" t="s">
        <v>3408</v>
      </c>
      <c r="C26" t="s">
        <v>3407</v>
      </c>
      <c r="D26" t="s">
        <v>202</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22">
        <v>6.5000000000000002E-2</v>
      </c>
    </row>
    <row r="27" spans="1:33">
      <c r="A27" t="s">
        <v>236</v>
      </c>
      <c r="B27" t="s">
        <v>3406</v>
      </c>
      <c r="C27" t="s">
        <v>3405</v>
      </c>
      <c r="D27" t="s">
        <v>202</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22">
        <v>-9.5000000000000001E-2</v>
      </c>
    </row>
    <row r="28" spans="1:33">
      <c r="A28" t="s">
        <v>237</v>
      </c>
      <c r="B28" t="s">
        <v>3404</v>
      </c>
      <c r="C28" t="s">
        <v>3403</v>
      </c>
      <c r="D28" t="s">
        <v>202</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22">
        <v>2.1999999999999999E-2</v>
      </c>
    </row>
    <row r="29" spans="1:33">
      <c r="A29" t="s">
        <v>238</v>
      </c>
      <c r="B29" t="s">
        <v>3402</v>
      </c>
      <c r="C29" t="s">
        <v>3401</v>
      </c>
      <c r="D29" t="s">
        <v>202</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111</v>
      </c>
    </row>
    <row r="30" spans="1:33">
      <c r="A30" t="s">
        <v>239</v>
      </c>
      <c r="B30" t="s">
        <v>3400</v>
      </c>
      <c r="C30" t="s">
        <v>3399</v>
      </c>
      <c r="D30" t="s">
        <v>202</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111</v>
      </c>
    </row>
    <row r="31" spans="1:33">
      <c r="A31" t="s">
        <v>240</v>
      </c>
      <c r="B31" t="s">
        <v>3398</v>
      </c>
      <c r="C31" t="s">
        <v>3397</v>
      </c>
      <c r="D31" t="s">
        <v>202</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111</v>
      </c>
    </row>
    <row r="32" spans="1:33">
      <c r="A32" t="s">
        <v>2320</v>
      </c>
      <c r="B32" t="s">
        <v>3396</v>
      </c>
      <c r="C32" t="s">
        <v>3395</v>
      </c>
      <c r="D32" t="s">
        <v>202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111</v>
      </c>
    </row>
    <row r="33" spans="1:33">
      <c r="A33" t="s">
        <v>2317</v>
      </c>
      <c r="B33" t="s">
        <v>3394</v>
      </c>
      <c r="C33" t="s">
        <v>3393</v>
      </c>
      <c r="D33" t="s">
        <v>202</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111</v>
      </c>
    </row>
    <row r="34" spans="1:33">
      <c r="A34" t="s">
        <v>2314</v>
      </c>
      <c r="B34" t="s">
        <v>3392</v>
      </c>
      <c r="C34" t="s">
        <v>3391</v>
      </c>
      <c r="D34" t="s">
        <v>202</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111</v>
      </c>
    </row>
    <row r="35" spans="1:33" s="94" customFormat="1">
      <c r="A35" s="94" t="s">
        <v>242</v>
      </c>
      <c r="B35" s="94" t="s">
        <v>3390</v>
      </c>
      <c r="C35" s="94" t="s">
        <v>3389</v>
      </c>
      <c r="D35" s="94" t="s">
        <v>202</v>
      </c>
      <c r="F35" s="94">
        <v>62.669761999999999</v>
      </c>
      <c r="G35" s="94">
        <v>62.306469</v>
      </c>
      <c r="H35" s="94">
        <v>61.636169000000002</v>
      </c>
      <c r="I35" s="94">
        <v>61.069248000000002</v>
      </c>
      <c r="J35" s="94">
        <v>60.511715000000002</v>
      </c>
      <c r="K35" s="94">
        <v>60.140095000000002</v>
      </c>
      <c r="L35" s="94">
        <v>59.894455000000001</v>
      </c>
      <c r="M35" s="94">
        <v>59.670211999999999</v>
      </c>
      <c r="N35" s="94">
        <v>59.550327000000003</v>
      </c>
      <c r="O35" s="94">
        <v>59.398045000000003</v>
      </c>
      <c r="P35" s="94">
        <v>59.327106000000001</v>
      </c>
      <c r="Q35" s="94">
        <v>59.290576999999999</v>
      </c>
      <c r="R35" s="94">
        <v>59.361587999999998</v>
      </c>
      <c r="S35" s="94">
        <v>59.521720999999999</v>
      </c>
      <c r="T35" s="94">
        <v>59.692307</v>
      </c>
      <c r="U35" s="94">
        <v>59.831532000000003</v>
      </c>
      <c r="V35" s="94">
        <v>60.013888999999999</v>
      </c>
      <c r="W35" s="94">
        <v>60.179622999999999</v>
      </c>
      <c r="X35" s="94">
        <v>60.380524000000001</v>
      </c>
      <c r="Y35" s="94">
        <v>60.561053999999999</v>
      </c>
      <c r="Z35" s="94">
        <v>60.717669999999998</v>
      </c>
      <c r="AA35" s="94">
        <v>60.904583000000002</v>
      </c>
      <c r="AB35" s="94">
        <v>61.056731999999997</v>
      </c>
      <c r="AC35" s="94">
        <v>61.433689000000001</v>
      </c>
      <c r="AD35" s="94">
        <v>61.823250000000002</v>
      </c>
      <c r="AE35" s="94">
        <v>62.164485999999997</v>
      </c>
      <c r="AF35" s="94">
        <v>62.394100000000002</v>
      </c>
      <c r="AG35" s="95">
        <v>0</v>
      </c>
    </row>
    <row r="36" spans="1:33">
      <c r="A36" t="s">
        <v>243</v>
      </c>
    </row>
    <row r="37" spans="1:33">
      <c r="A37" t="s">
        <v>189</v>
      </c>
      <c r="B37" t="s">
        <v>3388</v>
      </c>
      <c r="C37" t="s">
        <v>3387</v>
      </c>
      <c r="D37" t="s">
        <v>202</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22">
        <v>7.0000000000000001E-3</v>
      </c>
    </row>
    <row r="38" spans="1:33">
      <c r="A38" t="s">
        <v>235</v>
      </c>
      <c r="B38" t="s">
        <v>3386</v>
      </c>
      <c r="C38" t="s">
        <v>3385</v>
      </c>
      <c r="D38" t="s">
        <v>202</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22">
        <v>-4.5999999999999999E-2</v>
      </c>
    </row>
    <row r="39" spans="1:33">
      <c r="A39" t="s">
        <v>192</v>
      </c>
      <c r="B39" t="s">
        <v>3384</v>
      </c>
      <c r="C39" t="s">
        <v>3383</v>
      </c>
      <c r="D39" t="s">
        <v>202</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22">
        <v>3.5999999999999997E-2</v>
      </c>
    </row>
    <row r="40" spans="1:33">
      <c r="A40" t="s">
        <v>195</v>
      </c>
      <c r="B40" t="s">
        <v>3382</v>
      </c>
      <c r="C40" t="s">
        <v>3381</v>
      </c>
      <c r="D40" t="s">
        <v>202</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22">
        <v>2.5999999999999999E-2</v>
      </c>
    </row>
    <row r="41" spans="1:33">
      <c r="A41" t="s">
        <v>236</v>
      </c>
      <c r="B41" t="s">
        <v>3380</v>
      </c>
      <c r="C41" t="s">
        <v>3379</v>
      </c>
      <c r="D41" t="s">
        <v>202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111</v>
      </c>
    </row>
    <row r="42" spans="1:33">
      <c r="A42" t="s">
        <v>237</v>
      </c>
      <c r="B42" t="s">
        <v>3378</v>
      </c>
      <c r="C42" t="s">
        <v>3377</v>
      </c>
      <c r="D42" t="s">
        <v>202</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22">
        <v>5.1999999999999998E-2</v>
      </c>
    </row>
    <row r="43" spans="1:33">
      <c r="A43" t="s">
        <v>238</v>
      </c>
      <c r="B43" t="s">
        <v>3376</v>
      </c>
      <c r="C43" t="s">
        <v>3375</v>
      </c>
      <c r="D43" t="s">
        <v>202</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111</v>
      </c>
    </row>
    <row r="44" spans="1:33">
      <c r="A44" t="s">
        <v>239</v>
      </c>
      <c r="B44" t="s">
        <v>3374</v>
      </c>
      <c r="C44" t="s">
        <v>3373</v>
      </c>
      <c r="D44" t="s">
        <v>202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111</v>
      </c>
    </row>
    <row r="45" spans="1:33">
      <c r="A45" t="s">
        <v>240</v>
      </c>
      <c r="B45" t="s">
        <v>3372</v>
      </c>
      <c r="C45" t="s">
        <v>3371</v>
      </c>
      <c r="D45" t="s">
        <v>202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111</v>
      </c>
    </row>
    <row r="46" spans="1:33">
      <c r="A46" t="s">
        <v>2320</v>
      </c>
      <c r="B46" t="s">
        <v>3370</v>
      </c>
      <c r="C46" t="s">
        <v>3369</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2317</v>
      </c>
      <c r="B47" t="s">
        <v>3368</v>
      </c>
      <c r="C47" t="s">
        <v>3367</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2314</v>
      </c>
      <c r="B48" t="s">
        <v>3366</v>
      </c>
      <c r="C48" t="s">
        <v>3365</v>
      </c>
      <c r="D48" t="s">
        <v>202</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111</v>
      </c>
    </row>
    <row r="49" spans="1:33">
      <c r="A49" t="s">
        <v>244</v>
      </c>
      <c r="B49" t="s">
        <v>3364</v>
      </c>
      <c r="C49" t="s">
        <v>3363</v>
      </c>
      <c r="D49" t="s">
        <v>202</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22">
        <v>8.0000000000000002E-3</v>
      </c>
    </row>
    <row r="50" spans="1:33">
      <c r="A50" t="s">
        <v>245</v>
      </c>
      <c r="B50" t="s">
        <v>3362</v>
      </c>
      <c r="C50" t="s">
        <v>3361</v>
      </c>
      <c r="D50" t="s">
        <v>202</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22">
        <v>8.9999999999999993E-3</v>
      </c>
    </row>
    <row r="51" spans="1:33">
      <c r="A51" t="s">
        <v>246</v>
      </c>
    </row>
    <row r="52" spans="1:33">
      <c r="A52" t="s">
        <v>170</v>
      </c>
    </row>
    <row r="53" spans="1:33">
      <c r="A53" t="s">
        <v>189</v>
      </c>
      <c r="B53" t="s">
        <v>3360</v>
      </c>
      <c r="C53" t="s">
        <v>3359</v>
      </c>
      <c r="D53" t="s">
        <v>201</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22">
        <v>-4.5999999999999999E-2</v>
      </c>
    </row>
    <row r="54" spans="1:33">
      <c r="A54" t="s">
        <v>235</v>
      </c>
      <c r="B54" t="s">
        <v>3358</v>
      </c>
      <c r="C54" t="s">
        <v>3357</v>
      </c>
      <c r="D54" t="s">
        <v>201</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22">
        <v>-1.7000000000000001E-2</v>
      </c>
    </row>
    <row r="55" spans="1:33">
      <c r="A55" t="s">
        <v>192</v>
      </c>
      <c r="B55" t="s">
        <v>3356</v>
      </c>
      <c r="C55" t="s">
        <v>3355</v>
      </c>
      <c r="D55" t="s">
        <v>201</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22">
        <v>7.0000000000000001E-3</v>
      </c>
    </row>
    <row r="56" spans="1:33">
      <c r="A56" t="s">
        <v>195</v>
      </c>
      <c r="B56" t="s">
        <v>3354</v>
      </c>
      <c r="C56" t="s">
        <v>3353</v>
      </c>
      <c r="D56" t="s">
        <v>201</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22">
        <v>0.14799999999999999</v>
      </c>
    </row>
    <row r="57" spans="1:33">
      <c r="A57" t="s">
        <v>236</v>
      </c>
      <c r="B57" t="s">
        <v>3352</v>
      </c>
      <c r="C57" t="s">
        <v>3351</v>
      </c>
      <c r="D57" t="s">
        <v>201</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22">
        <v>-0.114</v>
      </c>
    </row>
    <row r="58" spans="1:33">
      <c r="A58" t="s">
        <v>237</v>
      </c>
      <c r="B58" t="s">
        <v>3350</v>
      </c>
      <c r="C58" t="s">
        <v>3349</v>
      </c>
      <c r="D58" t="s">
        <v>201</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22">
        <v>0.23</v>
      </c>
    </row>
    <row r="59" spans="1:33">
      <c r="A59" t="s">
        <v>238</v>
      </c>
      <c r="B59" t="s">
        <v>3348</v>
      </c>
      <c r="C59" t="s">
        <v>3347</v>
      </c>
      <c r="D59" t="s">
        <v>201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239</v>
      </c>
      <c r="B60" t="s">
        <v>3346</v>
      </c>
      <c r="C60" t="s">
        <v>3345</v>
      </c>
      <c r="D60" t="s">
        <v>201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240</v>
      </c>
      <c r="B61" t="s">
        <v>3344</v>
      </c>
      <c r="C61" t="s">
        <v>3343</v>
      </c>
      <c r="D61" t="s">
        <v>201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111</v>
      </c>
    </row>
    <row r="62" spans="1:33">
      <c r="A62" t="s">
        <v>2320</v>
      </c>
      <c r="B62" t="s">
        <v>3342</v>
      </c>
      <c r="C62" t="s">
        <v>3341</v>
      </c>
      <c r="D62" t="s">
        <v>201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2317</v>
      </c>
      <c r="B63" t="s">
        <v>3340</v>
      </c>
      <c r="C63" t="s">
        <v>3339</v>
      </c>
      <c r="D63" t="s">
        <v>201</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111</v>
      </c>
    </row>
    <row r="64" spans="1:33">
      <c r="A64" t="s">
        <v>2314</v>
      </c>
      <c r="B64" t="s">
        <v>3338</v>
      </c>
      <c r="C64" t="s">
        <v>3337</v>
      </c>
      <c r="D64" t="s">
        <v>201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111</v>
      </c>
    </row>
    <row r="65" spans="1:33">
      <c r="A65" t="s">
        <v>241</v>
      </c>
      <c r="B65" t="s">
        <v>3336</v>
      </c>
      <c r="C65" t="s">
        <v>3335</v>
      </c>
      <c r="D65" t="s">
        <v>201</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22">
        <v>6.0000000000000001E-3</v>
      </c>
    </row>
    <row r="66" spans="1:33">
      <c r="A66" t="s">
        <v>171</v>
      </c>
    </row>
    <row r="67" spans="1:33">
      <c r="A67" t="s">
        <v>189</v>
      </c>
      <c r="B67" t="s">
        <v>3334</v>
      </c>
      <c r="C67" t="s">
        <v>3333</v>
      </c>
      <c r="D67" t="s">
        <v>201</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22">
        <v>-2.5999999999999999E-2</v>
      </c>
    </row>
    <row r="68" spans="1:33">
      <c r="A68" t="s">
        <v>235</v>
      </c>
      <c r="B68" t="s">
        <v>3332</v>
      </c>
      <c r="C68" t="s">
        <v>3331</v>
      </c>
      <c r="D68" t="s">
        <v>201</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22">
        <v>-8.0000000000000002E-3</v>
      </c>
    </row>
    <row r="69" spans="1:33">
      <c r="A69" t="s">
        <v>192</v>
      </c>
      <c r="B69" t="s">
        <v>3330</v>
      </c>
      <c r="C69" t="s">
        <v>3329</v>
      </c>
      <c r="D69" t="s">
        <v>201</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22">
        <v>-0.104</v>
      </c>
    </row>
    <row r="70" spans="1:33">
      <c r="A70" t="s">
        <v>195</v>
      </c>
      <c r="B70" t="s">
        <v>3328</v>
      </c>
      <c r="C70" t="s">
        <v>3327</v>
      </c>
      <c r="D70" t="s">
        <v>201</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22">
        <v>5.5E-2</v>
      </c>
    </row>
    <row r="71" spans="1:33">
      <c r="A71" t="s">
        <v>236</v>
      </c>
      <c r="B71" t="s">
        <v>3326</v>
      </c>
      <c r="C71" t="s">
        <v>3325</v>
      </c>
      <c r="D71" t="s">
        <v>201</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22">
        <v>-9.5000000000000001E-2</v>
      </c>
    </row>
    <row r="72" spans="1:33">
      <c r="A72" t="s">
        <v>237</v>
      </c>
      <c r="B72" t="s">
        <v>3324</v>
      </c>
      <c r="C72" t="s">
        <v>3323</v>
      </c>
      <c r="D72" t="s">
        <v>201</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22">
        <v>2.7E-2</v>
      </c>
    </row>
    <row r="73" spans="1:33">
      <c r="A73" t="s">
        <v>238</v>
      </c>
      <c r="B73" t="s">
        <v>3322</v>
      </c>
      <c r="C73" t="s">
        <v>3321</v>
      </c>
      <c r="D73" t="s">
        <v>201</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111</v>
      </c>
    </row>
    <row r="74" spans="1:33">
      <c r="A74" t="s">
        <v>239</v>
      </c>
      <c r="B74" t="s">
        <v>3320</v>
      </c>
      <c r="C74" t="s">
        <v>3319</v>
      </c>
      <c r="D74" t="s">
        <v>201</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111</v>
      </c>
    </row>
    <row r="75" spans="1:33">
      <c r="A75" t="s">
        <v>240</v>
      </c>
      <c r="B75" t="s">
        <v>3318</v>
      </c>
      <c r="C75" t="s">
        <v>3317</v>
      </c>
      <c r="D75" t="s">
        <v>201</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111</v>
      </c>
    </row>
    <row r="76" spans="1:33">
      <c r="A76" t="s">
        <v>2320</v>
      </c>
      <c r="B76" t="s">
        <v>3316</v>
      </c>
      <c r="C76" t="s">
        <v>3315</v>
      </c>
      <c r="D76" t="s">
        <v>201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111</v>
      </c>
    </row>
    <row r="77" spans="1:33">
      <c r="A77" t="s">
        <v>2317</v>
      </c>
      <c r="B77" t="s">
        <v>3314</v>
      </c>
      <c r="C77" t="s">
        <v>3313</v>
      </c>
      <c r="D77" t="s">
        <v>201</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111</v>
      </c>
    </row>
    <row r="78" spans="1:33">
      <c r="A78" t="s">
        <v>2314</v>
      </c>
      <c r="B78" t="s">
        <v>3312</v>
      </c>
      <c r="C78" t="s">
        <v>3311</v>
      </c>
      <c r="D78" t="s">
        <v>201</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111</v>
      </c>
    </row>
    <row r="79" spans="1:33">
      <c r="A79" t="s">
        <v>242</v>
      </c>
      <c r="B79" t="s">
        <v>3310</v>
      </c>
      <c r="C79" t="s">
        <v>3309</v>
      </c>
      <c r="D79" t="s">
        <v>201</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22">
        <v>-7.0000000000000001E-3</v>
      </c>
    </row>
    <row r="80" spans="1:33">
      <c r="A80" t="s">
        <v>243</v>
      </c>
    </row>
    <row r="81" spans="1:33">
      <c r="A81" t="s">
        <v>189</v>
      </c>
      <c r="B81" t="s">
        <v>3308</v>
      </c>
      <c r="C81" t="s">
        <v>3307</v>
      </c>
      <c r="D81" t="s">
        <v>201</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22">
        <v>-1E-3</v>
      </c>
    </row>
    <row r="82" spans="1:33">
      <c r="A82" t="s">
        <v>235</v>
      </c>
      <c r="B82" t="s">
        <v>3306</v>
      </c>
      <c r="C82" t="s">
        <v>3305</v>
      </c>
      <c r="D82" t="s">
        <v>201</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22">
        <v>-5.5E-2</v>
      </c>
    </row>
    <row r="83" spans="1:33">
      <c r="A83" t="s">
        <v>192</v>
      </c>
      <c r="B83" t="s">
        <v>3304</v>
      </c>
      <c r="C83" t="s">
        <v>3303</v>
      </c>
      <c r="D83" t="s">
        <v>201</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22">
        <v>2.7E-2</v>
      </c>
    </row>
    <row r="84" spans="1:33">
      <c r="A84" t="s">
        <v>195</v>
      </c>
      <c r="B84" t="s">
        <v>3302</v>
      </c>
      <c r="C84" t="s">
        <v>3301</v>
      </c>
      <c r="D84" t="s">
        <v>201</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22">
        <v>1.9E-2</v>
      </c>
    </row>
    <row r="85" spans="1:33">
      <c r="A85" t="s">
        <v>236</v>
      </c>
      <c r="B85" t="s">
        <v>3300</v>
      </c>
      <c r="C85" t="s">
        <v>3299</v>
      </c>
      <c r="D85" t="s">
        <v>201</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111</v>
      </c>
    </row>
    <row r="86" spans="1:33">
      <c r="A86" t="s">
        <v>237</v>
      </c>
      <c r="B86" t="s">
        <v>3298</v>
      </c>
      <c r="C86" t="s">
        <v>3297</v>
      </c>
      <c r="D86" t="s">
        <v>201</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22">
        <v>4.8000000000000001E-2</v>
      </c>
    </row>
    <row r="87" spans="1:33">
      <c r="A87" t="s">
        <v>238</v>
      </c>
      <c r="B87" t="s">
        <v>3296</v>
      </c>
      <c r="C87" t="s">
        <v>3295</v>
      </c>
      <c r="D87" t="s">
        <v>201</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111</v>
      </c>
    </row>
    <row r="88" spans="1:33">
      <c r="A88" t="s">
        <v>239</v>
      </c>
      <c r="B88" t="s">
        <v>3294</v>
      </c>
      <c r="C88" t="s">
        <v>3293</v>
      </c>
      <c r="D88" t="s">
        <v>201</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111</v>
      </c>
    </row>
    <row r="89" spans="1:33">
      <c r="A89" t="s">
        <v>240</v>
      </c>
      <c r="B89" t="s">
        <v>3292</v>
      </c>
      <c r="C89" t="s">
        <v>3291</v>
      </c>
      <c r="D89" t="s">
        <v>201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111</v>
      </c>
    </row>
    <row r="90" spans="1:33">
      <c r="A90" t="s">
        <v>2320</v>
      </c>
      <c r="B90" t="s">
        <v>3290</v>
      </c>
      <c r="C90" t="s">
        <v>3289</v>
      </c>
      <c r="D90" t="s">
        <v>201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111</v>
      </c>
    </row>
    <row r="91" spans="1:33">
      <c r="A91" t="s">
        <v>2317</v>
      </c>
      <c r="B91" t="s">
        <v>3288</v>
      </c>
      <c r="C91" t="s">
        <v>3287</v>
      </c>
      <c r="D91" t="s">
        <v>201</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111</v>
      </c>
    </row>
    <row r="92" spans="1:33">
      <c r="A92" t="s">
        <v>2314</v>
      </c>
      <c r="B92" t="s">
        <v>3286</v>
      </c>
      <c r="C92" t="s">
        <v>3285</v>
      </c>
      <c r="D92" t="s">
        <v>201</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111</v>
      </c>
    </row>
    <row r="93" spans="1:33">
      <c r="A93" t="s">
        <v>244</v>
      </c>
      <c r="B93" t="s">
        <v>3284</v>
      </c>
      <c r="C93" t="s">
        <v>3283</v>
      </c>
      <c r="D93" t="s">
        <v>201</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22">
        <v>-1E-3</v>
      </c>
    </row>
    <row r="94" spans="1:33">
      <c r="A94" t="s">
        <v>170</v>
      </c>
      <c r="B94" t="s">
        <v>247</v>
      </c>
      <c r="C94" t="s">
        <v>266</v>
      </c>
    </row>
    <row r="95" spans="1:33">
      <c r="A95" t="s">
        <v>189</v>
      </c>
      <c r="B95" t="s">
        <v>3282</v>
      </c>
      <c r="C95" t="s">
        <v>3281</v>
      </c>
      <c r="D95" t="s">
        <v>201</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22">
        <v>-6.0000000000000001E-3</v>
      </c>
    </row>
    <row r="96" spans="1:33">
      <c r="A96" t="s">
        <v>235</v>
      </c>
      <c r="B96" t="s">
        <v>3280</v>
      </c>
      <c r="C96" t="s">
        <v>3279</v>
      </c>
      <c r="D96" t="s">
        <v>201</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22">
        <v>-1.2E-2</v>
      </c>
    </row>
    <row r="97" spans="1:33">
      <c r="A97" t="s">
        <v>192</v>
      </c>
      <c r="B97" t="s">
        <v>3278</v>
      </c>
      <c r="C97" t="s">
        <v>3277</v>
      </c>
      <c r="D97" t="s">
        <v>201</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22">
        <v>1.4E-2</v>
      </c>
    </row>
    <row r="98" spans="1:33">
      <c r="A98" t="s">
        <v>195</v>
      </c>
      <c r="B98" t="s">
        <v>3276</v>
      </c>
      <c r="C98" t="s">
        <v>3275</v>
      </c>
      <c r="D98" t="s">
        <v>201</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22">
        <v>3.4000000000000002E-2</v>
      </c>
    </row>
    <row r="99" spans="1:33">
      <c r="A99" t="s">
        <v>236</v>
      </c>
      <c r="B99" t="s">
        <v>3274</v>
      </c>
      <c r="C99" t="s">
        <v>3273</v>
      </c>
      <c r="D99" t="s">
        <v>201</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22">
        <v>-0.109</v>
      </c>
    </row>
    <row r="100" spans="1:33">
      <c r="A100" t="s">
        <v>237</v>
      </c>
      <c r="B100" t="s">
        <v>3272</v>
      </c>
      <c r="C100" t="s">
        <v>3271</v>
      </c>
      <c r="D100" t="s">
        <v>201</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22">
        <v>0.14099999999999999</v>
      </c>
    </row>
    <row r="101" spans="1:33">
      <c r="A101" t="s">
        <v>238</v>
      </c>
      <c r="B101" t="s">
        <v>3270</v>
      </c>
      <c r="C101" t="s">
        <v>3269</v>
      </c>
      <c r="D101" t="s">
        <v>201</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111</v>
      </c>
    </row>
    <row r="102" spans="1:33">
      <c r="A102" t="s">
        <v>239</v>
      </c>
      <c r="B102" t="s">
        <v>3268</v>
      </c>
      <c r="C102" t="s">
        <v>3267</v>
      </c>
      <c r="D102" t="s">
        <v>201</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111</v>
      </c>
    </row>
    <row r="103" spans="1:33">
      <c r="A103" t="s">
        <v>240</v>
      </c>
      <c r="B103" t="s">
        <v>3266</v>
      </c>
      <c r="C103" t="s">
        <v>3265</v>
      </c>
      <c r="D103" t="s">
        <v>201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111</v>
      </c>
    </row>
    <row r="104" spans="1:33">
      <c r="A104" t="s">
        <v>2320</v>
      </c>
      <c r="B104" t="s">
        <v>3264</v>
      </c>
      <c r="C104" t="s">
        <v>3263</v>
      </c>
      <c r="D104" t="s">
        <v>201</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111</v>
      </c>
    </row>
    <row r="105" spans="1:33">
      <c r="A105" t="s">
        <v>2317</v>
      </c>
      <c r="B105" t="s">
        <v>3262</v>
      </c>
      <c r="C105" t="s">
        <v>3261</v>
      </c>
      <c r="D105" t="s">
        <v>201</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111</v>
      </c>
    </row>
    <row r="106" spans="1:33">
      <c r="A106" t="s">
        <v>2314</v>
      </c>
      <c r="B106" t="s">
        <v>3260</v>
      </c>
      <c r="C106" t="s">
        <v>3259</v>
      </c>
      <c r="D106" t="s">
        <v>201</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111</v>
      </c>
    </row>
    <row r="107" spans="1:33">
      <c r="A107" t="s">
        <v>143</v>
      </c>
      <c r="B107" t="s">
        <v>3258</v>
      </c>
      <c r="C107" t="s">
        <v>3257</v>
      </c>
      <c r="D107" t="s">
        <v>201</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22">
        <v>-1E-3</v>
      </c>
    </row>
    <row r="108" spans="1:33">
      <c r="A108" t="s">
        <v>248</v>
      </c>
    </row>
    <row r="109" spans="1:33">
      <c r="A109" t="s">
        <v>170</v>
      </c>
    </row>
    <row r="110" spans="1:33">
      <c r="A110" t="s">
        <v>189</v>
      </c>
      <c r="B110" t="s">
        <v>3256</v>
      </c>
      <c r="C110" t="s">
        <v>3255</v>
      </c>
      <c r="D110" t="s">
        <v>267</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22">
        <v>4.0000000000000001E-3</v>
      </c>
    </row>
    <row r="111" spans="1:33">
      <c r="A111" t="s">
        <v>235</v>
      </c>
      <c r="B111" t="s">
        <v>3254</v>
      </c>
      <c r="C111" t="s">
        <v>3253</v>
      </c>
      <c r="D111" t="s">
        <v>268</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22">
        <v>5.0000000000000001E-3</v>
      </c>
    </row>
    <row r="112" spans="1:33">
      <c r="A112" t="s">
        <v>192</v>
      </c>
      <c r="B112" t="s">
        <v>3252</v>
      </c>
      <c r="C112" t="s">
        <v>3251</v>
      </c>
      <c r="D112" t="s">
        <v>268</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22">
        <v>0.01</v>
      </c>
    </row>
    <row r="113" spans="1:33">
      <c r="A113" t="s">
        <v>195</v>
      </c>
      <c r="B113" t="s">
        <v>3250</v>
      </c>
      <c r="C113" t="s">
        <v>3249</v>
      </c>
      <c r="D113" t="s">
        <v>268</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22">
        <v>4.0000000000000001E-3</v>
      </c>
    </row>
    <row r="114" spans="1:33">
      <c r="A114" t="s">
        <v>236</v>
      </c>
      <c r="B114" t="s">
        <v>3248</v>
      </c>
      <c r="C114" t="s">
        <v>3247</v>
      </c>
      <c r="D114" t="s">
        <v>268</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22">
        <v>0</v>
      </c>
    </row>
    <row r="115" spans="1:33">
      <c r="A115" t="s">
        <v>237</v>
      </c>
      <c r="B115" t="s">
        <v>3246</v>
      </c>
      <c r="C115" t="s">
        <v>3245</v>
      </c>
      <c r="D115" t="s">
        <v>267</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22">
        <v>1E-3</v>
      </c>
    </row>
    <row r="116" spans="1:33">
      <c r="A116" t="s">
        <v>238</v>
      </c>
      <c r="B116" t="s">
        <v>3244</v>
      </c>
      <c r="C116" t="s">
        <v>3243</v>
      </c>
      <c r="D116" t="s">
        <v>267</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111</v>
      </c>
    </row>
    <row r="117" spans="1:33">
      <c r="A117" t="s">
        <v>239</v>
      </c>
      <c r="B117" t="s">
        <v>3242</v>
      </c>
      <c r="C117" t="s">
        <v>3241</v>
      </c>
      <c r="D117" t="s">
        <v>268</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111</v>
      </c>
    </row>
    <row r="118" spans="1:33">
      <c r="A118" t="s">
        <v>240</v>
      </c>
      <c r="B118" t="s">
        <v>3240</v>
      </c>
      <c r="C118" t="s">
        <v>3239</v>
      </c>
      <c r="D118" t="s">
        <v>267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111</v>
      </c>
    </row>
    <row r="119" spans="1:33">
      <c r="A119" t="s">
        <v>2320</v>
      </c>
      <c r="B119" t="s">
        <v>3238</v>
      </c>
      <c r="C119" t="s">
        <v>3237</v>
      </c>
      <c r="D119" t="s">
        <v>267</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111</v>
      </c>
    </row>
    <row r="120" spans="1:33">
      <c r="A120" t="s">
        <v>2317</v>
      </c>
      <c r="B120" t="s">
        <v>3236</v>
      </c>
      <c r="C120" t="s">
        <v>3235</v>
      </c>
      <c r="D120" t="s">
        <v>268</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111</v>
      </c>
    </row>
    <row r="121" spans="1:33">
      <c r="A121" t="s">
        <v>2314</v>
      </c>
      <c r="B121" t="s">
        <v>3234</v>
      </c>
      <c r="C121" t="s">
        <v>3233</v>
      </c>
      <c r="D121" t="s">
        <v>267</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111</v>
      </c>
    </row>
    <row r="122" spans="1:33">
      <c r="A122" t="s">
        <v>249</v>
      </c>
      <c r="B122" t="s">
        <v>3232</v>
      </c>
      <c r="C122" t="s">
        <v>3231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22">
        <v>8.9999999999999993E-3</v>
      </c>
    </row>
    <row r="123" spans="1:33">
      <c r="A123" t="s">
        <v>171</v>
      </c>
    </row>
    <row r="124" spans="1:33">
      <c r="A124" t="s">
        <v>189</v>
      </c>
      <c r="B124" t="s">
        <v>3230</v>
      </c>
      <c r="C124" t="s">
        <v>3229</v>
      </c>
      <c r="D124" t="s">
        <v>267</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22">
        <v>8.0000000000000002E-3</v>
      </c>
    </row>
    <row r="125" spans="1:33">
      <c r="A125" t="s">
        <v>235</v>
      </c>
      <c r="B125" t="s">
        <v>3228</v>
      </c>
      <c r="C125" t="s">
        <v>3227</v>
      </c>
      <c r="D125" t="s">
        <v>268</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22">
        <v>4.0000000000000001E-3</v>
      </c>
    </row>
    <row r="126" spans="1:33">
      <c r="A126" t="s">
        <v>192</v>
      </c>
      <c r="B126" t="s">
        <v>3226</v>
      </c>
      <c r="C126" t="s">
        <v>3225</v>
      </c>
      <c r="D126" t="s">
        <v>268</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22">
        <v>4.0000000000000001E-3</v>
      </c>
    </row>
    <row r="127" spans="1:33">
      <c r="A127" t="s">
        <v>195</v>
      </c>
      <c r="B127" t="s">
        <v>3224</v>
      </c>
      <c r="C127" t="s">
        <v>3223</v>
      </c>
      <c r="D127" t="s">
        <v>268</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22">
        <v>0.01</v>
      </c>
    </row>
    <row r="128" spans="1:33">
      <c r="A128" t="s">
        <v>236</v>
      </c>
      <c r="B128" t="s">
        <v>3222</v>
      </c>
      <c r="C128" t="s">
        <v>3221</v>
      </c>
      <c r="D128" t="s">
        <v>269</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22">
        <v>0</v>
      </c>
    </row>
    <row r="129" spans="1:33">
      <c r="A129" t="s">
        <v>237</v>
      </c>
      <c r="B129" t="s">
        <v>3220</v>
      </c>
      <c r="C129" t="s">
        <v>3219</v>
      </c>
      <c r="D129" t="s">
        <v>268</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22">
        <v>-5.0000000000000001E-3</v>
      </c>
    </row>
    <row r="130" spans="1:33">
      <c r="A130" t="s">
        <v>238</v>
      </c>
      <c r="B130" t="s">
        <v>3218</v>
      </c>
      <c r="C130" t="s">
        <v>3217</v>
      </c>
      <c r="D130" t="s">
        <v>268</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111</v>
      </c>
    </row>
    <row r="131" spans="1:33">
      <c r="A131" t="s">
        <v>239</v>
      </c>
      <c r="B131" t="s">
        <v>3216</v>
      </c>
      <c r="C131" t="s">
        <v>3215</v>
      </c>
      <c r="D131" t="s">
        <v>268</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111</v>
      </c>
    </row>
    <row r="132" spans="1:33">
      <c r="A132" t="s">
        <v>240</v>
      </c>
      <c r="B132" t="s">
        <v>3214</v>
      </c>
      <c r="C132" t="s">
        <v>3213</v>
      </c>
      <c r="D132" t="s">
        <v>268</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111</v>
      </c>
    </row>
    <row r="133" spans="1:33">
      <c r="A133" t="s">
        <v>2320</v>
      </c>
      <c r="B133" t="s">
        <v>3212</v>
      </c>
      <c r="C133" t="s">
        <v>3211</v>
      </c>
      <c r="D133" t="s">
        <v>267</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111</v>
      </c>
    </row>
    <row r="134" spans="1:33">
      <c r="A134" t="s">
        <v>2317</v>
      </c>
      <c r="B134" t="s">
        <v>3210</v>
      </c>
      <c r="C134" t="s">
        <v>3209</v>
      </c>
      <c r="D134" t="s">
        <v>268</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111</v>
      </c>
    </row>
    <row r="135" spans="1:33">
      <c r="A135" t="s">
        <v>2314</v>
      </c>
      <c r="B135" t="s">
        <v>3208</v>
      </c>
      <c r="C135" t="s">
        <v>3207</v>
      </c>
      <c r="D135" t="s">
        <v>267</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111</v>
      </c>
    </row>
    <row r="136" spans="1:33">
      <c r="A136" t="s">
        <v>250</v>
      </c>
      <c r="B136" t="s">
        <v>3206</v>
      </c>
      <c r="C136" t="s">
        <v>3205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22">
        <v>6.0000000000000001E-3</v>
      </c>
    </row>
    <row r="137" spans="1:33">
      <c r="A137" t="s">
        <v>243</v>
      </c>
    </row>
    <row r="138" spans="1:33">
      <c r="A138" t="s">
        <v>189</v>
      </c>
      <c r="B138" t="s">
        <v>3204</v>
      </c>
      <c r="C138" t="s">
        <v>3203</v>
      </c>
      <c r="D138" t="s">
        <v>267</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22">
        <v>8.0000000000000002E-3</v>
      </c>
    </row>
    <row r="139" spans="1:33">
      <c r="A139" t="s">
        <v>235</v>
      </c>
      <c r="B139" t="s">
        <v>3202</v>
      </c>
      <c r="C139" t="s">
        <v>3201</v>
      </c>
      <c r="D139" t="s">
        <v>268</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22">
        <v>8.9999999999999993E-3</v>
      </c>
    </row>
    <row r="140" spans="1:33">
      <c r="A140" t="s">
        <v>192</v>
      </c>
      <c r="B140" t="s">
        <v>3200</v>
      </c>
      <c r="C140" t="s">
        <v>3199</v>
      </c>
      <c r="D140" t="s">
        <v>268</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22">
        <v>8.9999999999999993E-3</v>
      </c>
    </row>
    <row r="141" spans="1:33">
      <c r="A141" t="s">
        <v>195</v>
      </c>
      <c r="B141" t="s">
        <v>3198</v>
      </c>
      <c r="C141" t="s">
        <v>3197</v>
      </c>
      <c r="D141" t="s">
        <v>267</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22">
        <v>7.0000000000000001E-3</v>
      </c>
    </row>
    <row r="142" spans="1:33">
      <c r="A142" t="s">
        <v>236</v>
      </c>
      <c r="B142" t="s">
        <v>3196</v>
      </c>
      <c r="C142" t="s">
        <v>3195</v>
      </c>
      <c r="D142" t="s">
        <v>268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111</v>
      </c>
    </row>
    <row r="143" spans="1:33">
      <c r="A143" t="s">
        <v>237</v>
      </c>
      <c r="B143" t="s">
        <v>3194</v>
      </c>
      <c r="C143" t="s">
        <v>3193</v>
      </c>
      <c r="D143" t="s">
        <v>267</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22">
        <v>3.0000000000000001E-3</v>
      </c>
    </row>
    <row r="144" spans="1:33">
      <c r="A144" t="s">
        <v>238</v>
      </c>
      <c r="B144" t="s">
        <v>3192</v>
      </c>
      <c r="C144" t="s">
        <v>3191</v>
      </c>
      <c r="D144" t="s">
        <v>267</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111</v>
      </c>
    </row>
    <row r="145" spans="1:33">
      <c r="A145" t="s">
        <v>239</v>
      </c>
      <c r="B145" t="s">
        <v>3190</v>
      </c>
      <c r="C145" t="s">
        <v>3189</v>
      </c>
      <c r="D145" t="s">
        <v>268</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111</v>
      </c>
    </row>
    <row r="146" spans="1:33">
      <c r="A146" t="s">
        <v>240</v>
      </c>
      <c r="B146" t="s">
        <v>3188</v>
      </c>
      <c r="C146" t="s">
        <v>3187</v>
      </c>
      <c r="D146" t="s">
        <v>267</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111</v>
      </c>
    </row>
    <row r="147" spans="1:33">
      <c r="A147" t="s">
        <v>2320</v>
      </c>
      <c r="B147" t="s">
        <v>3186</v>
      </c>
      <c r="C147" t="s">
        <v>3185</v>
      </c>
      <c r="D147" t="s">
        <v>267</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111</v>
      </c>
    </row>
    <row r="148" spans="1:33">
      <c r="A148" t="s">
        <v>2317</v>
      </c>
      <c r="B148" t="s">
        <v>3184</v>
      </c>
      <c r="C148" t="s">
        <v>3183</v>
      </c>
      <c r="D148" t="s">
        <v>268</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111</v>
      </c>
    </row>
    <row r="149" spans="1:33">
      <c r="A149" t="s">
        <v>2314</v>
      </c>
      <c r="B149" t="s">
        <v>3182</v>
      </c>
      <c r="C149" t="s">
        <v>3181</v>
      </c>
      <c r="D149" t="s">
        <v>267</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111</v>
      </c>
    </row>
    <row r="150" spans="1:33">
      <c r="A150" t="s">
        <v>251</v>
      </c>
      <c r="B150" t="s">
        <v>3180</v>
      </c>
      <c r="C150" t="s">
        <v>3179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22">
        <v>8.0000000000000002E-3</v>
      </c>
    </row>
    <row r="151" spans="1:33">
      <c r="A151" t="s">
        <v>252</v>
      </c>
      <c r="B151" t="s">
        <v>3178</v>
      </c>
      <c r="C151" t="s">
        <v>3177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22">
        <v>8.9999999999999993E-3</v>
      </c>
    </row>
    <row r="152" spans="1:33">
      <c r="A152" t="s">
        <v>253</v>
      </c>
    </row>
    <row r="153" spans="1:33">
      <c r="A153" t="s">
        <v>170</v>
      </c>
    </row>
    <row r="154" spans="1:33">
      <c r="A154" t="s">
        <v>189</v>
      </c>
      <c r="B154" t="s">
        <v>3176</v>
      </c>
      <c r="C154" t="s">
        <v>3175</v>
      </c>
      <c r="D154" t="s">
        <v>231</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22">
        <v>-1.7000000000000001E-2</v>
      </c>
    </row>
    <row r="155" spans="1:33">
      <c r="A155" t="s">
        <v>235</v>
      </c>
      <c r="B155" t="s">
        <v>3174</v>
      </c>
      <c r="C155" t="s">
        <v>3173</v>
      </c>
      <c r="D155" t="s">
        <v>231</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22">
        <v>7.0000000000000001E-3</v>
      </c>
    </row>
    <row r="156" spans="1:33">
      <c r="A156" t="s">
        <v>192</v>
      </c>
      <c r="B156" t="s">
        <v>3172</v>
      </c>
      <c r="C156" t="s">
        <v>3171</v>
      </c>
      <c r="D156" t="s">
        <v>231</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22">
        <v>-1.0999999999999999E-2</v>
      </c>
    </row>
    <row r="157" spans="1:33">
      <c r="A157" t="s">
        <v>195</v>
      </c>
      <c r="B157" t="s">
        <v>3170</v>
      </c>
      <c r="C157" t="s">
        <v>3169</v>
      </c>
      <c r="D157" t="s">
        <v>231</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22">
        <v>0.17199999999999999</v>
      </c>
    </row>
    <row r="158" spans="1:33">
      <c r="A158" t="s">
        <v>236</v>
      </c>
      <c r="B158" t="s">
        <v>3168</v>
      </c>
      <c r="C158" t="s">
        <v>3167</v>
      </c>
      <c r="D158" t="s">
        <v>231</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22">
        <v>-6.4000000000000001E-2</v>
      </c>
    </row>
    <row r="159" spans="1:33">
      <c r="A159" t="s">
        <v>237</v>
      </c>
      <c r="B159" t="s">
        <v>3166</v>
      </c>
      <c r="C159" t="s">
        <v>3165</v>
      </c>
      <c r="D159" t="s">
        <v>231</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22">
        <v>0.253</v>
      </c>
    </row>
    <row r="160" spans="1:33">
      <c r="A160" t="s">
        <v>238</v>
      </c>
      <c r="B160" t="s">
        <v>3164</v>
      </c>
      <c r="C160" t="s">
        <v>3163</v>
      </c>
      <c r="D160" t="s">
        <v>231</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111</v>
      </c>
    </row>
    <row r="161" spans="1:33">
      <c r="A161" t="s">
        <v>239</v>
      </c>
      <c r="B161" t="s">
        <v>3162</v>
      </c>
      <c r="C161" t="s">
        <v>3161</v>
      </c>
      <c r="D161" t="s">
        <v>231</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111</v>
      </c>
    </row>
    <row r="162" spans="1:33">
      <c r="A162" t="s">
        <v>240</v>
      </c>
      <c r="B162" t="s">
        <v>3160</v>
      </c>
      <c r="C162" t="s">
        <v>3159</v>
      </c>
      <c r="D162" t="s">
        <v>231</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111</v>
      </c>
    </row>
    <row r="163" spans="1:33">
      <c r="A163" t="s">
        <v>2320</v>
      </c>
      <c r="B163" t="s">
        <v>3158</v>
      </c>
      <c r="C163" t="s">
        <v>3157</v>
      </c>
      <c r="D163" t="s">
        <v>231</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111</v>
      </c>
    </row>
    <row r="164" spans="1:33">
      <c r="A164" t="s">
        <v>2317</v>
      </c>
      <c r="B164" t="s">
        <v>3156</v>
      </c>
      <c r="C164" t="s">
        <v>3155</v>
      </c>
      <c r="D164" t="s">
        <v>231</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111</v>
      </c>
    </row>
    <row r="165" spans="1:33">
      <c r="A165" t="s">
        <v>2314</v>
      </c>
      <c r="B165" t="s">
        <v>3154</v>
      </c>
      <c r="C165" t="s">
        <v>3153</v>
      </c>
      <c r="D165" t="s">
        <v>231</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111</v>
      </c>
    </row>
    <row r="166" spans="1:33">
      <c r="A166" t="s">
        <v>241</v>
      </c>
      <c r="B166" t="s">
        <v>3152</v>
      </c>
      <c r="C166" t="s">
        <v>3151</v>
      </c>
      <c r="D166" t="s">
        <v>231</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22">
        <v>2.4E-2</v>
      </c>
    </row>
    <row r="167" spans="1:33">
      <c r="A167" t="s">
        <v>171</v>
      </c>
    </row>
    <row r="168" spans="1:33">
      <c r="A168" t="s">
        <v>189</v>
      </c>
      <c r="B168" t="s">
        <v>3150</v>
      </c>
      <c r="C168" t="s">
        <v>3149</v>
      </c>
      <c r="D168" t="s">
        <v>231</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22">
        <v>-0.01</v>
      </c>
    </row>
    <row r="169" spans="1:33">
      <c r="A169" t="s">
        <v>235</v>
      </c>
      <c r="B169" t="s">
        <v>3148</v>
      </c>
      <c r="C169" t="s">
        <v>3147</v>
      </c>
      <c r="D169" t="s">
        <v>231</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22">
        <v>4.0000000000000001E-3</v>
      </c>
    </row>
    <row r="170" spans="1:33">
      <c r="A170" t="s">
        <v>192</v>
      </c>
      <c r="B170" t="s">
        <v>3146</v>
      </c>
      <c r="C170" t="s">
        <v>3145</v>
      </c>
      <c r="D170" t="s">
        <v>231</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22">
        <v>-0.08</v>
      </c>
    </row>
    <row r="171" spans="1:33">
      <c r="A171" t="s">
        <v>195</v>
      </c>
      <c r="B171" t="s">
        <v>3144</v>
      </c>
      <c r="C171" t="s">
        <v>3143</v>
      </c>
      <c r="D171" t="s">
        <v>231</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22">
        <v>8.6999999999999994E-2</v>
      </c>
    </row>
    <row r="172" spans="1:33">
      <c r="A172" t="s">
        <v>236</v>
      </c>
      <c r="B172" t="s">
        <v>3142</v>
      </c>
      <c r="C172" t="s">
        <v>3141</v>
      </c>
      <c r="D172" t="s">
        <v>231</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22">
        <v>-5.0999999999999997E-2</v>
      </c>
    </row>
    <row r="173" spans="1:33">
      <c r="A173" t="s">
        <v>237</v>
      </c>
      <c r="B173" t="s">
        <v>3140</v>
      </c>
      <c r="C173" t="s">
        <v>3139</v>
      </c>
      <c r="D173" t="s">
        <v>231</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22">
        <v>4.8000000000000001E-2</v>
      </c>
    </row>
    <row r="174" spans="1:33">
      <c r="A174" t="s">
        <v>238</v>
      </c>
      <c r="B174" t="s">
        <v>3138</v>
      </c>
      <c r="C174" t="s">
        <v>3137</v>
      </c>
      <c r="D174" t="s">
        <v>231</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111</v>
      </c>
    </row>
    <row r="175" spans="1:33">
      <c r="A175" t="s">
        <v>239</v>
      </c>
      <c r="B175" t="s">
        <v>3136</v>
      </c>
      <c r="C175" t="s">
        <v>3135</v>
      </c>
      <c r="D175" t="s">
        <v>231</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111</v>
      </c>
    </row>
    <row r="176" spans="1:33">
      <c r="A176" t="s">
        <v>240</v>
      </c>
      <c r="B176" t="s">
        <v>3134</v>
      </c>
      <c r="C176" t="s">
        <v>3133</v>
      </c>
      <c r="D176" t="s">
        <v>231</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111</v>
      </c>
    </row>
    <row r="177" spans="1:33">
      <c r="A177" t="s">
        <v>2320</v>
      </c>
      <c r="B177" t="s">
        <v>3132</v>
      </c>
      <c r="C177" t="s">
        <v>3131</v>
      </c>
      <c r="D177" t="s">
        <v>231</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111</v>
      </c>
    </row>
    <row r="178" spans="1:33">
      <c r="A178" t="s">
        <v>2317</v>
      </c>
      <c r="B178" t="s">
        <v>3130</v>
      </c>
      <c r="C178" t="s">
        <v>3129</v>
      </c>
      <c r="D178" t="s">
        <v>231</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111</v>
      </c>
    </row>
    <row r="179" spans="1:33">
      <c r="A179" t="s">
        <v>2314</v>
      </c>
      <c r="B179" t="s">
        <v>3128</v>
      </c>
      <c r="C179" t="s">
        <v>3127</v>
      </c>
      <c r="D179" t="s">
        <v>231</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111</v>
      </c>
    </row>
    <row r="180" spans="1:33">
      <c r="A180" t="s">
        <v>242</v>
      </c>
      <c r="B180" t="s">
        <v>3126</v>
      </c>
      <c r="C180" t="s">
        <v>3125</v>
      </c>
      <c r="D180" t="s">
        <v>231</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22">
        <v>6.0000000000000001E-3</v>
      </c>
    </row>
    <row r="181" spans="1:33">
      <c r="A181" t="s">
        <v>243</v>
      </c>
    </row>
    <row r="182" spans="1:33">
      <c r="A182" t="s">
        <v>189</v>
      </c>
      <c r="B182" t="s">
        <v>3124</v>
      </c>
      <c r="C182" t="s">
        <v>3123</v>
      </c>
      <c r="D182" t="s">
        <v>231</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22">
        <v>1.0999999999999999E-2</v>
      </c>
    </row>
    <row r="183" spans="1:33">
      <c r="A183" t="s">
        <v>235</v>
      </c>
      <c r="B183" t="s">
        <v>3122</v>
      </c>
      <c r="C183" t="s">
        <v>3121</v>
      </c>
      <c r="D183" t="s">
        <v>231</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22">
        <v>-6.3E-2</v>
      </c>
    </row>
    <row r="184" spans="1:33">
      <c r="A184" t="s">
        <v>192</v>
      </c>
      <c r="B184" t="s">
        <v>3120</v>
      </c>
      <c r="C184" t="s">
        <v>3119</v>
      </c>
      <c r="D184" t="s">
        <v>231</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22">
        <v>0.01</v>
      </c>
    </row>
    <row r="185" spans="1:33">
      <c r="A185" t="s">
        <v>195</v>
      </c>
      <c r="B185" t="s">
        <v>3118</v>
      </c>
      <c r="C185" t="s">
        <v>3117</v>
      </c>
      <c r="D185" t="s">
        <v>231</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22">
        <v>3.4000000000000002E-2</v>
      </c>
    </row>
    <row r="186" spans="1:33">
      <c r="A186" t="s">
        <v>236</v>
      </c>
      <c r="B186" t="s">
        <v>3116</v>
      </c>
      <c r="C186" t="s">
        <v>3115</v>
      </c>
      <c r="D186" t="s">
        <v>231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111</v>
      </c>
    </row>
    <row r="187" spans="1:33">
      <c r="A187" t="s">
        <v>237</v>
      </c>
      <c r="B187" t="s">
        <v>3114</v>
      </c>
      <c r="C187" t="s">
        <v>3113</v>
      </c>
      <c r="D187" t="s">
        <v>231</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22">
        <v>8.5000000000000006E-2</v>
      </c>
    </row>
    <row r="188" spans="1:33">
      <c r="A188" t="s">
        <v>238</v>
      </c>
      <c r="B188" t="s">
        <v>3112</v>
      </c>
      <c r="C188" t="s">
        <v>3111</v>
      </c>
      <c r="D188" t="s">
        <v>231</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111</v>
      </c>
    </row>
    <row r="189" spans="1:33">
      <c r="A189" t="s">
        <v>239</v>
      </c>
      <c r="B189" t="s">
        <v>3110</v>
      </c>
      <c r="C189" t="s">
        <v>3109</v>
      </c>
      <c r="D189" t="s">
        <v>231</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111</v>
      </c>
    </row>
    <row r="190" spans="1:33">
      <c r="A190" t="s">
        <v>240</v>
      </c>
      <c r="B190" t="s">
        <v>3108</v>
      </c>
      <c r="C190" t="s">
        <v>3107</v>
      </c>
      <c r="D190" t="s">
        <v>231</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111</v>
      </c>
    </row>
    <row r="191" spans="1:33">
      <c r="A191" t="s">
        <v>2320</v>
      </c>
      <c r="B191" t="s">
        <v>3106</v>
      </c>
      <c r="C191" t="s">
        <v>3105</v>
      </c>
      <c r="D191" t="s">
        <v>231</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111</v>
      </c>
    </row>
    <row r="192" spans="1:33">
      <c r="A192" t="s">
        <v>2317</v>
      </c>
      <c r="B192" t="s">
        <v>3104</v>
      </c>
      <c r="C192" t="s">
        <v>3103</v>
      </c>
      <c r="D192" t="s">
        <v>231</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111</v>
      </c>
    </row>
    <row r="193" spans="1:33">
      <c r="A193" t="s">
        <v>2314</v>
      </c>
      <c r="B193" t="s">
        <v>3102</v>
      </c>
      <c r="C193" t="s">
        <v>3101</v>
      </c>
      <c r="D193" t="s">
        <v>231</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111</v>
      </c>
    </row>
    <row r="194" spans="1:33">
      <c r="A194" t="s">
        <v>244</v>
      </c>
      <c r="B194" t="s">
        <v>3100</v>
      </c>
      <c r="C194" t="s">
        <v>3099</v>
      </c>
      <c r="D194" t="s">
        <v>231</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22">
        <v>1.0999999999999999E-2</v>
      </c>
    </row>
    <row r="195" spans="1:33">
      <c r="A195" t="s">
        <v>254</v>
      </c>
      <c r="B195" t="s">
        <v>3098</v>
      </c>
      <c r="C195" t="s">
        <v>3097</v>
      </c>
      <c r="D195" t="s">
        <v>231</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22">
        <v>1.4999999999999999E-2</v>
      </c>
    </row>
    <row r="196" spans="1:33">
      <c r="A196" t="s">
        <v>148</v>
      </c>
    </row>
    <row r="197" spans="1:33">
      <c r="A197" t="s">
        <v>248</v>
      </c>
    </row>
    <row r="198" spans="1:33">
      <c r="A198" t="s">
        <v>170</v>
      </c>
    </row>
    <row r="199" spans="1:33">
      <c r="A199" t="s">
        <v>189</v>
      </c>
      <c r="B199" t="s">
        <v>3096</v>
      </c>
      <c r="C199" t="s">
        <v>3095</v>
      </c>
      <c r="D199" t="s">
        <v>267</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22">
        <v>5.0000000000000001E-3</v>
      </c>
    </row>
    <row r="200" spans="1:33">
      <c r="A200" t="s">
        <v>235</v>
      </c>
      <c r="B200" t="s">
        <v>3094</v>
      </c>
      <c r="C200" t="s">
        <v>3093</v>
      </c>
      <c r="D200" t="s">
        <v>268</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22">
        <v>4.0000000000000001E-3</v>
      </c>
    </row>
    <row r="201" spans="1:33">
      <c r="A201" t="s">
        <v>192</v>
      </c>
      <c r="B201" t="s">
        <v>3092</v>
      </c>
      <c r="C201" t="s">
        <v>3091</v>
      </c>
      <c r="D201" t="s">
        <v>268</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22">
        <v>4.0000000000000001E-3</v>
      </c>
    </row>
    <row r="202" spans="1:33">
      <c r="A202" t="s">
        <v>195</v>
      </c>
      <c r="B202" t="s">
        <v>3090</v>
      </c>
      <c r="C202" t="s">
        <v>3089</v>
      </c>
      <c r="D202" t="s">
        <v>268</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22">
        <v>4.0000000000000001E-3</v>
      </c>
    </row>
    <row r="203" spans="1:33">
      <c r="A203" t="s">
        <v>236</v>
      </c>
      <c r="B203" t="s">
        <v>3088</v>
      </c>
      <c r="C203" t="s">
        <v>3087</v>
      </c>
      <c r="D203" t="s">
        <v>268</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22">
        <v>2E-3</v>
      </c>
    </row>
    <row r="204" spans="1:33">
      <c r="A204" t="s">
        <v>237</v>
      </c>
      <c r="B204" t="s">
        <v>3086</v>
      </c>
      <c r="C204" t="s">
        <v>3085</v>
      </c>
      <c r="D204" t="s">
        <v>267</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22">
        <v>0</v>
      </c>
    </row>
    <row r="205" spans="1:33">
      <c r="A205" t="s">
        <v>238</v>
      </c>
      <c r="B205" t="s">
        <v>3084</v>
      </c>
      <c r="C205" t="s">
        <v>3083</v>
      </c>
      <c r="D205" t="s">
        <v>267</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111</v>
      </c>
    </row>
    <row r="206" spans="1:33">
      <c r="A206" t="s">
        <v>239</v>
      </c>
      <c r="B206" t="s">
        <v>3082</v>
      </c>
      <c r="C206" t="s">
        <v>3081</v>
      </c>
      <c r="D206" t="s">
        <v>268</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111</v>
      </c>
    </row>
    <row r="207" spans="1:33">
      <c r="A207" t="s">
        <v>240</v>
      </c>
      <c r="B207" t="s">
        <v>3080</v>
      </c>
      <c r="C207" t="s">
        <v>3079</v>
      </c>
      <c r="D207" t="s">
        <v>267</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111</v>
      </c>
    </row>
    <row r="208" spans="1:33">
      <c r="A208" t="s">
        <v>2320</v>
      </c>
      <c r="B208" t="s">
        <v>3078</v>
      </c>
      <c r="C208" t="s">
        <v>3077</v>
      </c>
      <c r="D208" t="s">
        <v>267</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111</v>
      </c>
    </row>
    <row r="209" spans="1:33">
      <c r="A209" t="s">
        <v>2317</v>
      </c>
      <c r="B209" t="s">
        <v>3076</v>
      </c>
      <c r="C209" t="s">
        <v>3075</v>
      </c>
      <c r="D209" t="s">
        <v>268</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111</v>
      </c>
    </row>
    <row r="210" spans="1:33">
      <c r="A210" t="s">
        <v>2314</v>
      </c>
      <c r="B210" t="s">
        <v>3074</v>
      </c>
      <c r="C210" t="s">
        <v>3073</v>
      </c>
      <c r="D210" t="s">
        <v>267</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111</v>
      </c>
    </row>
    <row r="211" spans="1:33">
      <c r="A211" t="s">
        <v>249</v>
      </c>
      <c r="B211" t="s">
        <v>3072</v>
      </c>
      <c r="C211" t="s">
        <v>3071</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22">
        <v>1.2E-2</v>
      </c>
    </row>
    <row r="212" spans="1:33">
      <c r="A212" t="s">
        <v>171</v>
      </c>
    </row>
    <row r="213" spans="1:33">
      <c r="A213" t="s">
        <v>189</v>
      </c>
      <c r="B213" t="s">
        <v>3070</v>
      </c>
      <c r="C213" t="s">
        <v>3069</v>
      </c>
      <c r="D213" t="s">
        <v>267</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22">
        <v>5.0000000000000001E-3</v>
      </c>
    </row>
    <row r="214" spans="1:33">
      <c r="A214" t="s">
        <v>235</v>
      </c>
      <c r="B214" t="s">
        <v>3068</v>
      </c>
      <c r="C214" t="s">
        <v>3067</v>
      </c>
      <c r="D214" t="s">
        <v>268</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22">
        <v>5.0000000000000001E-3</v>
      </c>
    </row>
    <row r="215" spans="1:33">
      <c r="A215" t="s">
        <v>192</v>
      </c>
      <c r="B215" t="s">
        <v>3066</v>
      </c>
      <c r="C215" t="s">
        <v>3065</v>
      </c>
      <c r="D215" t="s">
        <v>268</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22">
        <v>1.0999999999999999E-2</v>
      </c>
    </row>
    <row r="216" spans="1:33">
      <c r="A216" t="s">
        <v>195</v>
      </c>
      <c r="B216" t="s">
        <v>3064</v>
      </c>
      <c r="C216" t="s">
        <v>3063</v>
      </c>
      <c r="D216" t="s">
        <v>268</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22">
        <v>8.9999999999999993E-3</v>
      </c>
    </row>
    <row r="217" spans="1:33">
      <c r="A217" t="s">
        <v>236</v>
      </c>
      <c r="B217" t="s">
        <v>3062</v>
      </c>
      <c r="C217" t="s">
        <v>3061</v>
      </c>
      <c r="D217" t="s">
        <v>269</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22">
        <v>8.0000000000000002E-3</v>
      </c>
    </row>
    <row r="218" spans="1:33">
      <c r="A218" t="s">
        <v>237</v>
      </c>
      <c r="B218" t="s">
        <v>3060</v>
      </c>
      <c r="C218" t="s">
        <v>3059</v>
      </c>
      <c r="D218" t="s">
        <v>268</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22">
        <v>2E-3</v>
      </c>
    </row>
    <row r="219" spans="1:33">
      <c r="A219" t="s">
        <v>238</v>
      </c>
      <c r="B219" t="s">
        <v>3058</v>
      </c>
      <c r="C219" t="s">
        <v>3057</v>
      </c>
      <c r="D219" t="s">
        <v>268</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111</v>
      </c>
    </row>
    <row r="220" spans="1:33">
      <c r="A220" t="s">
        <v>239</v>
      </c>
      <c r="B220" t="s">
        <v>3056</v>
      </c>
      <c r="C220" t="s">
        <v>3055</v>
      </c>
      <c r="D220" t="s">
        <v>268</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111</v>
      </c>
    </row>
    <row r="221" spans="1:33">
      <c r="A221" t="s">
        <v>240</v>
      </c>
      <c r="B221" t="s">
        <v>3054</v>
      </c>
      <c r="C221" t="s">
        <v>3053</v>
      </c>
      <c r="D221" t="s">
        <v>268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111</v>
      </c>
    </row>
    <row r="222" spans="1:33">
      <c r="A222" t="s">
        <v>2320</v>
      </c>
      <c r="B222" t="s">
        <v>3052</v>
      </c>
      <c r="C222" t="s">
        <v>3051</v>
      </c>
      <c r="D222" t="s">
        <v>267</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111</v>
      </c>
    </row>
    <row r="223" spans="1:33">
      <c r="A223" t="s">
        <v>2317</v>
      </c>
      <c r="B223" t="s">
        <v>3050</v>
      </c>
      <c r="C223" t="s">
        <v>3049</v>
      </c>
      <c r="D223" t="s">
        <v>268</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111</v>
      </c>
    </row>
    <row r="224" spans="1:33">
      <c r="A224" t="s">
        <v>2314</v>
      </c>
      <c r="B224" t="s">
        <v>3048</v>
      </c>
      <c r="C224" t="s">
        <v>3047</v>
      </c>
      <c r="D224" t="s">
        <v>267</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111</v>
      </c>
    </row>
    <row r="225" spans="1:33">
      <c r="A225" t="s">
        <v>250</v>
      </c>
      <c r="B225" t="s">
        <v>3046</v>
      </c>
      <c r="C225" t="s">
        <v>3045</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22">
        <v>5.0000000000000001E-3</v>
      </c>
    </row>
    <row r="226" spans="1:33">
      <c r="A226" t="s">
        <v>243</v>
      </c>
    </row>
    <row r="227" spans="1:33">
      <c r="A227" t="s">
        <v>189</v>
      </c>
      <c r="B227" t="s">
        <v>3044</v>
      </c>
      <c r="C227" t="s">
        <v>3043</v>
      </c>
      <c r="D227" t="s">
        <v>267</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22">
        <v>7.0000000000000001E-3</v>
      </c>
    </row>
    <row r="228" spans="1:33">
      <c r="A228" t="s">
        <v>235</v>
      </c>
      <c r="B228" t="s">
        <v>3042</v>
      </c>
      <c r="C228" t="s">
        <v>3041</v>
      </c>
      <c r="D228" t="s">
        <v>268</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22">
        <v>7.0000000000000001E-3</v>
      </c>
    </row>
    <row r="229" spans="1:33">
      <c r="A229" t="s">
        <v>192</v>
      </c>
      <c r="B229" t="s">
        <v>3040</v>
      </c>
      <c r="C229" t="s">
        <v>3039</v>
      </c>
      <c r="D229" t="s">
        <v>268</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22">
        <v>8.0000000000000002E-3</v>
      </c>
    </row>
    <row r="230" spans="1:33">
      <c r="A230" t="s">
        <v>195</v>
      </c>
      <c r="B230" t="s">
        <v>3038</v>
      </c>
      <c r="C230" t="s">
        <v>3037</v>
      </c>
      <c r="D230" t="s">
        <v>267</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22">
        <v>8.9999999999999993E-3</v>
      </c>
    </row>
    <row r="231" spans="1:33">
      <c r="A231" t="s">
        <v>236</v>
      </c>
      <c r="B231" t="s">
        <v>3036</v>
      </c>
      <c r="C231" t="s">
        <v>3035</v>
      </c>
      <c r="D231" t="s">
        <v>268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111</v>
      </c>
    </row>
    <row r="232" spans="1:33">
      <c r="A232" t="s">
        <v>237</v>
      </c>
      <c r="B232" t="s">
        <v>3034</v>
      </c>
      <c r="C232" t="s">
        <v>3033</v>
      </c>
      <c r="D232" t="s">
        <v>267</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22">
        <v>5.0000000000000001E-3</v>
      </c>
    </row>
    <row r="233" spans="1:33">
      <c r="A233" t="s">
        <v>238</v>
      </c>
      <c r="B233" t="s">
        <v>3032</v>
      </c>
      <c r="C233" t="s">
        <v>3031</v>
      </c>
      <c r="D233" t="s">
        <v>267</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111</v>
      </c>
    </row>
    <row r="234" spans="1:33">
      <c r="A234" t="s">
        <v>239</v>
      </c>
      <c r="B234" t="s">
        <v>3030</v>
      </c>
      <c r="C234" t="s">
        <v>3029</v>
      </c>
      <c r="D234" t="s">
        <v>268</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111</v>
      </c>
    </row>
    <row r="235" spans="1:33">
      <c r="A235" t="s">
        <v>240</v>
      </c>
      <c r="B235" t="s">
        <v>3028</v>
      </c>
      <c r="C235" t="s">
        <v>3027</v>
      </c>
      <c r="D235" t="s">
        <v>267</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111</v>
      </c>
    </row>
    <row r="236" spans="1:33">
      <c r="A236" t="s">
        <v>2320</v>
      </c>
      <c r="B236" t="s">
        <v>3026</v>
      </c>
      <c r="C236" t="s">
        <v>3025</v>
      </c>
      <c r="D236" t="s">
        <v>267</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111</v>
      </c>
    </row>
    <row r="237" spans="1:33">
      <c r="A237" t="s">
        <v>2317</v>
      </c>
      <c r="B237" t="s">
        <v>3024</v>
      </c>
      <c r="C237" t="s">
        <v>3023</v>
      </c>
      <c r="D237" t="s">
        <v>268</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111</v>
      </c>
    </row>
    <row r="238" spans="1:33">
      <c r="A238" t="s">
        <v>2314</v>
      </c>
      <c r="B238" t="s">
        <v>3022</v>
      </c>
      <c r="C238" t="s">
        <v>3021</v>
      </c>
      <c r="D238" t="s">
        <v>267</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111</v>
      </c>
    </row>
    <row r="239" spans="1:33">
      <c r="A239" t="s">
        <v>251</v>
      </c>
      <c r="B239" t="s">
        <v>3020</v>
      </c>
      <c r="C239" t="s">
        <v>3019</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22">
        <v>7.0000000000000001E-3</v>
      </c>
    </row>
    <row r="240" spans="1:33">
      <c r="A240" t="s">
        <v>252</v>
      </c>
      <c r="B240" t="s">
        <v>3018</v>
      </c>
      <c r="C240" t="s">
        <v>3017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22">
        <v>8.9999999999999993E-3</v>
      </c>
    </row>
    <row r="241" spans="1:33">
      <c r="A241" t="s">
        <v>255</v>
      </c>
    </row>
    <row r="242" spans="1:33">
      <c r="A242" t="s">
        <v>170</v>
      </c>
    </row>
    <row r="243" spans="1:33">
      <c r="A243" t="s">
        <v>189</v>
      </c>
      <c r="B243" t="s">
        <v>3016</v>
      </c>
      <c r="C243" t="s">
        <v>3015</v>
      </c>
      <c r="D243" t="s">
        <v>270</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22">
        <v>-7.8E-2</v>
      </c>
    </row>
    <row r="244" spans="1:33">
      <c r="A244" t="s">
        <v>235</v>
      </c>
      <c r="B244" t="s">
        <v>3014</v>
      </c>
      <c r="C244" t="s">
        <v>3013</v>
      </c>
      <c r="D244" t="s">
        <v>270</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22">
        <v>-6.2E-2</v>
      </c>
    </row>
    <row r="245" spans="1:33">
      <c r="A245" t="s">
        <v>192</v>
      </c>
      <c r="B245" t="s">
        <v>3012</v>
      </c>
      <c r="C245" t="s">
        <v>3011</v>
      </c>
      <c r="D245" t="s">
        <v>270</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22">
        <v>1.7999999999999999E-2</v>
      </c>
    </row>
    <row r="246" spans="1:33">
      <c r="A246" t="s">
        <v>195</v>
      </c>
      <c r="B246" t="s">
        <v>3010</v>
      </c>
      <c r="C246" t="s">
        <v>3009</v>
      </c>
      <c r="D246" t="s">
        <v>270</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22">
        <v>8.3000000000000004E-2</v>
      </c>
    </row>
    <row r="247" spans="1:33">
      <c r="A247" t="s">
        <v>236</v>
      </c>
      <c r="B247" t="s">
        <v>3008</v>
      </c>
      <c r="C247" t="s">
        <v>3007</v>
      </c>
      <c r="D247" t="s">
        <v>270</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22">
        <v>1.7999999999999999E-2</v>
      </c>
    </row>
    <row r="248" spans="1:33">
      <c r="A248" t="s">
        <v>237</v>
      </c>
      <c r="B248" t="s">
        <v>3006</v>
      </c>
      <c r="C248" t="s">
        <v>3005</v>
      </c>
      <c r="D248" t="s">
        <v>270</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22">
        <v>0.20399999999999999</v>
      </c>
    </row>
    <row r="249" spans="1:33">
      <c r="A249" t="s">
        <v>238</v>
      </c>
      <c r="B249" t="s">
        <v>3004</v>
      </c>
      <c r="C249" t="s">
        <v>3003</v>
      </c>
      <c r="D249" t="s">
        <v>270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111</v>
      </c>
    </row>
    <row r="250" spans="1:33">
      <c r="A250" t="s">
        <v>239</v>
      </c>
      <c r="B250" t="s">
        <v>3002</v>
      </c>
      <c r="C250" t="s">
        <v>3001</v>
      </c>
      <c r="D250" t="s">
        <v>270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111</v>
      </c>
    </row>
    <row r="251" spans="1:33">
      <c r="A251" t="s">
        <v>240</v>
      </c>
      <c r="B251" t="s">
        <v>3000</v>
      </c>
      <c r="C251" t="s">
        <v>2999</v>
      </c>
      <c r="D251" t="s">
        <v>270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111</v>
      </c>
    </row>
    <row r="252" spans="1:33">
      <c r="A252" t="s">
        <v>2320</v>
      </c>
      <c r="B252" t="s">
        <v>2998</v>
      </c>
      <c r="C252" t="s">
        <v>2997</v>
      </c>
      <c r="D252" t="s">
        <v>270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111</v>
      </c>
    </row>
    <row r="253" spans="1:33">
      <c r="A253" t="s">
        <v>2317</v>
      </c>
      <c r="B253" t="s">
        <v>2996</v>
      </c>
      <c r="C253" t="s">
        <v>2995</v>
      </c>
      <c r="D253" t="s">
        <v>270</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111</v>
      </c>
    </row>
    <row r="254" spans="1:33">
      <c r="A254" t="s">
        <v>2314</v>
      </c>
      <c r="B254" t="s">
        <v>2994</v>
      </c>
      <c r="C254" t="s">
        <v>2993</v>
      </c>
      <c r="D254" t="s">
        <v>270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111</v>
      </c>
    </row>
    <row r="255" spans="1:33">
      <c r="A255" t="s">
        <v>241</v>
      </c>
      <c r="B255" t="s">
        <v>2992</v>
      </c>
      <c r="C255" t="s">
        <v>2991</v>
      </c>
      <c r="D255" t="s">
        <v>270</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22">
        <v>2.3E-2</v>
      </c>
    </row>
    <row r="256" spans="1:33">
      <c r="A256" t="s">
        <v>171</v>
      </c>
    </row>
    <row r="257" spans="1:33">
      <c r="A257" t="s">
        <v>189</v>
      </c>
      <c r="B257" t="s">
        <v>2990</v>
      </c>
      <c r="C257" t="s">
        <v>2989</v>
      </c>
      <c r="D257" t="s">
        <v>270</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22">
        <v>-2.3E-2</v>
      </c>
    </row>
    <row r="258" spans="1:33">
      <c r="A258" t="s">
        <v>235</v>
      </c>
      <c r="B258" t="s">
        <v>2988</v>
      </c>
      <c r="C258" t="s">
        <v>2987</v>
      </c>
      <c r="D258" t="s">
        <v>270</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22">
        <v>-1.4999999999999999E-2</v>
      </c>
    </row>
    <row r="259" spans="1:33">
      <c r="A259" t="s">
        <v>192</v>
      </c>
      <c r="B259" t="s">
        <v>2986</v>
      </c>
      <c r="C259" t="s">
        <v>2985</v>
      </c>
      <c r="D259" t="s">
        <v>270</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22">
        <v>-2E-3</v>
      </c>
    </row>
    <row r="260" spans="1:33">
      <c r="A260" t="s">
        <v>195</v>
      </c>
      <c r="B260" t="s">
        <v>2984</v>
      </c>
      <c r="C260" t="s">
        <v>2983</v>
      </c>
      <c r="D260" t="s">
        <v>270</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22">
        <v>3.0000000000000001E-3</v>
      </c>
    </row>
    <row r="261" spans="1:33">
      <c r="A261" t="s">
        <v>236</v>
      </c>
      <c r="B261" t="s">
        <v>2982</v>
      </c>
      <c r="C261" t="s">
        <v>2981</v>
      </c>
      <c r="D261" t="s">
        <v>270</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22">
        <v>-2E-3</v>
      </c>
    </row>
    <row r="262" spans="1:33">
      <c r="A262" t="s">
        <v>237</v>
      </c>
      <c r="B262" t="s">
        <v>2980</v>
      </c>
      <c r="C262" t="s">
        <v>2979</v>
      </c>
      <c r="D262" t="s">
        <v>270</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22">
        <v>-2E-3</v>
      </c>
    </row>
    <row r="263" spans="1:33">
      <c r="A263" t="s">
        <v>238</v>
      </c>
      <c r="B263" t="s">
        <v>2978</v>
      </c>
      <c r="C263" t="s">
        <v>2977</v>
      </c>
      <c r="D263" t="s">
        <v>270</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111</v>
      </c>
    </row>
    <row r="264" spans="1:33">
      <c r="A264" t="s">
        <v>239</v>
      </c>
      <c r="B264" t="s">
        <v>2976</v>
      </c>
      <c r="C264" t="s">
        <v>2975</v>
      </c>
      <c r="D264" t="s">
        <v>270</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111</v>
      </c>
    </row>
    <row r="265" spans="1:33">
      <c r="A265" t="s">
        <v>240</v>
      </c>
      <c r="B265" t="s">
        <v>2974</v>
      </c>
      <c r="C265" t="s">
        <v>2973</v>
      </c>
      <c r="D265" t="s">
        <v>270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111</v>
      </c>
    </row>
    <row r="266" spans="1:33">
      <c r="A266" t="s">
        <v>2320</v>
      </c>
      <c r="B266" t="s">
        <v>2972</v>
      </c>
      <c r="C266" t="s">
        <v>2971</v>
      </c>
      <c r="D266" t="s">
        <v>270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111</v>
      </c>
    </row>
    <row r="267" spans="1:33">
      <c r="A267" t="s">
        <v>2317</v>
      </c>
      <c r="B267" t="s">
        <v>2970</v>
      </c>
      <c r="C267" t="s">
        <v>2969</v>
      </c>
      <c r="D267" t="s">
        <v>270</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111</v>
      </c>
    </row>
    <row r="268" spans="1:33">
      <c r="A268" t="s">
        <v>2314</v>
      </c>
      <c r="B268" t="s">
        <v>2968</v>
      </c>
      <c r="C268" t="s">
        <v>2967</v>
      </c>
      <c r="D268" t="s">
        <v>270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111</v>
      </c>
    </row>
    <row r="269" spans="1:33">
      <c r="A269" t="s">
        <v>242</v>
      </c>
      <c r="B269" t="s">
        <v>2966</v>
      </c>
      <c r="C269" t="s">
        <v>2965</v>
      </c>
      <c r="D269" t="s">
        <v>270</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22">
        <v>-2E-3</v>
      </c>
    </row>
    <row r="270" spans="1:33">
      <c r="A270" t="s">
        <v>243</v>
      </c>
    </row>
    <row r="271" spans="1:33">
      <c r="A271" t="s">
        <v>189</v>
      </c>
      <c r="B271" t="s">
        <v>2964</v>
      </c>
      <c r="C271" t="s">
        <v>2963</v>
      </c>
      <c r="D271" t="s">
        <v>270</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22">
        <v>-2E-3</v>
      </c>
    </row>
    <row r="272" spans="1:33">
      <c r="A272" t="s">
        <v>235</v>
      </c>
      <c r="B272" t="s">
        <v>2962</v>
      </c>
      <c r="C272" t="s">
        <v>2961</v>
      </c>
      <c r="D272" t="s">
        <v>270</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22">
        <v>-1E-3</v>
      </c>
    </row>
    <row r="273" spans="1:33">
      <c r="A273" t="s">
        <v>192</v>
      </c>
      <c r="B273" t="s">
        <v>2960</v>
      </c>
      <c r="C273" t="s">
        <v>2959</v>
      </c>
      <c r="D273" t="s">
        <v>270</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22">
        <v>-2E-3</v>
      </c>
    </row>
    <row r="274" spans="1:33">
      <c r="A274" t="s">
        <v>195</v>
      </c>
      <c r="B274" t="s">
        <v>2958</v>
      </c>
      <c r="C274" t="s">
        <v>2957</v>
      </c>
      <c r="D274" t="s">
        <v>270</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22">
        <v>1.9E-2</v>
      </c>
    </row>
    <row r="275" spans="1:33">
      <c r="A275" t="s">
        <v>236</v>
      </c>
      <c r="B275" t="s">
        <v>2956</v>
      </c>
      <c r="C275" t="s">
        <v>2955</v>
      </c>
      <c r="D275" t="s">
        <v>270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111</v>
      </c>
    </row>
    <row r="276" spans="1:33">
      <c r="A276" t="s">
        <v>237</v>
      </c>
      <c r="B276" t="s">
        <v>2954</v>
      </c>
      <c r="C276" t="s">
        <v>2953</v>
      </c>
      <c r="D276" t="s">
        <v>270</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22">
        <v>-2E-3</v>
      </c>
    </row>
    <row r="277" spans="1:33">
      <c r="A277" t="s">
        <v>238</v>
      </c>
      <c r="B277" t="s">
        <v>2952</v>
      </c>
      <c r="C277" t="s">
        <v>2951</v>
      </c>
      <c r="D277" t="s">
        <v>270</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111</v>
      </c>
    </row>
    <row r="278" spans="1:33">
      <c r="A278" t="s">
        <v>239</v>
      </c>
      <c r="B278" t="s">
        <v>2950</v>
      </c>
      <c r="C278" t="s">
        <v>2949</v>
      </c>
      <c r="D278" t="s">
        <v>270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111</v>
      </c>
    </row>
    <row r="279" spans="1:33">
      <c r="A279" t="s">
        <v>240</v>
      </c>
      <c r="B279" t="s">
        <v>2948</v>
      </c>
      <c r="C279" t="s">
        <v>2947</v>
      </c>
      <c r="D279" t="s">
        <v>270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111</v>
      </c>
    </row>
    <row r="280" spans="1:33">
      <c r="A280" t="s">
        <v>2320</v>
      </c>
      <c r="B280" t="s">
        <v>2946</v>
      </c>
      <c r="C280" t="s">
        <v>2945</v>
      </c>
      <c r="D280" t="s">
        <v>270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111</v>
      </c>
    </row>
    <row r="281" spans="1:33">
      <c r="A281" t="s">
        <v>2317</v>
      </c>
      <c r="B281" t="s">
        <v>2944</v>
      </c>
      <c r="C281" t="s">
        <v>2943</v>
      </c>
      <c r="D281" t="s">
        <v>270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111</v>
      </c>
    </row>
    <row r="282" spans="1:33">
      <c r="A282" t="s">
        <v>2314</v>
      </c>
      <c r="B282" t="s">
        <v>2942</v>
      </c>
      <c r="C282" t="s">
        <v>2941</v>
      </c>
      <c r="D282" t="s">
        <v>270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111</v>
      </c>
    </row>
    <row r="283" spans="1:33">
      <c r="A283" t="s">
        <v>244</v>
      </c>
      <c r="B283" t="s">
        <v>2940</v>
      </c>
      <c r="C283" t="s">
        <v>2939</v>
      </c>
      <c r="D283" t="s">
        <v>270</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22">
        <v>-2E-3</v>
      </c>
    </row>
    <row r="284" spans="1:33">
      <c r="A284" t="s">
        <v>256</v>
      </c>
      <c r="B284" t="s">
        <v>2938</v>
      </c>
      <c r="C284" t="s">
        <v>2937</v>
      </c>
      <c r="D284" t="s">
        <v>270</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22">
        <v>8.0000000000000002E-3</v>
      </c>
    </row>
    <row r="285" spans="1:33">
      <c r="A285" t="s">
        <v>149</v>
      </c>
    </row>
    <row r="286" spans="1:33">
      <c r="A286" t="s">
        <v>257</v>
      </c>
      <c r="B286" t="s">
        <v>2936</v>
      </c>
      <c r="C286" t="s">
        <v>2935</v>
      </c>
      <c r="D286" t="s">
        <v>271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22">
        <v>-2E-3</v>
      </c>
    </row>
    <row r="287" spans="1:33">
      <c r="A287" t="s">
        <v>258</v>
      </c>
      <c r="B287" t="s">
        <v>2934</v>
      </c>
      <c r="C287" t="s">
        <v>2933</v>
      </c>
      <c r="D287" t="s">
        <v>2920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22">
        <v>1E-3</v>
      </c>
    </row>
    <row r="288" spans="1:33">
      <c r="A288" t="s">
        <v>110</v>
      </c>
    </row>
    <row r="289" spans="1:33">
      <c r="A289" t="s">
        <v>259</v>
      </c>
      <c r="B289" t="s">
        <v>2932</v>
      </c>
      <c r="C289" t="s">
        <v>2931</v>
      </c>
      <c r="D289" t="s">
        <v>201</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22">
        <v>-3.0000000000000001E-3</v>
      </c>
    </row>
    <row r="290" spans="1:33">
      <c r="A290" t="s">
        <v>185</v>
      </c>
      <c r="B290" t="s">
        <v>2930</v>
      </c>
      <c r="C290" t="s">
        <v>2929</v>
      </c>
      <c r="D290" t="s">
        <v>201</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111</v>
      </c>
    </row>
    <row r="291" spans="1:33">
      <c r="A291" t="s">
        <v>260</v>
      </c>
      <c r="B291" t="s">
        <v>2928</v>
      </c>
      <c r="C291" t="s">
        <v>2927</v>
      </c>
      <c r="D291" t="s">
        <v>201</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111</v>
      </c>
    </row>
    <row r="292" spans="1:33">
      <c r="A292" t="s">
        <v>261</v>
      </c>
      <c r="B292" t="s">
        <v>2926</v>
      </c>
      <c r="C292" t="s">
        <v>2925</v>
      </c>
      <c r="D292" t="s">
        <v>201</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111</v>
      </c>
    </row>
    <row r="293" spans="1:33">
      <c r="A293" t="s">
        <v>150</v>
      </c>
    </row>
    <row r="294" spans="1:33">
      <c r="A294" t="s">
        <v>262</v>
      </c>
      <c r="B294" t="s">
        <v>2924</v>
      </c>
      <c r="C294" t="s">
        <v>2923</v>
      </c>
      <c r="D294" t="s">
        <v>271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22">
        <v>-3.0000000000000001E-3</v>
      </c>
    </row>
    <row r="295" spans="1:33">
      <c r="A295" t="s">
        <v>258</v>
      </c>
      <c r="B295" t="s">
        <v>2922</v>
      </c>
      <c r="C295" t="s">
        <v>2921</v>
      </c>
      <c r="D295" t="s">
        <v>2920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22">
        <v>4.0000000000000001E-3</v>
      </c>
    </row>
    <row r="296" spans="1:33">
      <c r="A296" t="s">
        <v>110</v>
      </c>
    </row>
    <row r="297" spans="1:33">
      <c r="A297" t="s">
        <v>259</v>
      </c>
      <c r="B297" t="s">
        <v>2919</v>
      </c>
      <c r="C297" t="s">
        <v>2918</v>
      </c>
      <c r="D297" t="s">
        <v>201</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22">
        <v>-8.0000000000000002E-3</v>
      </c>
    </row>
    <row r="298" spans="1:33">
      <c r="A298" t="s">
        <v>185</v>
      </c>
      <c r="B298" t="s">
        <v>2917</v>
      </c>
      <c r="C298" t="s">
        <v>2916</v>
      </c>
      <c r="D298" t="s">
        <v>201</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22">
        <v>-5.7000000000000002E-2</v>
      </c>
    </row>
    <row r="299" spans="1:33">
      <c r="A299" t="s">
        <v>260</v>
      </c>
      <c r="B299" t="s">
        <v>2915</v>
      </c>
      <c r="C299" t="s">
        <v>2914</v>
      </c>
      <c r="D299" t="s">
        <v>201</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111</v>
      </c>
    </row>
    <row r="300" spans="1:33">
      <c r="A300" t="s">
        <v>261</v>
      </c>
      <c r="B300" t="s">
        <v>2913</v>
      </c>
      <c r="C300" t="s">
        <v>2912</v>
      </c>
      <c r="D300" t="s">
        <v>201</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22">
        <v>0.05</v>
      </c>
    </row>
    <row r="301" spans="1:33">
      <c r="A301" t="s">
        <v>151</v>
      </c>
    </row>
    <row r="302" spans="1:33">
      <c r="A302" t="s">
        <v>263</v>
      </c>
      <c r="B302" t="s">
        <v>2911</v>
      </c>
      <c r="C302" t="s">
        <v>2910</v>
      </c>
      <c r="D302" t="s">
        <v>273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22">
        <v>2.1000000000000001E-2</v>
      </c>
    </row>
    <row r="303" spans="1:33">
      <c r="A303" t="s">
        <v>264</v>
      </c>
      <c r="B303" t="s">
        <v>2909</v>
      </c>
      <c r="C303" t="s">
        <v>2908</v>
      </c>
      <c r="D303" t="s">
        <v>273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22">
        <v>2.3E-2</v>
      </c>
    </row>
    <row r="304" spans="1:33">
      <c r="A304" t="s">
        <v>265</v>
      </c>
      <c r="B304" t="s">
        <v>2907</v>
      </c>
      <c r="C304" t="s">
        <v>2906</v>
      </c>
      <c r="D304" t="s">
        <v>273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22">
        <v>2.1000000000000001E-2</v>
      </c>
    </row>
    <row r="305" spans="1:33">
      <c r="A305" t="s">
        <v>110</v>
      </c>
    </row>
    <row r="306" spans="1:33">
      <c r="A306" t="s">
        <v>259</v>
      </c>
      <c r="B306" t="s">
        <v>2905</v>
      </c>
      <c r="C306" t="s">
        <v>2904</v>
      </c>
      <c r="D306" t="s">
        <v>201</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22">
        <v>1.6E-2</v>
      </c>
    </row>
    <row r="307" spans="1:33">
      <c r="A307" t="s">
        <v>185</v>
      </c>
      <c r="B307" t="s">
        <v>2903</v>
      </c>
      <c r="C307" t="s">
        <v>2902</v>
      </c>
      <c r="D307" t="s">
        <v>201</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22">
        <v>5.0000000000000001E-3</v>
      </c>
    </row>
    <row r="308" spans="1:33">
      <c r="A308" t="s">
        <v>260</v>
      </c>
      <c r="B308" t="s">
        <v>2901</v>
      </c>
      <c r="C308" t="s">
        <v>2900</v>
      </c>
      <c r="D308" t="s">
        <v>201</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111</v>
      </c>
    </row>
    <row r="309" spans="1:33">
      <c r="A309" t="s">
        <v>261</v>
      </c>
      <c r="B309" t="s">
        <v>2899</v>
      </c>
      <c r="C309" t="s">
        <v>2898</v>
      </c>
      <c r="D309" t="s">
        <v>201</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22">
        <v>2.5999999999999999E-2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4.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election activeCell="A10" sqref="A10:B12"/>
    </sheetView>
  </sheetViews>
  <sheetFormatPr defaultRowHeight="14.5"/>
  <cols>
    <col min="1" max="1" width="45.7265625" customWidth="1"/>
  </cols>
  <sheetData>
    <row r="1" spans="1:32">
      <c r="A1" s="57" t="s">
        <v>3775</v>
      </c>
    </row>
    <row r="2" spans="1:32">
      <c r="D2" t="s">
        <v>2096</v>
      </c>
    </row>
    <row r="3" spans="1:32">
      <c r="B3" t="s">
        <v>2094</v>
      </c>
      <c r="C3" t="s">
        <v>119</v>
      </c>
      <c r="D3" s="56">
        <v>1</v>
      </c>
      <c r="E3" s="56">
        <v>1</v>
      </c>
    </row>
    <row r="4" spans="1:32">
      <c r="B4" t="s">
        <v>2094</v>
      </c>
      <c r="C4" t="s">
        <v>2309</v>
      </c>
      <c r="D4" s="56">
        <v>1</v>
      </c>
      <c r="E4" s="56">
        <v>1</v>
      </c>
    </row>
    <row r="5" spans="1:32">
      <c r="B5" t="s">
        <v>2095</v>
      </c>
      <c r="C5" t="s">
        <v>119</v>
      </c>
      <c r="D5" s="56">
        <v>1</v>
      </c>
      <c r="E5" s="56">
        <v>1</v>
      </c>
    </row>
    <row r="6" spans="1:32">
      <c r="B6" t="s">
        <v>2095</v>
      </c>
      <c r="C6" t="s">
        <v>125</v>
      </c>
      <c r="D6" s="56">
        <v>1</v>
      </c>
      <c r="E6" s="56">
        <v>1</v>
      </c>
    </row>
    <row r="7" spans="1:32">
      <c r="B7" t="s">
        <v>2095</v>
      </c>
      <c r="C7" t="s">
        <v>2308</v>
      </c>
      <c r="D7" s="56">
        <v>1</v>
      </c>
      <c r="E7" s="56">
        <v>1</v>
      </c>
    </row>
    <row r="8" spans="1:32">
      <c r="B8" s="57"/>
    </row>
    <row r="9" spans="1:32">
      <c r="M9" s="57"/>
      <c r="N9" s="57"/>
      <c r="O9" s="57"/>
      <c r="P9" s="57"/>
      <c r="Q9" s="57"/>
      <c r="R9" s="57"/>
      <c r="S9" s="57"/>
      <c r="T9" s="57"/>
      <c r="U9" s="57"/>
      <c r="V9" s="57"/>
      <c r="W9" s="57"/>
      <c r="X9" s="57"/>
      <c r="Y9" s="57"/>
      <c r="Z9" s="57"/>
      <c r="AA9" s="57"/>
      <c r="AB9" s="57"/>
      <c r="AC9" s="57"/>
      <c r="AD9" s="57"/>
      <c r="AE9" s="57"/>
      <c r="AF9" s="57"/>
    </row>
    <row r="10" spans="1:32">
      <c r="A10" t="s">
        <v>2306</v>
      </c>
      <c r="B10" s="29">
        <f>SUM('GHG Inventory'!AL3)</f>
        <v>5127</v>
      </c>
      <c r="C10" s="29"/>
      <c r="D10" s="29"/>
      <c r="E10" s="61"/>
      <c r="M10" s="58"/>
      <c r="N10" s="58"/>
      <c r="O10" s="58"/>
      <c r="P10" s="58"/>
      <c r="Q10" s="58"/>
      <c r="R10" s="58"/>
      <c r="S10" s="58"/>
      <c r="T10" s="58"/>
      <c r="U10" s="58"/>
      <c r="V10" s="58"/>
      <c r="W10" s="58"/>
      <c r="X10" s="58"/>
      <c r="Y10" s="58"/>
      <c r="Z10" s="58"/>
      <c r="AA10" s="58"/>
      <c r="AB10" s="58"/>
      <c r="AC10" s="58"/>
      <c r="AD10" s="58"/>
      <c r="AE10" s="58"/>
      <c r="AF10" s="58"/>
    </row>
    <row r="11" spans="1:32">
      <c r="A11" t="s">
        <v>2307</v>
      </c>
      <c r="B11" s="29">
        <f>SUM('AEO 2022 Table 36'!C27,'AEO 2022 Table 36'!C35)</f>
        <v>5245.3319700000002</v>
      </c>
      <c r="C11" s="29"/>
      <c r="D11" s="29"/>
      <c r="E11" s="61"/>
    </row>
    <row r="12" spans="1:32">
      <c r="A12" t="s">
        <v>2305</v>
      </c>
      <c r="B12" s="61">
        <v>1.07</v>
      </c>
      <c r="C12" s="29"/>
      <c r="D12" s="29"/>
      <c r="E12" s="61"/>
    </row>
    <row r="14" spans="1:32">
      <c r="A14" s="15"/>
    </row>
    <row r="17" spans="2:31">
      <c r="B17" s="29"/>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row>
    <row r="28" spans="2:31">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row>
    <row r="39" spans="2:31">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row>
    <row r="41" spans="2:31">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row>
    <row r="50" spans="2:31">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row>
    <row r="52" spans="2:31">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row>
    <row r="57" spans="2:31">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row>
    <row r="59" spans="2:31">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row>
    <row r="61" spans="2:31">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row>
    <row r="75" spans="2:31">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row>
    <row r="86" spans="2:31">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row>
    <row r="87" spans="2:31">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row>
    <row r="98" spans="2:31">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row>
    <row r="109" spans="2:31">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row>
    <row r="111" spans="2:31">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row>
    <row r="120" spans="2:31">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row>
    <row r="122" spans="2:31">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row>
    <row r="127" spans="2:31">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row>
    <row r="129" spans="2:31">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row>
    <row r="131" spans="2:31">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row>
    <row r="145" spans="2:31">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row>
    <row r="156" spans="2:31">
      <c r="B156" s="29"/>
      <c r="C156" s="29"/>
      <c r="D156" s="29"/>
      <c r="E156" s="29"/>
      <c r="F156" s="29"/>
      <c r="G156" s="29"/>
      <c r="H156" s="29"/>
      <c r="I156" s="29"/>
      <c r="J156" s="29"/>
      <c r="K156" s="29"/>
      <c r="L156" s="29"/>
      <c r="M156" s="29"/>
      <c r="N156" s="29"/>
      <c r="Q156" s="29"/>
      <c r="R156" s="29"/>
      <c r="S156" s="29"/>
      <c r="T156" s="29"/>
      <c r="U156" s="29"/>
      <c r="V156" s="29"/>
      <c r="W156" s="29"/>
      <c r="X156" s="29"/>
      <c r="Y156" s="29"/>
      <c r="Z156" s="29"/>
      <c r="AA156" s="29"/>
      <c r="AB156" s="29"/>
      <c r="AC156" s="29"/>
      <c r="AD156" s="29"/>
      <c r="AE156" s="29"/>
    </row>
    <row r="157" spans="2:31">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row>
    <row r="168" spans="2:31">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row>
    <row r="179" spans="2:31">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row>
    <row r="181" spans="2:31">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row>
    <row r="190" spans="2:31">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row>
    <row r="192" spans="2:31">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row>
    <row r="215" spans="2:31">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row>
    <row r="226" spans="2:31">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row>
    <row r="227" spans="2:31">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row>
    <row r="238" spans="2:31">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row>
    <row r="249" spans="2:20">
      <c r="B249" s="29"/>
      <c r="C249" s="29"/>
      <c r="D249" s="29"/>
      <c r="E249" s="29"/>
      <c r="F249" s="29"/>
      <c r="G249" s="29"/>
      <c r="H249" s="29"/>
      <c r="I249" s="29"/>
      <c r="J249" s="29"/>
      <c r="K249" s="29"/>
      <c r="L249" s="29"/>
      <c r="M249" s="29"/>
      <c r="N249" s="29"/>
      <c r="O249" s="29"/>
      <c r="P249" s="29"/>
      <c r="Q249" s="29"/>
      <c r="R249" s="29"/>
      <c r="S249" s="29"/>
      <c r="T249" s="29"/>
    </row>
    <row r="251" spans="2:20">
      <c r="B251" s="29"/>
      <c r="C251" s="29"/>
      <c r="D251" s="29"/>
      <c r="E251" s="29"/>
      <c r="F251" s="29"/>
      <c r="G251" s="29"/>
      <c r="H251" s="29"/>
      <c r="I251" s="29"/>
      <c r="J251" s="29"/>
      <c r="K251" s="29"/>
      <c r="L251" s="29"/>
      <c r="M251" s="29"/>
      <c r="N251" s="29"/>
      <c r="O251" s="29"/>
      <c r="P251" s="29"/>
      <c r="Q251" s="29"/>
      <c r="R251" s="29"/>
      <c r="S251" s="29"/>
      <c r="T251" s="29"/>
    </row>
    <row r="260" spans="2:31">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row>
    <row r="262" spans="2:31">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row>
    <row r="267" spans="2:31">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row>
    <row r="270" spans="2:31">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row>
    <row r="272" spans="2:31">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row>
    <row r="285" spans="2:31">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row>
    <row r="296" spans="2:31">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4.5"/>
  <cols>
    <col min="1" max="1" width="57.453125" customWidth="1"/>
    <col min="2" max="32" width="0" hidden="1" customWidth="1"/>
  </cols>
  <sheetData>
    <row r="1" spans="1:38">
      <c r="A1" t="s">
        <v>2136</v>
      </c>
      <c r="AK1" t="s">
        <v>2137</v>
      </c>
      <c r="AL1" t="s">
        <v>2138</v>
      </c>
    </row>
    <row r="2" spans="1:38">
      <c r="A2" t="s">
        <v>2098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2139</v>
      </c>
      <c r="W2">
        <v>2011</v>
      </c>
      <c r="X2">
        <v>2012</v>
      </c>
      <c r="Y2">
        <v>2013</v>
      </c>
      <c r="Z2">
        <v>2014</v>
      </c>
      <c r="AA2">
        <v>2015</v>
      </c>
      <c r="AB2">
        <v>2016</v>
      </c>
      <c r="AC2">
        <v>2017</v>
      </c>
      <c r="AD2">
        <v>2018</v>
      </c>
      <c r="AE2">
        <v>2019</v>
      </c>
      <c r="AF2">
        <v>2020</v>
      </c>
      <c r="AG2">
        <v>2021</v>
      </c>
      <c r="AJ2" t="s">
        <v>123</v>
      </c>
      <c r="AK2" s="60">
        <f>SUM(AG4,AG5)</f>
        <v>13876</v>
      </c>
      <c r="AL2">
        <f>SUM(AG11,AG12)</f>
        <v>487</v>
      </c>
    </row>
    <row r="3" spans="1:38">
      <c r="A3" t="s">
        <v>2140</v>
      </c>
      <c r="B3" s="60">
        <v>13464</v>
      </c>
      <c r="C3" s="60">
        <v>13253</v>
      </c>
      <c r="D3" s="60">
        <v>13624</v>
      </c>
      <c r="E3" s="60">
        <v>13850</v>
      </c>
      <c r="F3" s="60">
        <v>14080</v>
      </c>
      <c r="G3" s="60">
        <v>14273</v>
      </c>
      <c r="H3" s="60">
        <v>14605</v>
      </c>
      <c r="I3" s="60">
        <v>14778</v>
      </c>
      <c r="J3" s="60">
        <v>15201</v>
      </c>
      <c r="K3" s="60">
        <v>15710</v>
      </c>
      <c r="L3" s="60">
        <v>15663</v>
      </c>
      <c r="M3" s="60">
        <v>15771</v>
      </c>
      <c r="N3" s="60">
        <v>16097</v>
      </c>
      <c r="O3" s="60">
        <v>16165</v>
      </c>
      <c r="P3" s="60">
        <v>16379</v>
      </c>
      <c r="Q3" s="60">
        <v>16236</v>
      </c>
      <c r="R3" s="60">
        <v>16007</v>
      </c>
      <c r="S3" s="60">
        <v>15824</v>
      </c>
      <c r="T3" s="60">
        <v>15105</v>
      </c>
      <c r="U3" s="60">
        <v>15030</v>
      </c>
      <c r="V3" s="60">
        <v>14899</v>
      </c>
      <c r="W3" s="60">
        <v>14576</v>
      </c>
      <c r="X3" s="60">
        <v>14523</v>
      </c>
      <c r="Y3" s="60">
        <v>14542</v>
      </c>
      <c r="Z3" s="60">
        <v>15103</v>
      </c>
      <c r="AA3" s="60">
        <v>14999</v>
      </c>
      <c r="AB3" s="60">
        <v>15353</v>
      </c>
      <c r="AC3" s="60">
        <v>15303</v>
      </c>
      <c r="AD3" s="60">
        <v>15528</v>
      </c>
      <c r="AE3" s="60">
        <v>15381</v>
      </c>
      <c r="AF3" s="60">
        <v>13262</v>
      </c>
      <c r="AG3" s="60">
        <v>14559</v>
      </c>
      <c r="AJ3" t="s">
        <v>121</v>
      </c>
      <c r="AK3">
        <f>SUM(AG8)</f>
        <v>388</v>
      </c>
      <c r="AL3" s="60">
        <f>SUM(AG14)</f>
        <v>5127</v>
      </c>
    </row>
    <row r="4" spans="1:38">
      <c r="A4" t="s">
        <v>2141</v>
      </c>
      <c r="B4" s="60">
        <v>8604</v>
      </c>
      <c r="C4" s="60">
        <v>8263</v>
      </c>
      <c r="D4" s="60">
        <v>8289</v>
      </c>
      <c r="E4" s="60">
        <v>8216</v>
      </c>
      <c r="F4" s="60">
        <v>8138</v>
      </c>
      <c r="G4" s="60">
        <v>8032</v>
      </c>
      <c r="H4" s="60">
        <v>7996</v>
      </c>
      <c r="I4" s="60">
        <v>7865</v>
      </c>
      <c r="J4" s="60">
        <v>7859</v>
      </c>
      <c r="K4" s="60">
        <v>7884</v>
      </c>
      <c r="L4" s="60">
        <v>7735</v>
      </c>
      <c r="M4" s="60">
        <v>7677</v>
      </c>
      <c r="N4" s="60">
        <v>7725</v>
      </c>
      <c r="O4" s="60">
        <v>7628</v>
      </c>
      <c r="P4" s="60">
        <v>7523</v>
      </c>
      <c r="Q4" s="60">
        <v>7325</v>
      </c>
      <c r="R4" s="60">
        <v>7017</v>
      </c>
      <c r="S4" s="60">
        <v>6877</v>
      </c>
      <c r="T4" s="60">
        <v>6583</v>
      </c>
      <c r="U4" s="60">
        <v>6532</v>
      </c>
      <c r="V4" s="60">
        <v>6428</v>
      </c>
      <c r="W4" s="60">
        <v>5988</v>
      </c>
      <c r="X4" s="60">
        <v>5261</v>
      </c>
      <c r="Y4" s="60">
        <v>5385</v>
      </c>
      <c r="Z4" s="60">
        <v>5567</v>
      </c>
      <c r="AA4" s="60">
        <v>5436</v>
      </c>
      <c r="AB4" s="60">
        <v>5473</v>
      </c>
      <c r="AC4" s="60">
        <v>5308</v>
      </c>
      <c r="AD4" s="60">
        <v>5414</v>
      </c>
      <c r="AE4" s="60">
        <v>5380</v>
      </c>
      <c r="AF4" s="60">
        <v>4643</v>
      </c>
      <c r="AG4" s="60">
        <v>5102</v>
      </c>
    </row>
    <row r="5" spans="1:38">
      <c r="A5" t="s">
        <v>2142</v>
      </c>
      <c r="B5" s="60">
        <v>3982</v>
      </c>
      <c r="C5" s="60">
        <v>4136</v>
      </c>
      <c r="D5" s="60">
        <v>4478</v>
      </c>
      <c r="E5" s="60">
        <v>4782</v>
      </c>
      <c r="F5" s="60">
        <v>5095</v>
      </c>
      <c r="G5" s="60">
        <v>5401</v>
      </c>
      <c r="H5" s="60">
        <v>5768</v>
      </c>
      <c r="I5" s="60">
        <v>6081</v>
      </c>
      <c r="J5" s="60">
        <v>6508</v>
      </c>
      <c r="K5" s="60">
        <v>6989</v>
      </c>
      <c r="L5" s="60">
        <v>7151</v>
      </c>
      <c r="M5" s="60">
        <v>7341</v>
      </c>
      <c r="N5" s="60">
        <v>7625</v>
      </c>
      <c r="O5" s="60">
        <v>7793</v>
      </c>
      <c r="P5" s="60">
        <v>8134</v>
      </c>
      <c r="Q5" s="60">
        <v>8236</v>
      </c>
      <c r="R5" s="60">
        <v>8277</v>
      </c>
      <c r="S5" s="60">
        <v>8264</v>
      </c>
      <c r="T5" s="60">
        <v>7852</v>
      </c>
      <c r="U5" s="60">
        <v>7860</v>
      </c>
      <c r="V5" s="60">
        <v>7885</v>
      </c>
      <c r="W5" s="60">
        <v>8037</v>
      </c>
      <c r="X5" s="60">
        <v>8698</v>
      </c>
      <c r="Y5" s="60">
        <v>8587</v>
      </c>
      <c r="Z5" s="60">
        <v>8941</v>
      </c>
      <c r="AA5" s="60">
        <v>8968</v>
      </c>
      <c r="AB5" s="60">
        <v>9258</v>
      </c>
      <c r="AC5" s="60">
        <v>9357</v>
      </c>
      <c r="AD5" s="60">
        <v>9450</v>
      </c>
      <c r="AE5" s="60">
        <v>9323</v>
      </c>
      <c r="AF5" s="60">
        <v>8007</v>
      </c>
      <c r="AG5" s="60">
        <v>8774</v>
      </c>
    </row>
    <row r="6" spans="1:38">
      <c r="A6" t="s">
        <v>2143</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2144</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2145</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2146</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2147</v>
      </c>
      <c r="B10" s="60">
        <v>3555</v>
      </c>
      <c r="C10" s="60">
        <v>3450</v>
      </c>
      <c r="D10" s="60">
        <v>3666</v>
      </c>
      <c r="E10" s="60">
        <v>3889</v>
      </c>
      <c r="F10" s="60">
        <v>4187</v>
      </c>
      <c r="G10" s="60">
        <v>4383</v>
      </c>
      <c r="H10" s="60">
        <v>4599</v>
      </c>
      <c r="I10" s="60">
        <v>4802</v>
      </c>
      <c r="J10" s="60">
        <v>4955</v>
      </c>
      <c r="K10" s="60">
        <v>5251</v>
      </c>
      <c r="L10" s="60">
        <v>5442</v>
      </c>
      <c r="M10" s="60">
        <v>5417</v>
      </c>
      <c r="N10" s="60">
        <v>5596</v>
      </c>
      <c r="O10" s="60">
        <v>5711</v>
      </c>
      <c r="P10" s="60">
        <v>5918</v>
      </c>
      <c r="Q10" s="60">
        <v>6194</v>
      </c>
      <c r="R10" s="60">
        <v>6359</v>
      </c>
      <c r="S10" s="60">
        <v>6440</v>
      </c>
      <c r="T10" s="60">
        <v>6107</v>
      </c>
      <c r="U10" s="60">
        <v>5495</v>
      </c>
      <c r="V10" s="60">
        <v>5729</v>
      </c>
      <c r="W10" s="60">
        <v>5768</v>
      </c>
      <c r="X10" s="60">
        <v>5751</v>
      </c>
      <c r="Y10" s="60">
        <v>5795</v>
      </c>
      <c r="Z10" s="60">
        <v>5992</v>
      </c>
      <c r="AA10" s="60">
        <v>6155</v>
      </c>
      <c r="AB10" s="60">
        <v>6104</v>
      </c>
      <c r="AC10" s="60">
        <v>6288</v>
      </c>
      <c r="AD10" s="60">
        <v>6428</v>
      </c>
      <c r="AE10" s="60">
        <v>6393</v>
      </c>
      <c r="AF10" s="60">
        <v>6033</v>
      </c>
      <c r="AG10" s="60">
        <v>6480</v>
      </c>
    </row>
    <row r="11" spans="1:38">
      <c r="A11" t="s">
        <v>2141</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2142</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2144</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2145</v>
      </c>
      <c r="B14" s="60">
        <v>2555</v>
      </c>
      <c r="C14" s="60">
        <v>2489</v>
      </c>
      <c r="D14" s="60">
        <v>2647</v>
      </c>
      <c r="E14" s="60">
        <v>2845</v>
      </c>
      <c r="F14" s="60">
        <v>3052</v>
      </c>
      <c r="G14" s="60">
        <v>3198</v>
      </c>
      <c r="H14" s="60">
        <v>3357</v>
      </c>
      <c r="I14" s="60">
        <v>3542</v>
      </c>
      <c r="J14" s="60">
        <v>3708</v>
      </c>
      <c r="K14" s="60">
        <v>3941</v>
      </c>
      <c r="L14" s="60">
        <v>4108</v>
      </c>
      <c r="M14" s="60">
        <v>4129</v>
      </c>
      <c r="N14" s="60">
        <v>4281</v>
      </c>
      <c r="O14" s="60">
        <v>4379</v>
      </c>
      <c r="P14" s="60">
        <v>4548</v>
      </c>
      <c r="Q14" s="60">
        <v>4782</v>
      </c>
      <c r="R14" s="60">
        <v>4895</v>
      </c>
      <c r="S14" s="60">
        <v>4981</v>
      </c>
      <c r="T14" s="60">
        <v>4745</v>
      </c>
      <c r="U14" s="60">
        <v>4256</v>
      </c>
      <c r="V14" s="60">
        <v>4451</v>
      </c>
      <c r="W14" s="60">
        <v>4389</v>
      </c>
      <c r="X14" s="60">
        <v>4369</v>
      </c>
      <c r="Y14" s="60">
        <v>4437</v>
      </c>
      <c r="Z14" s="60">
        <v>4606</v>
      </c>
      <c r="AA14" s="60">
        <v>4688</v>
      </c>
      <c r="AB14" s="60">
        <v>4724</v>
      </c>
      <c r="AC14" s="60">
        <v>4886</v>
      </c>
      <c r="AD14" s="60">
        <v>5010</v>
      </c>
      <c r="AE14" s="60">
        <v>5031</v>
      </c>
      <c r="AF14" s="60">
        <v>4768</v>
      </c>
      <c r="AG14" s="60">
        <v>5127</v>
      </c>
    </row>
    <row r="15" spans="1:38">
      <c r="A15" t="s">
        <v>2148</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2149</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2150</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2151</v>
      </c>
      <c r="B18" s="60">
        <v>2588</v>
      </c>
      <c r="C18" s="60">
        <v>2371</v>
      </c>
      <c r="D18" s="60">
        <v>2342</v>
      </c>
      <c r="E18" s="60">
        <v>2366</v>
      </c>
      <c r="F18" s="60">
        <v>2472</v>
      </c>
      <c r="G18" s="60">
        <v>2427</v>
      </c>
      <c r="H18" s="60">
        <v>2554</v>
      </c>
      <c r="I18" s="60">
        <v>2552</v>
      </c>
      <c r="J18" s="60">
        <v>2607</v>
      </c>
      <c r="K18" s="60">
        <v>2663</v>
      </c>
      <c r="L18" s="60">
        <v>2699</v>
      </c>
      <c r="M18" s="60">
        <v>2625</v>
      </c>
      <c r="N18" s="60">
        <v>2564</v>
      </c>
      <c r="O18" s="60">
        <v>2481</v>
      </c>
      <c r="P18" s="60">
        <v>2583</v>
      </c>
      <c r="Q18" s="60">
        <v>2620</v>
      </c>
      <c r="R18" s="60">
        <v>2523</v>
      </c>
      <c r="S18" s="60">
        <v>2484</v>
      </c>
      <c r="T18" s="60">
        <v>2395</v>
      </c>
      <c r="U18" s="60">
        <v>2133</v>
      </c>
      <c r="V18" s="60">
        <v>2096</v>
      </c>
      <c r="W18" s="60">
        <v>2029</v>
      </c>
      <c r="X18" s="60">
        <v>1984</v>
      </c>
      <c r="Y18" s="60">
        <v>2036</v>
      </c>
      <c r="Z18" s="60">
        <v>2053</v>
      </c>
      <c r="AA18" s="60">
        <v>2181</v>
      </c>
      <c r="AB18" s="60">
        <v>2298</v>
      </c>
      <c r="AC18" s="60">
        <v>2377</v>
      </c>
      <c r="AD18" s="60">
        <v>2385</v>
      </c>
      <c r="AE18" s="60">
        <v>2496</v>
      </c>
      <c r="AF18" s="60">
        <v>1670</v>
      </c>
      <c r="AG18" s="60">
        <v>2114</v>
      </c>
    </row>
    <row r="19" spans="1:33">
      <c r="A19" t="s">
        <v>2152</v>
      </c>
      <c r="B19" s="60">
        <v>1562</v>
      </c>
      <c r="C19" s="60">
        <v>1453</v>
      </c>
      <c r="D19" s="60">
        <v>1483</v>
      </c>
      <c r="E19" s="60">
        <v>1529</v>
      </c>
      <c r="F19" s="60">
        <v>1599</v>
      </c>
      <c r="G19" s="60">
        <v>1638</v>
      </c>
      <c r="H19" s="60">
        <v>1686</v>
      </c>
      <c r="I19" s="60">
        <v>1747</v>
      </c>
      <c r="J19" s="60">
        <v>1701</v>
      </c>
      <c r="K19" s="60">
        <v>1853</v>
      </c>
      <c r="L19" s="60">
        <v>1981</v>
      </c>
      <c r="M19" s="60">
        <v>1771</v>
      </c>
      <c r="N19" s="60">
        <v>1725</v>
      </c>
      <c r="O19" s="60">
        <v>1747</v>
      </c>
      <c r="P19" s="60">
        <v>1775</v>
      </c>
      <c r="Q19" s="60">
        <v>1887</v>
      </c>
      <c r="R19" s="60">
        <v>1948</v>
      </c>
      <c r="S19" s="60">
        <v>1986</v>
      </c>
      <c r="T19" s="60">
        <v>1809</v>
      </c>
      <c r="U19" s="60">
        <v>1699</v>
      </c>
      <c r="V19" s="60">
        <v>1611</v>
      </c>
      <c r="W19" s="60">
        <v>1629</v>
      </c>
      <c r="X19" s="60">
        <v>1611</v>
      </c>
      <c r="Y19" s="60">
        <v>1624</v>
      </c>
      <c r="Z19" s="60">
        <v>1638</v>
      </c>
      <c r="AA19" s="60">
        <v>1692</v>
      </c>
      <c r="AB19" s="60">
        <v>1711</v>
      </c>
      <c r="AC19" s="60">
        <v>1819</v>
      </c>
      <c r="AD19" s="60">
        <v>1843</v>
      </c>
      <c r="AE19" s="60">
        <v>1944</v>
      </c>
      <c r="AF19" s="60">
        <v>1298</v>
      </c>
      <c r="AG19" s="60">
        <v>1691</v>
      </c>
    </row>
    <row r="20" spans="1:33">
      <c r="A20" t="s">
        <v>2153</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2154</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191</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2153</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2155</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2149</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2156</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60">
        <v>1114</v>
      </c>
      <c r="AF26" s="60">
        <v>1109</v>
      </c>
      <c r="AG26" s="60">
        <v>1230</v>
      </c>
    </row>
    <row r="27" spans="1:33">
      <c r="A27" t="s">
        <v>2141</v>
      </c>
      <c r="B27" t="s">
        <v>2157</v>
      </c>
      <c r="C27" t="s">
        <v>2157</v>
      </c>
      <c r="D27" t="s">
        <v>2157</v>
      </c>
      <c r="E27" t="s">
        <v>2157</v>
      </c>
      <c r="F27" t="s">
        <v>2157</v>
      </c>
      <c r="G27" t="s">
        <v>2157</v>
      </c>
      <c r="H27" t="s">
        <v>2157</v>
      </c>
      <c r="I27" t="s">
        <v>2157</v>
      </c>
      <c r="J27" t="s">
        <v>2157</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2157</v>
      </c>
      <c r="AG27" t="s">
        <v>2157</v>
      </c>
    </row>
    <row r="28" spans="1:33">
      <c r="A28" t="s">
        <v>2142</v>
      </c>
      <c r="B28" t="s">
        <v>2157</v>
      </c>
      <c r="C28" t="s">
        <v>2157</v>
      </c>
      <c r="D28" t="s">
        <v>2157</v>
      </c>
      <c r="E28" t="s">
        <v>2157</v>
      </c>
      <c r="F28" t="s">
        <v>2157</v>
      </c>
      <c r="G28" t="s">
        <v>2157</v>
      </c>
      <c r="H28" t="s">
        <v>2157</v>
      </c>
      <c r="I28" t="s">
        <v>2157</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2145</v>
      </c>
      <c r="B29" t="s">
        <v>2157</v>
      </c>
      <c r="C29" t="s">
        <v>2157</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2144</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2158</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60">
        <v>1101</v>
      </c>
      <c r="AF31" s="60">
        <v>1095</v>
      </c>
      <c r="AG31" s="60">
        <v>1214</v>
      </c>
    </row>
    <row r="32" spans="1:33">
      <c r="A32" t="s">
        <v>2159</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2141</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2157</v>
      </c>
      <c r="W33" t="s">
        <v>2157</v>
      </c>
      <c r="X33" t="s">
        <v>2157</v>
      </c>
      <c r="Y33" t="s">
        <v>2157</v>
      </c>
      <c r="Z33" t="s">
        <v>2157</v>
      </c>
      <c r="AA33" t="s">
        <v>2157</v>
      </c>
      <c r="AB33" t="s">
        <v>2157</v>
      </c>
      <c r="AC33" t="s">
        <v>2157</v>
      </c>
      <c r="AD33" t="s">
        <v>2157</v>
      </c>
      <c r="AE33" t="s">
        <v>2157</v>
      </c>
      <c r="AF33" t="s">
        <v>2157</v>
      </c>
      <c r="AG33" t="s">
        <v>2157</v>
      </c>
    </row>
    <row r="34" spans="1:33">
      <c r="A34" t="s">
        <v>2142</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2145</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2144</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2160</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2100</v>
      </c>
      <c r="B38" t="s">
        <v>2157</v>
      </c>
      <c r="C38" t="s">
        <v>2157</v>
      </c>
      <c r="D38" t="s">
        <v>2157</v>
      </c>
      <c r="E38" t="s">
        <v>2157</v>
      </c>
      <c r="F38" t="s">
        <v>2157</v>
      </c>
      <c r="G38" t="s">
        <v>2157</v>
      </c>
      <c r="H38" t="s">
        <v>2157</v>
      </c>
      <c r="I38" t="s">
        <v>2157</v>
      </c>
      <c r="J38" t="s">
        <v>2157</v>
      </c>
      <c r="K38" t="s">
        <v>2157</v>
      </c>
      <c r="L38" t="s">
        <v>2157</v>
      </c>
      <c r="M38" t="s">
        <v>2157</v>
      </c>
      <c r="N38" t="s">
        <v>2157</v>
      </c>
      <c r="O38" t="s">
        <v>2157</v>
      </c>
      <c r="P38" t="s">
        <v>2157</v>
      </c>
      <c r="Q38" t="s">
        <v>2157</v>
      </c>
      <c r="R38" t="s">
        <v>2157</v>
      </c>
      <c r="S38" t="s">
        <v>2157</v>
      </c>
      <c r="T38" t="s">
        <v>2157</v>
      </c>
      <c r="U38" t="s">
        <v>2157</v>
      </c>
      <c r="V38">
        <v>0.1</v>
      </c>
      <c r="W38">
        <v>0.3</v>
      </c>
      <c r="X38">
        <v>0.7</v>
      </c>
      <c r="Y38">
        <v>1.5</v>
      </c>
      <c r="Z38">
        <v>2.5</v>
      </c>
      <c r="AA38">
        <v>3.7</v>
      </c>
      <c r="AB38">
        <v>4.9000000000000004</v>
      </c>
      <c r="AC38">
        <v>6.3</v>
      </c>
      <c r="AD38">
        <v>9.3000000000000007</v>
      </c>
      <c r="AE38">
        <v>12.1</v>
      </c>
      <c r="AF38">
        <v>12</v>
      </c>
      <c r="AG38">
        <v>15.5</v>
      </c>
    </row>
    <row r="39" spans="1:33">
      <c r="A39" t="s">
        <v>2101</v>
      </c>
      <c r="B39" t="s">
        <v>2157</v>
      </c>
      <c r="C39" t="s">
        <v>2157</v>
      </c>
      <c r="D39" t="s">
        <v>2157</v>
      </c>
      <c r="E39" t="s">
        <v>2157</v>
      </c>
      <c r="F39" t="s">
        <v>2157</v>
      </c>
      <c r="G39" t="s">
        <v>2157</v>
      </c>
      <c r="H39" t="s">
        <v>2157</v>
      </c>
      <c r="I39" t="s">
        <v>2157</v>
      </c>
      <c r="J39" t="s">
        <v>2157</v>
      </c>
      <c r="K39" t="s">
        <v>2157</v>
      </c>
      <c r="L39" t="s">
        <v>2157</v>
      </c>
      <c r="M39" t="s">
        <v>2157</v>
      </c>
      <c r="N39" t="s">
        <v>2157</v>
      </c>
      <c r="O39" t="s">
        <v>2157</v>
      </c>
      <c r="P39" t="s">
        <v>2157</v>
      </c>
      <c r="Q39" t="s">
        <v>2157</v>
      </c>
      <c r="R39" t="s">
        <v>2157</v>
      </c>
      <c r="S39" t="s">
        <v>2157</v>
      </c>
      <c r="T39" t="s">
        <v>2157</v>
      </c>
      <c r="U39" t="s">
        <v>2157</v>
      </c>
      <c r="V39" t="s">
        <v>2157</v>
      </c>
      <c r="W39" t="s">
        <v>2157</v>
      </c>
      <c r="X39" t="s">
        <v>2157</v>
      </c>
      <c r="Y39" t="s">
        <v>2157</v>
      </c>
      <c r="Z39">
        <v>0.1</v>
      </c>
      <c r="AA39">
        <v>0.1</v>
      </c>
      <c r="AB39">
        <v>0.4</v>
      </c>
      <c r="AC39">
        <v>0.8</v>
      </c>
      <c r="AD39">
        <v>1.4</v>
      </c>
      <c r="AE39">
        <v>2</v>
      </c>
      <c r="AF39">
        <v>2.7</v>
      </c>
      <c r="AG39">
        <v>6.1</v>
      </c>
    </row>
    <row r="40" spans="1:33">
      <c r="A40" t="s">
        <v>165</v>
      </c>
      <c r="B40" t="s">
        <v>2157</v>
      </c>
      <c r="C40" t="s">
        <v>2157</v>
      </c>
      <c r="D40" t="s">
        <v>2157</v>
      </c>
      <c r="E40" t="s">
        <v>2157</v>
      </c>
      <c r="F40" t="s">
        <v>2157</v>
      </c>
      <c r="G40" t="s">
        <v>2157</v>
      </c>
      <c r="H40" t="s">
        <v>2157</v>
      </c>
      <c r="I40" t="s">
        <v>2157</v>
      </c>
      <c r="J40" t="s">
        <v>2157</v>
      </c>
      <c r="K40" t="s">
        <v>2157</v>
      </c>
      <c r="L40" t="s">
        <v>2157</v>
      </c>
      <c r="M40" t="s">
        <v>2157</v>
      </c>
      <c r="N40" t="s">
        <v>2157</v>
      </c>
      <c r="O40" t="s">
        <v>2157</v>
      </c>
      <c r="P40" t="s">
        <v>2157</v>
      </c>
      <c r="Q40" t="s">
        <v>2157</v>
      </c>
      <c r="R40" t="s">
        <v>2157</v>
      </c>
      <c r="S40" t="s">
        <v>2157</v>
      </c>
      <c r="T40" t="s">
        <v>2157</v>
      </c>
      <c r="U40" t="s">
        <v>2157</v>
      </c>
      <c r="V40" t="s">
        <v>2157</v>
      </c>
      <c r="W40" t="s">
        <v>2157</v>
      </c>
      <c r="X40" t="s">
        <v>2157</v>
      </c>
      <c r="Y40" t="s">
        <v>2157</v>
      </c>
      <c r="Z40" t="s">
        <v>2157</v>
      </c>
      <c r="AA40" t="s">
        <v>2157</v>
      </c>
      <c r="AB40">
        <v>0.1</v>
      </c>
      <c r="AC40">
        <v>0.1</v>
      </c>
      <c r="AD40">
        <v>0.3</v>
      </c>
      <c r="AE40">
        <v>0.4</v>
      </c>
      <c r="AF40">
        <v>0.5</v>
      </c>
      <c r="AG40">
        <v>0.7</v>
      </c>
    </row>
    <row r="41" spans="1:33">
      <c r="A41" t="s">
        <v>178</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141</v>
      </c>
      <c r="B42" s="60">
        <v>20670</v>
      </c>
      <c r="C42" s="60">
        <v>19997</v>
      </c>
      <c r="D42" s="60">
        <v>20716</v>
      </c>
      <c r="E42" s="60">
        <v>21193</v>
      </c>
      <c r="F42" s="60">
        <v>21895</v>
      </c>
      <c r="G42" s="60">
        <v>22269</v>
      </c>
      <c r="H42" s="60">
        <v>22880</v>
      </c>
      <c r="I42" s="60">
        <v>23120</v>
      </c>
      <c r="J42" s="60">
        <v>23578</v>
      </c>
      <c r="K42" s="60">
        <v>24547</v>
      </c>
      <c r="L42" s="60">
        <v>24986</v>
      </c>
      <c r="M42" s="60">
        <v>24698</v>
      </c>
      <c r="N42" s="60">
        <v>25250</v>
      </c>
      <c r="O42" s="60">
        <v>25155</v>
      </c>
      <c r="P42" s="60">
        <v>25744</v>
      </c>
      <c r="Q42" s="60">
        <v>26019</v>
      </c>
      <c r="R42" s="60">
        <v>25906</v>
      </c>
      <c r="S42" s="60">
        <v>25878</v>
      </c>
      <c r="T42" s="60">
        <v>24665</v>
      </c>
      <c r="U42" s="60">
        <v>23640</v>
      </c>
      <c r="V42" s="60">
        <v>23774</v>
      </c>
      <c r="W42" s="60">
        <v>23422</v>
      </c>
      <c r="X42" s="60">
        <v>23305</v>
      </c>
      <c r="Y42" s="60">
        <v>23517</v>
      </c>
      <c r="Z42" s="60">
        <v>24042</v>
      </c>
      <c r="AA42" s="60">
        <v>24194</v>
      </c>
      <c r="AB42" s="60">
        <v>24745</v>
      </c>
      <c r="AC42" s="60">
        <v>25049</v>
      </c>
      <c r="AD42" s="60">
        <v>25558</v>
      </c>
      <c r="AE42" s="60">
        <v>25650</v>
      </c>
      <c r="AF42" s="60">
        <v>22234</v>
      </c>
      <c r="AG42" s="60">
        <v>24771</v>
      </c>
    </row>
    <row r="43" spans="1:33">
      <c r="A43" t="s">
        <v>2161</v>
      </c>
    </row>
    <row r="44" spans="1:33">
      <c r="A44" t="s">
        <v>2162</v>
      </c>
    </row>
    <row r="45" spans="1:33">
      <c r="A45" t="s">
        <v>2163</v>
      </c>
    </row>
    <row r="46" spans="1:33">
      <c r="A46" t="s">
        <v>2164</v>
      </c>
    </row>
    <row r="47" spans="1:33">
      <c r="A47" t="s">
        <v>2165</v>
      </c>
    </row>
    <row r="48" spans="1:33">
      <c r="A48" t="s">
        <v>2166</v>
      </c>
    </row>
    <row r="49" spans="1:1">
      <c r="A49" t="s">
        <v>2167</v>
      </c>
    </row>
    <row r="50" spans="1:1">
      <c r="A50" t="s">
        <v>2168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4.5"/>
  <cols>
    <col min="1" max="1" width="30.26953125" customWidth="1"/>
  </cols>
  <sheetData>
    <row r="1" spans="1:36">
      <c r="A1" s="9"/>
      <c r="B1" s="62" t="s">
        <v>284</v>
      </c>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row>
    <row r="2" spans="1:36">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6">
      <c r="A3" s="9"/>
      <c r="B3" s="9"/>
      <c r="C3" s="74" t="s">
        <v>108</v>
      </c>
      <c r="D3" s="74" t="s">
        <v>285</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6">
      <c r="A4" s="9"/>
      <c r="B4" s="9"/>
      <c r="C4" s="74" t="s">
        <v>107</v>
      </c>
      <c r="D4" s="74" t="s">
        <v>286</v>
      </c>
      <c r="E4" s="40"/>
      <c r="F4" s="40"/>
      <c r="G4" s="74" t="s">
        <v>287</v>
      </c>
      <c r="H4" s="9"/>
      <c r="I4" s="9"/>
      <c r="J4" s="9"/>
      <c r="K4" s="9"/>
      <c r="L4" s="9"/>
      <c r="M4" s="9"/>
      <c r="N4" s="9"/>
      <c r="O4" s="9"/>
      <c r="P4" s="9"/>
      <c r="Q4" s="9"/>
      <c r="R4" s="9"/>
      <c r="S4" s="9"/>
      <c r="T4" s="9"/>
      <c r="U4" s="9"/>
      <c r="V4" s="9"/>
      <c r="W4" s="9"/>
      <c r="X4" s="9"/>
      <c r="Y4" s="9"/>
      <c r="Z4" s="9"/>
      <c r="AA4" s="9"/>
      <c r="AB4" s="9"/>
      <c r="AC4" s="9"/>
      <c r="AD4" s="9"/>
      <c r="AE4" s="9"/>
      <c r="AF4" s="9"/>
      <c r="AG4" s="9"/>
    </row>
    <row r="5" spans="1:36">
      <c r="A5" s="9"/>
      <c r="B5" s="9"/>
      <c r="C5" s="74" t="s">
        <v>106</v>
      </c>
      <c r="D5" s="74" t="s">
        <v>288</v>
      </c>
      <c r="E5" s="40"/>
      <c r="F5" s="40"/>
      <c r="G5" s="40"/>
      <c r="H5" s="9"/>
      <c r="I5" s="9"/>
      <c r="J5" s="9"/>
      <c r="K5" s="9"/>
      <c r="L5" s="9"/>
      <c r="M5" s="9"/>
      <c r="N5" s="9"/>
      <c r="O5" s="9"/>
      <c r="P5" s="9"/>
      <c r="Q5" s="9"/>
      <c r="R5" s="9"/>
      <c r="S5" s="9"/>
      <c r="T5" s="9"/>
      <c r="U5" s="9"/>
      <c r="V5" s="9"/>
      <c r="W5" s="9"/>
      <c r="X5" s="9"/>
      <c r="Y5" s="9"/>
      <c r="Z5" s="9"/>
      <c r="AA5" s="9"/>
      <c r="AB5" s="9"/>
      <c r="AC5" s="9"/>
      <c r="AD5" s="9"/>
      <c r="AE5" s="9"/>
      <c r="AF5" s="9"/>
      <c r="AG5" s="9"/>
      <c r="AH5">
        <v>2049</v>
      </c>
      <c r="AI5">
        <v>2050</v>
      </c>
      <c r="AJ5" t="s">
        <v>991</v>
      </c>
    </row>
    <row r="6" spans="1:36">
      <c r="A6" s="9"/>
      <c r="B6" s="9"/>
      <c r="C6" s="74" t="s">
        <v>105</v>
      </c>
      <c r="D6" s="40"/>
      <c r="E6" s="74" t="s">
        <v>289</v>
      </c>
      <c r="F6" s="40"/>
      <c r="G6" s="40"/>
      <c r="H6" s="9"/>
      <c r="I6" s="9"/>
      <c r="J6" s="9"/>
      <c r="K6" s="9"/>
      <c r="L6" s="9"/>
      <c r="M6" s="9"/>
      <c r="N6" s="9"/>
      <c r="O6" s="9"/>
      <c r="P6" s="9"/>
      <c r="Q6" s="9"/>
      <c r="R6" s="9"/>
      <c r="S6" s="9"/>
      <c r="T6" s="9"/>
      <c r="U6" s="9"/>
      <c r="V6" s="9"/>
      <c r="W6" s="9"/>
      <c r="X6" s="9"/>
      <c r="Y6" s="9"/>
      <c r="Z6" s="9"/>
      <c r="AA6" s="9"/>
      <c r="AB6" s="9"/>
      <c r="AC6" s="9"/>
      <c r="AD6" s="9"/>
      <c r="AE6" s="9"/>
      <c r="AF6" s="9"/>
      <c r="AG6" s="9"/>
      <c r="AH6">
        <v>14701.980469</v>
      </c>
      <c r="AI6">
        <v>14799.428711</v>
      </c>
      <c r="AJ6" s="22">
        <v>1E-3</v>
      </c>
    </row>
    <row r="7" spans="1:36">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v>14159.390625</v>
      </c>
      <c r="AI7">
        <v>14238.774414</v>
      </c>
      <c r="AJ7" s="22">
        <v>0</v>
      </c>
    </row>
    <row r="8" spans="1:36">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v>24.297373</v>
      </c>
      <c r="AI8">
        <v>24.739059000000001</v>
      </c>
      <c r="AJ8" s="22">
        <v>-0.01</v>
      </c>
    </row>
    <row r="9" spans="1:36">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v>73.365066999999996</v>
      </c>
      <c r="AI9">
        <v>74.101059000000006</v>
      </c>
      <c r="AJ9" s="22">
        <v>1.2E-2</v>
      </c>
    </row>
    <row r="10" spans="1:36" ht="15.5">
      <c r="A10" s="39" t="s">
        <v>2173</v>
      </c>
      <c r="B10" s="64" t="s">
        <v>2174</v>
      </c>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70" t="s">
        <v>290</v>
      </c>
      <c r="AH10">
        <v>0.48037200000000002</v>
      </c>
      <c r="AI10">
        <v>0.48969600000000002</v>
      </c>
      <c r="AJ10" s="22">
        <v>-1.0999999999999999E-2</v>
      </c>
    </row>
    <row r="11" spans="1:36">
      <c r="A11" s="9"/>
      <c r="B11" s="62" t="s">
        <v>296</v>
      </c>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70" t="s">
        <v>291</v>
      </c>
      <c r="AH11">
        <v>1.8495220000000001</v>
      </c>
      <c r="AI11">
        <v>1.9374210000000001</v>
      </c>
      <c r="AJ11" s="22">
        <v>3.6999999999999998E-2</v>
      </c>
    </row>
    <row r="12" spans="1:36">
      <c r="A12" s="9"/>
      <c r="B12" s="62"/>
      <c r="C12" s="65"/>
      <c r="D12" s="65"/>
      <c r="E12" s="65"/>
      <c r="F12" s="65"/>
      <c r="G12" s="65"/>
      <c r="H12" s="65"/>
      <c r="I12" s="65"/>
      <c r="J12" s="65"/>
      <c r="K12" s="65"/>
      <c r="L12" s="65"/>
      <c r="M12" s="65"/>
      <c r="N12" s="65"/>
      <c r="O12" s="65"/>
      <c r="P12" s="65"/>
      <c r="Q12" s="65"/>
      <c r="R12" s="65"/>
      <c r="S12" s="65"/>
      <c r="T12" s="65"/>
      <c r="U12" s="65"/>
      <c r="V12" s="65"/>
      <c r="W12" s="65"/>
      <c r="X12" s="65"/>
      <c r="Y12" s="65"/>
      <c r="Z12" s="65"/>
      <c r="AA12" s="65"/>
      <c r="AB12" s="65"/>
      <c r="AC12" s="65"/>
      <c r="AD12" s="65"/>
      <c r="AE12" s="65"/>
      <c r="AF12" s="65"/>
      <c r="AG12" s="70" t="s">
        <v>292</v>
      </c>
      <c r="AH12">
        <v>437.380493</v>
      </c>
      <c r="AI12">
        <v>454.037781</v>
      </c>
      <c r="AJ12" s="22">
        <v>0.106</v>
      </c>
    </row>
    <row r="13" spans="1:36" ht="25" thickBot="1">
      <c r="A13" s="9"/>
      <c r="B13" s="63" t="s">
        <v>297</v>
      </c>
      <c r="C13" s="63">
        <v>2021</v>
      </c>
      <c r="D13" s="63">
        <v>2022</v>
      </c>
      <c r="E13" s="63">
        <v>2023</v>
      </c>
      <c r="F13" s="63">
        <v>2024</v>
      </c>
      <c r="G13" s="63">
        <v>2025</v>
      </c>
      <c r="H13" s="63">
        <v>2026</v>
      </c>
      <c r="I13" s="63">
        <v>2027</v>
      </c>
      <c r="J13" s="63">
        <v>2028</v>
      </c>
      <c r="K13" s="63">
        <v>2029</v>
      </c>
      <c r="L13" s="63">
        <v>2030</v>
      </c>
      <c r="M13" s="63">
        <v>2031</v>
      </c>
      <c r="N13" s="63">
        <v>2032</v>
      </c>
      <c r="O13" s="63">
        <v>2033</v>
      </c>
      <c r="P13" s="63">
        <v>2034</v>
      </c>
      <c r="Q13" s="63">
        <v>2035</v>
      </c>
      <c r="R13" s="63">
        <v>2036</v>
      </c>
      <c r="S13" s="63">
        <v>2037</v>
      </c>
      <c r="T13" s="63">
        <v>2038</v>
      </c>
      <c r="U13" s="63">
        <v>2039</v>
      </c>
      <c r="V13" s="63">
        <v>2040</v>
      </c>
      <c r="W13" s="63">
        <v>2041</v>
      </c>
      <c r="X13" s="63">
        <v>2042</v>
      </c>
      <c r="Y13" s="63">
        <v>2043</v>
      </c>
      <c r="Z13" s="63">
        <v>2044</v>
      </c>
      <c r="AA13" s="63">
        <v>2045</v>
      </c>
      <c r="AB13" s="63">
        <v>2046</v>
      </c>
      <c r="AC13" s="63">
        <v>2047</v>
      </c>
      <c r="AD13" s="63">
        <v>2048</v>
      </c>
      <c r="AE13" s="63">
        <v>2049</v>
      </c>
      <c r="AF13" s="63">
        <v>2050</v>
      </c>
      <c r="AG13" s="79" t="s">
        <v>293</v>
      </c>
      <c r="AH13">
        <v>5.2161749999999998</v>
      </c>
      <c r="AI13">
        <v>5.3491600000000004</v>
      </c>
      <c r="AJ13" s="22">
        <v>9.7000000000000003E-2</v>
      </c>
    </row>
    <row r="14" spans="1:36" ht="15" thickTop="1">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73"/>
      <c r="AH14">
        <v>1061.4022219999999</v>
      </c>
      <c r="AI14">
        <v>1074.767578</v>
      </c>
      <c r="AJ14" s="22">
        <v>7.0000000000000001E-3</v>
      </c>
    </row>
    <row r="15" spans="1:36" ht="24.5">
      <c r="A15" s="39" t="s">
        <v>2175</v>
      </c>
      <c r="B15" s="66" t="s">
        <v>2169</v>
      </c>
      <c r="C15" s="69">
        <v>14274.494140999999</v>
      </c>
      <c r="D15" s="69">
        <v>14663.075194999999</v>
      </c>
      <c r="E15" s="69">
        <v>14907.380859000001</v>
      </c>
      <c r="F15" s="69">
        <v>14888.802734000001</v>
      </c>
      <c r="G15" s="69">
        <v>14849.198242</v>
      </c>
      <c r="H15" s="69">
        <v>14786.861328000001</v>
      </c>
      <c r="I15" s="69">
        <v>14699.436523</v>
      </c>
      <c r="J15" s="69">
        <v>14596.198242</v>
      </c>
      <c r="K15" s="69">
        <v>14504.813477</v>
      </c>
      <c r="L15" s="69">
        <v>14439.388671999999</v>
      </c>
      <c r="M15" s="69">
        <v>14388.90625</v>
      </c>
      <c r="N15" s="69">
        <v>14328.155273</v>
      </c>
      <c r="O15" s="69">
        <v>14293.910156</v>
      </c>
      <c r="P15" s="69">
        <v>14263.881836</v>
      </c>
      <c r="Q15" s="69">
        <v>14229.495117</v>
      </c>
      <c r="R15" s="69">
        <v>14203.658203000001</v>
      </c>
      <c r="S15" s="69">
        <v>14192.496094</v>
      </c>
      <c r="T15" s="69">
        <v>14188.244140999999</v>
      </c>
      <c r="U15" s="69">
        <v>14197.581055000001</v>
      </c>
      <c r="V15" s="69">
        <v>14217.713867</v>
      </c>
      <c r="W15" s="69">
        <v>14239.96875</v>
      </c>
      <c r="X15" s="69">
        <v>14268.422852</v>
      </c>
      <c r="Y15" s="69">
        <v>14301.931640999999</v>
      </c>
      <c r="Z15" s="69">
        <v>14345.212890999999</v>
      </c>
      <c r="AA15" s="69">
        <v>14399.621094</v>
      </c>
      <c r="AB15" s="69">
        <v>14468.219727</v>
      </c>
      <c r="AC15" s="69">
        <v>14540.374023</v>
      </c>
      <c r="AD15" s="69">
        <v>14616.555664</v>
      </c>
      <c r="AE15" s="69">
        <v>14701.980469</v>
      </c>
      <c r="AF15" s="69">
        <v>14799.428711</v>
      </c>
      <c r="AG15" s="72">
        <v>1.2459999999999999E-3</v>
      </c>
      <c r="AH15">
        <v>718.8125</v>
      </c>
      <c r="AI15">
        <v>726.34527600000001</v>
      </c>
      <c r="AJ15" s="22">
        <v>6.0000000000000001E-3</v>
      </c>
    </row>
    <row r="16" spans="1:36" ht="48.5">
      <c r="A16" s="39" t="s">
        <v>2176</v>
      </c>
      <c r="B16" s="67" t="s">
        <v>2177</v>
      </c>
      <c r="C16" s="68">
        <v>14162.429688</v>
      </c>
      <c r="D16" s="68">
        <v>14537.586914</v>
      </c>
      <c r="E16" s="68">
        <v>14770.330078000001</v>
      </c>
      <c r="F16" s="68">
        <v>14738.893555000001</v>
      </c>
      <c r="G16" s="68">
        <v>14685.415039</v>
      </c>
      <c r="H16" s="68">
        <v>14609.183594</v>
      </c>
      <c r="I16" s="68">
        <v>14507.978515999999</v>
      </c>
      <c r="J16" s="68">
        <v>14391.53125</v>
      </c>
      <c r="K16" s="68">
        <v>14286.672852</v>
      </c>
      <c r="L16" s="68">
        <v>14207.514648</v>
      </c>
      <c r="M16" s="68">
        <v>14142.503906</v>
      </c>
      <c r="N16" s="68">
        <v>14067.616211</v>
      </c>
      <c r="O16" s="68">
        <v>14018.539062</v>
      </c>
      <c r="P16" s="68">
        <v>13974.089844</v>
      </c>
      <c r="Q16" s="68">
        <v>13924.717773</v>
      </c>
      <c r="R16" s="68">
        <v>13883.070312</v>
      </c>
      <c r="S16" s="68">
        <v>13855.946289</v>
      </c>
      <c r="T16" s="68">
        <v>13835.799805000001</v>
      </c>
      <c r="U16" s="68">
        <v>13828.552734000001</v>
      </c>
      <c r="V16" s="68">
        <v>13831.424805000001</v>
      </c>
      <c r="W16" s="68">
        <v>13836.824219</v>
      </c>
      <c r="X16" s="68">
        <v>13848.344727</v>
      </c>
      <c r="Y16" s="68">
        <v>13864.305664</v>
      </c>
      <c r="Z16" s="68">
        <v>13890.319336</v>
      </c>
      <c r="AA16" s="68">
        <v>13927.309569999999</v>
      </c>
      <c r="AB16" s="68">
        <v>13978.470703000001</v>
      </c>
      <c r="AC16" s="68">
        <v>14033.085938</v>
      </c>
      <c r="AD16" s="68">
        <v>14091.706055000001</v>
      </c>
      <c r="AE16" s="68">
        <v>14159.390625</v>
      </c>
      <c r="AF16" s="68">
        <v>14238.774414</v>
      </c>
      <c r="AG16" s="71">
        <v>1.85E-4</v>
      </c>
      <c r="AH16">
        <v>12.428053</v>
      </c>
      <c r="AI16">
        <v>13.153333999999999</v>
      </c>
      <c r="AJ16" s="22">
        <v>4.1000000000000002E-2</v>
      </c>
    </row>
    <row r="17" spans="1:36">
      <c r="A17" s="39" t="s">
        <v>2178</v>
      </c>
      <c r="B17" s="67" t="s">
        <v>2179</v>
      </c>
      <c r="C17" s="68">
        <v>33.249222000000003</v>
      </c>
      <c r="D17" s="68">
        <v>34.150458999999998</v>
      </c>
      <c r="E17" s="68">
        <v>31.936682000000001</v>
      </c>
      <c r="F17" s="68">
        <v>31.592466000000002</v>
      </c>
      <c r="G17" s="68">
        <v>31.286394000000001</v>
      </c>
      <c r="H17" s="68">
        <v>30.500689000000001</v>
      </c>
      <c r="I17" s="68">
        <v>29.567623000000001</v>
      </c>
      <c r="J17" s="68">
        <v>28.523620999999999</v>
      </c>
      <c r="K17" s="68">
        <v>27.601944</v>
      </c>
      <c r="L17" s="68">
        <v>26.584057000000001</v>
      </c>
      <c r="M17" s="68">
        <v>25.489037</v>
      </c>
      <c r="N17" s="68">
        <v>24.533688999999999</v>
      </c>
      <c r="O17" s="68">
        <v>23.990046</v>
      </c>
      <c r="P17" s="68">
        <v>22.778981999999999</v>
      </c>
      <c r="Q17" s="68">
        <v>22.123808</v>
      </c>
      <c r="R17" s="68">
        <v>22.124821000000001</v>
      </c>
      <c r="S17" s="68">
        <v>21.992408999999999</v>
      </c>
      <c r="T17" s="68">
        <v>21.684839</v>
      </c>
      <c r="U17" s="68">
        <v>21.760232999999999</v>
      </c>
      <c r="V17" s="68">
        <v>21.844384999999999</v>
      </c>
      <c r="W17" s="68">
        <v>21.925298999999999</v>
      </c>
      <c r="X17" s="68">
        <v>22.19059</v>
      </c>
      <c r="Y17" s="68">
        <v>22.390591000000001</v>
      </c>
      <c r="Z17" s="68">
        <v>22.596132000000001</v>
      </c>
      <c r="AA17" s="68">
        <v>22.876339000000002</v>
      </c>
      <c r="AB17" s="68">
        <v>23.153645999999998</v>
      </c>
      <c r="AC17" s="68">
        <v>23.499597999999999</v>
      </c>
      <c r="AD17" s="68">
        <v>23.893426999999999</v>
      </c>
      <c r="AE17" s="68">
        <v>24.297373</v>
      </c>
      <c r="AF17" s="68">
        <v>24.739059000000001</v>
      </c>
      <c r="AG17" s="71">
        <v>-1.0142999999999999E-2</v>
      </c>
      <c r="AH17">
        <v>326.56167599999998</v>
      </c>
      <c r="AI17">
        <v>331.52713</v>
      </c>
      <c r="AJ17" s="22">
        <v>7.0000000000000001E-3</v>
      </c>
    </row>
    <row r="18" spans="1:36" ht="36.5">
      <c r="A18" s="39" t="s">
        <v>2180</v>
      </c>
      <c r="B18" s="67" t="s">
        <v>2181</v>
      </c>
      <c r="C18" s="68">
        <v>52.341071999999997</v>
      </c>
      <c r="D18" s="68">
        <v>55.018439999999998</v>
      </c>
      <c r="E18" s="68">
        <v>57.293982999999997</v>
      </c>
      <c r="F18" s="68">
        <v>58.347095000000003</v>
      </c>
      <c r="G18" s="68">
        <v>59.292045999999999</v>
      </c>
      <c r="H18" s="68">
        <v>60.054276000000002</v>
      </c>
      <c r="I18" s="68">
        <v>60.645831999999999</v>
      </c>
      <c r="J18" s="68">
        <v>61.085116999999997</v>
      </c>
      <c r="K18" s="68">
        <v>61.376376999999998</v>
      </c>
      <c r="L18" s="68">
        <v>61.730705</v>
      </c>
      <c r="M18" s="68">
        <v>62.624172000000002</v>
      </c>
      <c r="N18" s="68">
        <v>62.985115</v>
      </c>
      <c r="O18" s="68">
        <v>63.372196000000002</v>
      </c>
      <c r="P18" s="68">
        <v>63.817276</v>
      </c>
      <c r="Q18" s="68">
        <v>64.206192000000001</v>
      </c>
      <c r="R18" s="68">
        <v>64.635818</v>
      </c>
      <c r="S18" s="68">
        <v>65.138244999999998</v>
      </c>
      <c r="T18" s="68">
        <v>65.602219000000005</v>
      </c>
      <c r="U18" s="68">
        <v>66.192047000000002</v>
      </c>
      <c r="V18" s="68">
        <v>67.346855000000005</v>
      </c>
      <c r="W18" s="68">
        <v>68.094498000000002</v>
      </c>
      <c r="X18" s="68">
        <v>68.773444999999995</v>
      </c>
      <c r="Y18" s="68">
        <v>69.845009000000005</v>
      </c>
      <c r="Z18" s="68">
        <v>70.345084999999997</v>
      </c>
      <c r="AA18" s="68">
        <v>70.781784000000002</v>
      </c>
      <c r="AB18" s="68">
        <v>71.416443000000001</v>
      </c>
      <c r="AC18" s="68">
        <v>72.050422999999995</v>
      </c>
      <c r="AD18" s="68">
        <v>72.693031000000005</v>
      </c>
      <c r="AE18" s="68">
        <v>73.365066999999996</v>
      </c>
      <c r="AF18" s="68">
        <v>74.101059000000006</v>
      </c>
      <c r="AG18" s="71">
        <v>1.206E-2</v>
      </c>
      <c r="AH18">
        <v>2.9450440000000002</v>
      </c>
      <c r="AI18">
        <v>3.0714039999999998</v>
      </c>
      <c r="AJ18" s="22">
        <v>0.104</v>
      </c>
    </row>
    <row r="19" spans="1:36" ht="48.5">
      <c r="A19" s="39" t="s">
        <v>2182</v>
      </c>
      <c r="B19" s="67" t="s">
        <v>2183</v>
      </c>
      <c r="C19" s="68">
        <v>0.67431099999999999</v>
      </c>
      <c r="D19" s="68">
        <v>0.66608500000000004</v>
      </c>
      <c r="E19" s="68">
        <v>0.63587300000000002</v>
      </c>
      <c r="F19" s="68">
        <v>0.52752900000000003</v>
      </c>
      <c r="G19" s="68">
        <v>0.50580000000000003</v>
      </c>
      <c r="H19" s="68">
        <v>0.49782100000000001</v>
      </c>
      <c r="I19" s="68">
        <v>0.48537000000000002</v>
      </c>
      <c r="J19" s="68">
        <v>0.47792299999999999</v>
      </c>
      <c r="K19" s="68">
        <v>0.468808</v>
      </c>
      <c r="L19" s="68">
        <v>0.45122899999999999</v>
      </c>
      <c r="M19" s="68">
        <v>0.45219999999999999</v>
      </c>
      <c r="N19" s="68">
        <v>0.45074999999999998</v>
      </c>
      <c r="O19" s="68">
        <v>0.450878</v>
      </c>
      <c r="P19" s="68">
        <v>0.45424100000000001</v>
      </c>
      <c r="Q19" s="68">
        <v>0.457507</v>
      </c>
      <c r="R19" s="68">
        <v>0.45966200000000002</v>
      </c>
      <c r="S19" s="68">
        <v>0.46291100000000002</v>
      </c>
      <c r="T19" s="68">
        <v>0.46953099999999998</v>
      </c>
      <c r="U19" s="68">
        <v>0.43854500000000002</v>
      </c>
      <c r="V19" s="68">
        <v>0.405692</v>
      </c>
      <c r="W19" s="68">
        <v>0.41506900000000002</v>
      </c>
      <c r="X19" s="68">
        <v>0.42349500000000001</v>
      </c>
      <c r="Y19" s="68">
        <v>0.43112299999999998</v>
      </c>
      <c r="Z19" s="68">
        <v>0.43802600000000003</v>
      </c>
      <c r="AA19" s="68">
        <v>0.44581399999999999</v>
      </c>
      <c r="AB19" s="68">
        <v>0.45412400000000003</v>
      </c>
      <c r="AC19" s="68">
        <v>0.46264300000000003</v>
      </c>
      <c r="AD19" s="68">
        <v>0.47139700000000001</v>
      </c>
      <c r="AE19" s="68">
        <v>0.48037200000000002</v>
      </c>
      <c r="AF19" s="68">
        <v>0.48969600000000002</v>
      </c>
      <c r="AG19" s="71">
        <v>-1.0971E-2</v>
      </c>
      <c r="AH19">
        <v>0.64914099999999997</v>
      </c>
      <c r="AI19">
        <v>0.66471599999999997</v>
      </c>
      <c r="AJ19" s="22">
        <v>-1.4E-2</v>
      </c>
    </row>
    <row r="20" spans="1:36">
      <c r="A20" s="39" t="s">
        <v>2184</v>
      </c>
      <c r="B20" s="67" t="s">
        <v>2185</v>
      </c>
      <c r="C20" s="68">
        <v>0.67332000000000003</v>
      </c>
      <c r="D20" s="68">
        <v>0.65310299999999999</v>
      </c>
      <c r="E20" s="68">
        <v>0.64822500000000005</v>
      </c>
      <c r="F20" s="68">
        <v>0.51948899999999998</v>
      </c>
      <c r="G20" s="68">
        <v>0.54455399999999998</v>
      </c>
      <c r="H20" s="68">
        <v>0.57736500000000002</v>
      </c>
      <c r="I20" s="68">
        <v>0.61878900000000003</v>
      </c>
      <c r="J20" s="68">
        <v>0.46534300000000001</v>
      </c>
      <c r="K20" s="68">
        <v>0.50610699999999997</v>
      </c>
      <c r="L20" s="68">
        <v>0.57804500000000003</v>
      </c>
      <c r="M20" s="68">
        <v>0.65013200000000004</v>
      </c>
      <c r="N20" s="68">
        <v>0.72068399999999999</v>
      </c>
      <c r="O20" s="68">
        <v>0.79029000000000005</v>
      </c>
      <c r="P20" s="68">
        <v>0.85896399999999995</v>
      </c>
      <c r="Q20" s="68">
        <v>0.92550900000000003</v>
      </c>
      <c r="R20" s="68">
        <v>0.99063500000000004</v>
      </c>
      <c r="S20" s="68">
        <v>1.0544990000000001</v>
      </c>
      <c r="T20" s="68">
        <v>1.1170100000000001</v>
      </c>
      <c r="U20" s="68">
        <v>1.1785939999999999</v>
      </c>
      <c r="V20" s="68">
        <v>1.2387509999999999</v>
      </c>
      <c r="W20" s="68">
        <v>1.2977559999999999</v>
      </c>
      <c r="X20" s="68">
        <v>1.356722</v>
      </c>
      <c r="Y20" s="68">
        <v>1.4161710000000001</v>
      </c>
      <c r="Z20" s="68">
        <v>1.4759199999999999</v>
      </c>
      <c r="AA20" s="68">
        <v>1.5419909999999999</v>
      </c>
      <c r="AB20" s="68">
        <v>1.613723</v>
      </c>
      <c r="AC20" s="68">
        <v>1.688793</v>
      </c>
      <c r="AD20" s="68">
        <v>1.7669729999999999</v>
      </c>
      <c r="AE20" s="68">
        <v>1.8495220000000001</v>
      </c>
      <c r="AF20" s="68">
        <v>1.9374210000000001</v>
      </c>
      <c r="AG20" s="71">
        <v>3.7116999999999997E-2</v>
      </c>
      <c r="AH20">
        <v>5.6800000000000002E-3</v>
      </c>
      <c r="AI20">
        <v>5.7790000000000003E-3</v>
      </c>
      <c r="AJ20" s="22">
        <v>8.1000000000000003E-2</v>
      </c>
    </row>
    <row r="21" spans="1:36">
      <c r="A21" s="39" t="s">
        <v>2186</v>
      </c>
      <c r="B21" s="67" t="s">
        <v>2187</v>
      </c>
      <c r="C21" s="68">
        <v>24.764068999999999</v>
      </c>
      <c r="D21" s="68">
        <v>34.511890000000001</v>
      </c>
      <c r="E21" s="68">
        <v>45.918655000000001</v>
      </c>
      <c r="F21" s="68">
        <v>58.182929999999999</v>
      </c>
      <c r="G21" s="68">
        <v>71.282509000000005</v>
      </c>
      <c r="H21" s="68">
        <v>85.031136000000004</v>
      </c>
      <c r="I21" s="68">
        <v>98.971512000000004</v>
      </c>
      <c r="J21" s="68">
        <v>112.780022</v>
      </c>
      <c r="K21" s="68">
        <v>126.676147</v>
      </c>
      <c r="L21" s="68">
        <v>140.82676699999999</v>
      </c>
      <c r="M21" s="68">
        <v>155.278885</v>
      </c>
      <c r="N21" s="68">
        <v>169.72976700000001</v>
      </c>
      <c r="O21" s="68">
        <v>184.430679</v>
      </c>
      <c r="P21" s="68">
        <v>199.324814</v>
      </c>
      <c r="Q21" s="68">
        <v>214.293228</v>
      </c>
      <c r="R21" s="68">
        <v>229.396942</v>
      </c>
      <c r="S21" s="68">
        <v>244.721756</v>
      </c>
      <c r="T21" s="68">
        <v>260.19662499999998</v>
      </c>
      <c r="U21" s="68">
        <v>275.89236499999998</v>
      </c>
      <c r="V21" s="68">
        <v>291.69863900000001</v>
      </c>
      <c r="W21" s="68">
        <v>307.47470099999998</v>
      </c>
      <c r="X21" s="68">
        <v>323.21994000000001</v>
      </c>
      <c r="Y21" s="68">
        <v>339.25979599999999</v>
      </c>
      <c r="Z21" s="68">
        <v>355.59127799999999</v>
      </c>
      <c r="AA21" s="68">
        <v>372.05178799999999</v>
      </c>
      <c r="AB21" s="68">
        <v>388.33685300000002</v>
      </c>
      <c r="AC21" s="68">
        <v>404.65564000000001</v>
      </c>
      <c r="AD21" s="68">
        <v>420.94708300000002</v>
      </c>
      <c r="AE21" s="68">
        <v>437.380493</v>
      </c>
      <c r="AF21" s="68">
        <v>454.037781</v>
      </c>
      <c r="AG21" s="71">
        <v>0.105506</v>
      </c>
      <c r="AH21">
        <v>0</v>
      </c>
      <c r="AI21">
        <v>0</v>
      </c>
      <c r="AJ21" t="s">
        <v>111</v>
      </c>
    </row>
    <row r="22" spans="1:36">
      <c r="A22" s="39" t="s">
        <v>2188</v>
      </c>
      <c r="B22" s="67" t="s">
        <v>2189</v>
      </c>
      <c r="C22" s="68">
        <v>0.36432900000000001</v>
      </c>
      <c r="D22" s="68">
        <v>0.48852200000000001</v>
      </c>
      <c r="E22" s="68">
        <v>0.61699800000000005</v>
      </c>
      <c r="F22" s="68">
        <v>0.74021999999999999</v>
      </c>
      <c r="G22" s="68">
        <v>0.872479</v>
      </c>
      <c r="H22" s="68">
        <v>1.015633</v>
      </c>
      <c r="I22" s="68">
        <v>1.1693290000000001</v>
      </c>
      <c r="J22" s="68">
        <v>1.334678</v>
      </c>
      <c r="K22" s="68">
        <v>1.5124759999999999</v>
      </c>
      <c r="L22" s="68">
        <v>1.7031130000000001</v>
      </c>
      <c r="M22" s="68">
        <v>1.9068309999999999</v>
      </c>
      <c r="N22" s="68">
        <v>2.1189420000000001</v>
      </c>
      <c r="O22" s="68">
        <v>2.336719</v>
      </c>
      <c r="P22" s="68">
        <v>2.556305</v>
      </c>
      <c r="Q22" s="68">
        <v>2.771652</v>
      </c>
      <c r="R22" s="68">
        <v>2.9800059999999999</v>
      </c>
      <c r="S22" s="68">
        <v>3.1793809999999998</v>
      </c>
      <c r="T22" s="68">
        <v>3.3736160000000002</v>
      </c>
      <c r="U22" s="68">
        <v>3.566084</v>
      </c>
      <c r="V22" s="68">
        <v>3.755773</v>
      </c>
      <c r="W22" s="68">
        <v>3.9364880000000002</v>
      </c>
      <c r="X22" s="68">
        <v>4.1141100000000002</v>
      </c>
      <c r="Y22" s="68">
        <v>4.2844660000000001</v>
      </c>
      <c r="Z22" s="68">
        <v>4.4479160000000002</v>
      </c>
      <c r="AA22" s="68">
        <v>4.6137079999999999</v>
      </c>
      <c r="AB22" s="68">
        <v>4.7755470000000004</v>
      </c>
      <c r="AC22" s="68">
        <v>4.9307369999999997</v>
      </c>
      <c r="AD22" s="68">
        <v>5.0771990000000002</v>
      </c>
      <c r="AE22" s="68">
        <v>5.2161749999999998</v>
      </c>
      <c r="AF22" s="68">
        <v>5.3491600000000004</v>
      </c>
      <c r="AG22" s="71">
        <v>9.7070000000000004E-2</v>
      </c>
      <c r="AH22">
        <v>5588.216797</v>
      </c>
      <c r="AI22">
        <v>5636.1411129999997</v>
      </c>
      <c r="AJ22" s="22">
        <v>0</v>
      </c>
    </row>
    <row r="23" spans="1:36">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v>836.60589600000003</v>
      </c>
      <c r="AI23">
        <v>861.77056900000002</v>
      </c>
      <c r="AJ23" s="22">
        <v>1.6E-2</v>
      </c>
    </row>
    <row r="24" spans="1:36" ht="36.5">
      <c r="A24" s="39" t="s">
        <v>2190</v>
      </c>
      <c r="B24" s="66" t="s">
        <v>479</v>
      </c>
      <c r="C24" s="69">
        <v>888.32324200000005</v>
      </c>
      <c r="D24" s="69">
        <v>907.55993699999999</v>
      </c>
      <c r="E24" s="69">
        <v>915.29083300000002</v>
      </c>
      <c r="F24" s="69">
        <v>914.74591099999998</v>
      </c>
      <c r="G24" s="69">
        <v>917.48150599999997</v>
      </c>
      <c r="H24" s="69">
        <v>917.95696999999996</v>
      </c>
      <c r="I24" s="69">
        <v>914.71563700000002</v>
      </c>
      <c r="J24" s="69">
        <v>913.13915999999995</v>
      </c>
      <c r="K24" s="69">
        <v>912.94812000000002</v>
      </c>
      <c r="L24" s="69">
        <v>913.61932400000001</v>
      </c>
      <c r="M24" s="69">
        <v>914.89263900000003</v>
      </c>
      <c r="N24" s="69">
        <v>917.46624799999995</v>
      </c>
      <c r="O24" s="69">
        <v>921.146973</v>
      </c>
      <c r="P24" s="69">
        <v>925.47863800000005</v>
      </c>
      <c r="Q24" s="69">
        <v>930.15087900000003</v>
      </c>
      <c r="R24" s="69">
        <v>935.85308799999996</v>
      </c>
      <c r="S24" s="69">
        <v>943.34344499999997</v>
      </c>
      <c r="T24" s="69">
        <v>951.09039299999995</v>
      </c>
      <c r="U24" s="69">
        <v>959.00439500000005</v>
      </c>
      <c r="V24" s="69">
        <v>967.11511199999995</v>
      </c>
      <c r="W24" s="69">
        <v>976.32757600000002</v>
      </c>
      <c r="X24" s="69">
        <v>985.921875</v>
      </c>
      <c r="Y24" s="69">
        <v>996.50323500000002</v>
      </c>
      <c r="Z24" s="69">
        <v>1007.049438</v>
      </c>
      <c r="AA24" s="69">
        <v>1017.768433</v>
      </c>
      <c r="AB24" s="69">
        <v>1030.6396480000001</v>
      </c>
      <c r="AC24" s="69">
        <v>1041.2025149999999</v>
      </c>
      <c r="AD24" s="69">
        <v>1050.5196530000001</v>
      </c>
      <c r="AE24" s="69">
        <v>1061.4022219999999</v>
      </c>
      <c r="AF24" s="69">
        <v>1074.767578</v>
      </c>
      <c r="AG24" s="72">
        <v>6.5909999999999996E-3</v>
      </c>
      <c r="AH24">
        <v>4646.4609380000002</v>
      </c>
      <c r="AI24">
        <v>4661.1557620000003</v>
      </c>
      <c r="AJ24" s="22">
        <v>-2E-3</v>
      </c>
    </row>
    <row r="25" spans="1:36" ht="48.5">
      <c r="A25" s="39" t="s">
        <v>2191</v>
      </c>
      <c r="B25" s="67" t="s">
        <v>2177</v>
      </c>
      <c r="C25" s="68">
        <v>614.34252900000001</v>
      </c>
      <c r="D25" s="68">
        <v>633.80950900000005</v>
      </c>
      <c r="E25" s="68">
        <v>644.77996800000005</v>
      </c>
      <c r="F25" s="68">
        <v>648.86706500000003</v>
      </c>
      <c r="G25" s="68">
        <v>655.23681599999998</v>
      </c>
      <c r="H25" s="68">
        <v>658.69421399999999</v>
      </c>
      <c r="I25" s="68">
        <v>656.84582499999999</v>
      </c>
      <c r="J25" s="68">
        <v>655.41406199999994</v>
      </c>
      <c r="K25" s="68">
        <v>654.60784899999999</v>
      </c>
      <c r="L25" s="68">
        <v>654.20941200000004</v>
      </c>
      <c r="M25" s="68">
        <v>654.01470900000004</v>
      </c>
      <c r="N25" s="68">
        <v>654.28637700000002</v>
      </c>
      <c r="O25" s="68">
        <v>654.76336700000002</v>
      </c>
      <c r="P25" s="68">
        <v>655.90240500000004</v>
      </c>
      <c r="Q25" s="68">
        <v>657.16143799999998</v>
      </c>
      <c r="R25" s="68">
        <v>659.01702899999998</v>
      </c>
      <c r="S25" s="68">
        <v>662.25061000000005</v>
      </c>
      <c r="T25" s="68">
        <v>665.78479000000004</v>
      </c>
      <c r="U25" s="68">
        <v>669.32995600000004</v>
      </c>
      <c r="V25" s="68">
        <v>673.30560300000002</v>
      </c>
      <c r="W25" s="68">
        <v>677.94335899999999</v>
      </c>
      <c r="X25" s="68">
        <v>682.89135699999997</v>
      </c>
      <c r="Y25" s="68">
        <v>688.00506600000006</v>
      </c>
      <c r="Z25" s="68">
        <v>692.85467500000004</v>
      </c>
      <c r="AA25" s="68">
        <v>697.80651899999998</v>
      </c>
      <c r="AB25" s="68">
        <v>703.93994099999998</v>
      </c>
      <c r="AC25" s="68">
        <v>708.92059300000005</v>
      </c>
      <c r="AD25" s="68">
        <v>713.17346199999997</v>
      </c>
      <c r="AE25" s="68">
        <v>718.8125</v>
      </c>
      <c r="AF25" s="68">
        <v>726.34527600000001</v>
      </c>
      <c r="AG25" s="71">
        <v>5.7920000000000003E-3</v>
      </c>
      <c r="AH25">
        <v>89.427291999999994</v>
      </c>
      <c r="AI25">
        <v>96.668953000000002</v>
      </c>
      <c r="AJ25" s="22">
        <v>2.5000000000000001E-2</v>
      </c>
    </row>
    <row r="26" spans="1:36">
      <c r="A26" s="39" t="s">
        <v>2192</v>
      </c>
      <c r="B26" s="67" t="s">
        <v>2179</v>
      </c>
      <c r="C26" s="68">
        <v>4.1552740000000004</v>
      </c>
      <c r="D26" s="68">
        <v>4.2846580000000003</v>
      </c>
      <c r="E26" s="68">
        <v>4.0672990000000002</v>
      </c>
      <c r="F26" s="68">
        <v>4.1190369999999996</v>
      </c>
      <c r="G26" s="68">
        <v>4.2546290000000004</v>
      </c>
      <c r="H26" s="68">
        <v>4.3491059999999999</v>
      </c>
      <c r="I26" s="68">
        <v>4.4519359999999999</v>
      </c>
      <c r="J26" s="68">
        <v>4.5601940000000001</v>
      </c>
      <c r="K26" s="68">
        <v>4.702108</v>
      </c>
      <c r="L26" s="68">
        <v>4.837161</v>
      </c>
      <c r="M26" s="68">
        <v>4.9781519999999997</v>
      </c>
      <c r="N26" s="68">
        <v>5.1473089999999999</v>
      </c>
      <c r="O26" s="68">
        <v>5.4099250000000003</v>
      </c>
      <c r="P26" s="68">
        <v>5.5183030000000004</v>
      </c>
      <c r="Q26" s="68">
        <v>5.7560729999999998</v>
      </c>
      <c r="R26" s="68">
        <v>6.1638349999999997</v>
      </c>
      <c r="S26" s="68">
        <v>6.5428040000000003</v>
      </c>
      <c r="T26" s="68">
        <v>6.8549049999999996</v>
      </c>
      <c r="U26" s="68">
        <v>7.2632989999999999</v>
      </c>
      <c r="V26" s="68">
        <v>7.6670569999999998</v>
      </c>
      <c r="W26" s="68">
        <v>8.0832300000000004</v>
      </c>
      <c r="X26" s="68">
        <v>8.5725119999999997</v>
      </c>
      <c r="Y26" s="68">
        <v>9.0432140000000008</v>
      </c>
      <c r="Z26" s="68">
        <v>9.5240030000000004</v>
      </c>
      <c r="AA26" s="68">
        <v>10.041880000000001</v>
      </c>
      <c r="AB26" s="68">
        <v>10.58123</v>
      </c>
      <c r="AC26" s="68">
        <v>11.160612</v>
      </c>
      <c r="AD26" s="68">
        <v>11.772819999999999</v>
      </c>
      <c r="AE26" s="68">
        <v>12.428053</v>
      </c>
      <c r="AF26" s="68">
        <v>13.153333999999999</v>
      </c>
      <c r="AG26" s="71">
        <v>4.0534000000000001E-2</v>
      </c>
      <c r="AH26">
        <v>6.5260220000000002</v>
      </c>
      <c r="AI26">
        <v>6.844849</v>
      </c>
      <c r="AJ26" s="22">
        <v>5.8000000000000003E-2</v>
      </c>
    </row>
    <row r="27" spans="1:36" ht="36.5">
      <c r="A27" s="39" t="s">
        <v>2193</v>
      </c>
      <c r="B27" s="67" t="s">
        <v>2181</v>
      </c>
      <c r="C27" s="68">
        <v>268.642517</v>
      </c>
      <c r="D27" s="68">
        <v>268.125092</v>
      </c>
      <c r="E27" s="68">
        <v>264.92746</v>
      </c>
      <c r="F27" s="68">
        <v>260.09613000000002</v>
      </c>
      <c r="G27" s="68">
        <v>256.220215</v>
      </c>
      <c r="H27" s="68">
        <v>253.049271</v>
      </c>
      <c r="I27" s="68">
        <v>251.487122</v>
      </c>
      <c r="J27" s="68">
        <v>251.19589199999999</v>
      </c>
      <c r="K27" s="68">
        <v>251.62777700000001</v>
      </c>
      <c r="L27" s="68">
        <v>252.52041600000001</v>
      </c>
      <c r="M27" s="68">
        <v>253.80427599999999</v>
      </c>
      <c r="N27" s="68">
        <v>255.89063999999999</v>
      </c>
      <c r="O27" s="68">
        <v>258.78051799999997</v>
      </c>
      <c r="P27" s="68">
        <v>261.80850199999998</v>
      </c>
      <c r="Q27" s="68">
        <v>264.92379799999998</v>
      </c>
      <c r="R27" s="68">
        <v>268.29809599999999</v>
      </c>
      <c r="S27" s="68">
        <v>272.10479700000002</v>
      </c>
      <c r="T27" s="68">
        <v>275.93069500000001</v>
      </c>
      <c r="U27" s="68">
        <v>279.81314099999997</v>
      </c>
      <c r="V27" s="68">
        <v>283.46228000000002</v>
      </c>
      <c r="W27" s="68">
        <v>287.533051</v>
      </c>
      <c r="X27" s="68">
        <v>291.597443</v>
      </c>
      <c r="Y27" s="68">
        <v>296.498627</v>
      </c>
      <c r="Z27" s="68">
        <v>301.61779799999999</v>
      </c>
      <c r="AA27" s="68">
        <v>306.76580799999999</v>
      </c>
      <c r="AB27" s="68">
        <v>312.85644500000001</v>
      </c>
      <c r="AC27" s="68">
        <v>317.753174</v>
      </c>
      <c r="AD27" s="68">
        <v>322.09628300000003</v>
      </c>
      <c r="AE27" s="68">
        <v>326.56167599999998</v>
      </c>
      <c r="AF27" s="68">
        <v>331.52713</v>
      </c>
      <c r="AG27" s="71">
        <v>7.2789999999999999E-3</v>
      </c>
      <c r="AH27">
        <v>3.1706829999999999</v>
      </c>
      <c r="AI27">
        <v>3.3523640000000001</v>
      </c>
      <c r="AJ27" s="22">
        <v>2.5999999999999999E-2</v>
      </c>
    </row>
    <row r="28" spans="1:36">
      <c r="A28" s="39" t="s">
        <v>2194</v>
      </c>
      <c r="B28" s="67" t="s">
        <v>2185</v>
      </c>
      <c r="C28" s="68">
        <v>0.17543500000000001</v>
      </c>
      <c r="D28" s="68">
        <v>0.34534700000000002</v>
      </c>
      <c r="E28" s="68">
        <v>0.50648599999999999</v>
      </c>
      <c r="F28" s="68">
        <v>0.65390000000000004</v>
      </c>
      <c r="G28" s="68">
        <v>0.78983499999999995</v>
      </c>
      <c r="H28" s="68">
        <v>0.92176800000000003</v>
      </c>
      <c r="I28" s="68">
        <v>1.0287200000000001</v>
      </c>
      <c r="J28" s="68">
        <v>1.1073219999999999</v>
      </c>
      <c r="K28" s="68">
        <v>1.1855770000000001</v>
      </c>
      <c r="L28" s="68">
        <v>1.2613510000000001</v>
      </c>
      <c r="M28" s="68">
        <v>1.335191</v>
      </c>
      <c r="N28" s="68">
        <v>1.4077059999999999</v>
      </c>
      <c r="O28" s="68">
        <v>1.4807189999999999</v>
      </c>
      <c r="P28" s="68">
        <v>1.5540639999999999</v>
      </c>
      <c r="Q28" s="68">
        <v>1.6282369999999999</v>
      </c>
      <c r="R28" s="68">
        <v>1.7046889999999999</v>
      </c>
      <c r="S28" s="68">
        <v>1.7853129999999999</v>
      </c>
      <c r="T28" s="68">
        <v>1.868547</v>
      </c>
      <c r="U28" s="68">
        <v>1.9531689999999999</v>
      </c>
      <c r="V28" s="68">
        <v>2.0406149999999998</v>
      </c>
      <c r="W28" s="68">
        <v>2.1317349999999999</v>
      </c>
      <c r="X28" s="68">
        <v>2.2261380000000002</v>
      </c>
      <c r="Y28" s="68">
        <v>2.3222649999999998</v>
      </c>
      <c r="Z28" s="68">
        <v>2.418539</v>
      </c>
      <c r="AA28" s="68">
        <v>2.5175900000000002</v>
      </c>
      <c r="AB28" s="68">
        <v>2.6219100000000002</v>
      </c>
      <c r="AC28" s="68">
        <v>2.7263829999999998</v>
      </c>
      <c r="AD28" s="68">
        <v>2.8311959999999998</v>
      </c>
      <c r="AE28" s="68">
        <v>2.9450440000000002</v>
      </c>
      <c r="AF28" s="68">
        <v>3.0714039999999998</v>
      </c>
      <c r="AG28" s="71">
        <v>0.10374700000000001</v>
      </c>
      <c r="AH28">
        <v>0.39459899999999998</v>
      </c>
      <c r="AI28">
        <v>0.41319299999999998</v>
      </c>
      <c r="AJ28" s="22">
        <v>0.06</v>
      </c>
    </row>
    <row r="29" spans="1:36" ht="48.5">
      <c r="A29" s="39" t="s">
        <v>2195</v>
      </c>
      <c r="B29" s="67" t="s">
        <v>2183</v>
      </c>
      <c r="C29" s="68">
        <v>1.0068790000000001</v>
      </c>
      <c r="D29" s="68">
        <v>0.99420200000000003</v>
      </c>
      <c r="E29" s="68">
        <v>1.0079629999999999</v>
      </c>
      <c r="F29" s="68">
        <v>1.007701</v>
      </c>
      <c r="G29" s="68">
        <v>0.97740000000000005</v>
      </c>
      <c r="H29" s="68">
        <v>0.939724</v>
      </c>
      <c r="I29" s="68">
        <v>0.89875899999999997</v>
      </c>
      <c r="J29" s="68">
        <v>0.858267</v>
      </c>
      <c r="K29" s="68">
        <v>0.82132300000000003</v>
      </c>
      <c r="L29" s="68">
        <v>0.78721799999999997</v>
      </c>
      <c r="M29" s="68">
        <v>0.75648499999999996</v>
      </c>
      <c r="N29" s="68">
        <v>0.73018499999999997</v>
      </c>
      <c r="O29" s="68">
        <v>0.708314</v>
      </c>
      <c r="P29" s="68">
        <v>0.69103800000000004</v>
      </c>
      <c r="Q29" s="68">
        <v>0.67702799999999996</v>
      </c>
      <c r="R29" s="68">
        <v>0.66500700000000001</v>
      </c>
      <c r="S29" s="68">
        <v>0.65533399999999997</v>
      </c>
      <c r="T29" s="68">
        <v>0.64680300000000002</v>
      </c>
      <c r="U29" s="68">
        <v>0.64005699999999999</v>
      </c>
      <c r="V29" s="68">
        <v>0.63469399999999998</v>
      </c>
      <c r="W29" s="68">
        <v>0.63115100000000002</v>
      </c>
      <c r="X29" s="68">
        <v>0.62939599999999996</v>
      </c>
      <c r="Y29" s="68">
        <v>0.62889499999999998</v>
      </c>
      <c r="Z29" s="68">
        <v>0.62921099999999996</v>
      </c>
      <c r="AA29" s="68">
        <v>0.63126599999999999</v>
      </c>
      <c r="AB29" s="68">
        <v>0.63462499999999999</v>
      </c>
      <c r="AC29" s="68">
        <v>0.63616200000000001</v>
      </c>
      <c r="AD29" s="68">
        <v>0.64023300000000005</v>
      </c>
      <c r="AE29" s="68">
        <v>0.64914099999999997</v>
      </c>
      <c r="AF29" s="68">
        <v>0.66471599999999997</v>
      </c>
      <c r="AG29" s="71">
        <v>-1.4217E-2</v>
      </c>
      <c r="AH29">
        <v>5.6316069999999998</v>
      </c>
      <c r="AI29">
        <v>5.9356090000000004</v>
      </c>
      <c r="AJ29" s="22">
        <v>0.128</v>
      </c>
    </row>
    <row r="30" spans="1:36">
      <c r="A30" s="39" t="s">
        <v>2196</v>
      </c>
      <c r="B30" s="67" t="s">
        <v>2187</v>
      </c>
      <c r="C30" s="68">
        <v>5.9900000000000003E-4</v>
      </c>
      <c r="D30" s="68">
        <v>1.165E-3</v>
      </c>
      <c r="E30" s="68">
        <v>1.684E-3</v>
      </c>
      <c r="F30" s="68">
        <v>2.1419999999999998E-3</v>
      </c>
      <c r="G30" s="68">
        <v>2.5490000000000001E-3</v>
      </c>
      <c r="H30" s="68">
        <v>2.9290000000000002E-3</v>
      </c>
      <c r="I30" s="68">
        <v>3.2179999999999999E-3</v>
      </c>
      <c r="J30" s="68">
        <v>3.3960000000000001E-3</v>
      </c>
      <c r="K30" s="68">
        <v>3.5660000000000002E-3</v>
      </c>
      <c r="L30" s="68">
        <v>3.7239999999999999E-3</v>
      </c>
      <c r="M30" s="68">
        <v>3.869E-3</v>
      </c>
      <c r="N30" s="68">
        <v>4.0029999999999996E-3</v>
      </c>
      <c r="O30" s="68">
        <v>4.1310000000000001E-3</v>
      </c>
      <c r="P30" s="68">
        <v>4.2519999999999997E-3</v>
      </c>
      <c r="Q30" s="68">
        <v>4.3660000000000001E-3</v>
      </c>
      <c r="R30" s="68">
        <v>4.4759999999999999E-3</v>
      </c>
      <c r="S30" s="68">
        <v>4.5859999999999998E-3</v>
      </c>
      <c r="T30" s="68">
        <v>4.6909999999999999E-3</v>
      </c>
      <c r="U30" s="68">
        <v>4.79E-3</v>
      </c>
      <c r="V30" s="68">
        <v>4.8849999999999996E-3</v>
      </c>
      <c r="W30" s="68">
        <v>4.9810000000000002E-3</v>
      </c>
      <c r="X30" s="68">
        <v>5.0769999999999999E-3</v>
      </c>
      <c r="Y30" s="68">
        <v>5.1710000000000002E-3</v>
      </c>
      <c r="Z30" s="68">
        <v>5.2579999999999997E-3</v>
      </c>
      <c r="AA30" s="68">
        <v>5.3449999999999999E-3</v>
      </c>
      <c r="AB30" s="68">
        <v>5.4349999999999997E-3</v>
      </c>
      <c r="AC30" s="68">
        <v>5.5189999999999996E-3</v>
      </c>
      <c r="AD30" s="68">
        <v>5.5950000000000001E-3</v>
      </c>
      <c r="AE30" s="68">
        <v>5.6800000000000002E-3</v>
      </c>
      <c r="AF30" s="68">
        <v>5.7790000000000003E-3</v>
      </c>
      <c r="AG30" s="71">
        <v>8.1298999999999996E-2</v>
      </c>
      <c r="AH30">
        <v>435.12530500000003</v>
      </c>
      <c r="AI30">
        <v>437.26293900000002</v>
      </c>
      <c r="AJ30" s="22">
        <v>-2E-3</v>
      </c>
    </row>
    <row r="31" spans="1:36">
      <c r="A31" s="39" t="s">
        <v>2197</v>
      </c>
      <c r="B31" s="67" t="s">
        <v>2189</v>
      </c>
      <c r="C31" s="68">
        <v>0</v>
      </c>
      <c r="D31" s="68">
        <v>0</v>
      </c>
      <c r="E31" s="68">
        <v>0</v>
      </c>
      <c r="F31" s="68">
        <v>0</v>
      </c>
      <c r="G31" s="68">
        <v>0</v>
      </c>
      <c r="H31" s="68">
        <v>0</v>
      </c>
      <c r="I31" s="68">
        <v>0</v>
      </c>
      <c r="J31" s="68">
        <v>0</v>
      </c>
      <c r="K31" s="68">
        <v>0</v>
      </c>
      <c r="L31" s="68">
        <v>0</v>
      </c>
      <c r="M31" s="68">
        <v>0</v>
      </c>
      <c r="N31" s="68">
        <v>0</v>
      </c>
      <c r="O31" s="68">
        <v>0</v>
      </c>
      <c r="P31" s="68">
        <v>0</v>
      </c>
      <c r="Q31" s="68">
        <v>0</v>
      </c>
      <c r="R31" s="68">
        <v>0</v>
      </c>
      <c r="S31" s="68">
        <v>0</v>
      </c>
      <c r="T31" s="68">
        <v>0</v>
      </c>
      <c r="U31" s="68">
        <v>0</v>
      </c>
      <c r="V31" s="68">
        <v>0</v>
      </c>
      <c r="W31" s="68">
        <v>0</v>
      </c>
      <c r="X31" s="68">
        <v>0</v>
      </c>
      <c r="Y31" s="68">
        <v>0</v>
      </c>
      <c r="Z31" s="68">
        <v>0</v>
      </c>
      <c r="AA31" s="68">
        <v>0</v>
      </c>
      <c r="AB31" s="68">
        <v>0</v>
      </c>
      <c r="AC31" s="68">
        <v>0</v>
      </c>
      <c r="AD31" s="68">
        <v>0</v>
      </c>
      <c r="AE31" s="68">
        <v>0</v>
      </c>
      <c r="AF31" s="68">
        <v>0</v>
      </c>
      <c r="AG31" s="71" t="s">
        <v>2198</v>
      </c>
      <c r="AH31">
        <v>248.602814</v>
      </c>
      <c r="AI31">
        <v>244.09139999999999</v>
      </c>
      <c r="AJ31" s="22">
        <v>-2.1999999999999999E-2</v>
      </c>
    </row>
    <row r="32" spans="1:36">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v>0</v>
      </c>
      <c r="AI32">
        <v>0</v>
      </c>
      <c r="AJ32" t="s">
        <v>111</v>
      </c>
    </row>
    <row r="33" spans="1:36" ht="24.5">
      <c r="A33" s="39" t="s">
        <v>2199</v>
      </c>
      <c r="B33" s="66" t="s">
        <v>2200</v>
      </c>
      <c r="C33" s="69">
        <v>5569.2719729999999</v>
      </c>
      <c r="D33" s="69">
        <v>5649.5097660000001</v>
      </c>
      <c r="E33" s="69">
        <v>5670.9580079999996</v>
      </c>
      <c r="F33" s="69">
        <v>5665.5717770000001</v>
      </c>
      <c r="G33" s="69">
        <v>5658.5766599999997</v>
      </c>
      <c r="H33" s="69">
        <v>5631.4038090000004</v>
      </c>
      <c r="I33" s="69">
        <v>5582.7319340000004</v>
      </c>
      <c r="J33" s="69">
        <v>5544.029297</v>
      </c>
      <c r="K33" s="69">
        <v>5507.4682620000003</v>
      </c>
      <c r="L33" s="69">
        <v>5466.3779299999997</v>
      </c>
      <c r="M33" s="69">
        <v>5425.6215819999998</v>
      </c>
      <c r="N33" s="69">
        <v>5390.0795900000003</v>
      </c>
      <c r="O33" s="69">
        <v>5360.4155270000001</v>
      </c>
      <c r="P33" s="69">
        <v>5334.1704099999997</v>
      </c>
      <c r="Q33" s="69">
        <v>5316.8237300000001</v>
      </c>
      <c r="R33" s="69">
        <v>5305.4541019999997</v>
      </c>
      <c r="S33" s="69">
        <v>5305.1635740000002</v>
      </c>
      <c r="T33" s="69">
        <v>5310.3725590000004</v>
      </c>
      <c r="U33" s="69">
        <v>5318.4970700000003</v>
      </c>
      <c r="V33" s="69">
        <v>5330.435547</v>
      </c>
      <c r="W33" s="69">
        <v>5350.3930659999996</v>
      </c>
      <c r="X33" s="69">
        <v>5378.455078</v>
      </c>
      <c r="Y33" s="69">
        <v>5406.6201170000004</v>
      </c>
      <c r="Z33" s="69">
        <v>5437.1547849999997</v>
      </c>
      <c r="AA33" s="69">
        <v>5469.4423829999996</v>
      </c>
      <c r="AB33" s="69">
        <v>5506.4965819999998</v>
      </c>
      <c r="AC33" s="69">
        <v>5534.533203</v>
      </c>
      <c r="AD33" s="69">
        <v>5554.2827150000003</v>
      </c>
      <c r="AE33" s="69">
        <v>5588.216797</v>
      </c>
      <c r="AF33" s="69">
        <v>5636.1411129999997</v>
      </c>
      <c r="AG33" s="72">
        <v>4.1199999999999999E-4</v>
      </c>
      <c r="AH33">
        <v>0</v>
      </c>
      <c r="AI33">
        <v>0</v>
      </c>
      <c r="AJ33" t="s">
        <v>111</v>
      </c>
    </row>
    <row r="34" spans="1:36" ht="24.5">
      <c r="A34" s="39" t="s">
        <v>2201</v>
      </c>
      <c r="B34" s="67" t="s">
        <v>2202</v>
      </c>
      <c r="C34" s="68">
        <v>542.42627000000005</v>
      </c>
      <c r="D34" s="68">
        <v>542.14465299999995</v>
      </c>
      <c r="E34" s="68">
        <v>538.33727999999996</v>
      </c>
      <c r="F34" s="68">
        <v>534.45135500000004</v>
      </c>
      <c r="G34" s="68">
        <v>532.07110599999999</v>
      </c>
      <c r="H34" s="68">
        <v>530.26318400000002</v>
      </c>
      <c r="I34" s="68">
        <v>528.99560499999995</v>
      </c>
      <c r="J34" s="68">
        <v>531.24078399999996</v>
      </c>
      <c r="K34" s="68">
        <v>535.62042199999996</v>
      </c>
      <c r="L34" s="68">
        <v>540.57415800000001</v>
      </c>
      <c r="M34" s="68">
        <v>546.10522500000002</v>
      </c>
      <c r="N34" s="68">
        <v>553.47820999999999</v>
      </c>
      <c r="O34" s="68">
        <v>561.97143600000004</v>
      </c>
      <c r="P34" s="68">
        <v>571.28845200000001</v>
      </c>
      <c r="Q34" s="68">
        <v>581.83612100000005</v>
      </c>
      <c r="R34" s="68">
        <v>593.38824499999998</v>
      </c>
      <c r="S34" s="68">
        <v>607.09887700000002</v>
      </c>
      <c r="T34" s="68">
        <v>620.73406999999997</v>
      </c>
      <c r="U34" s="68">
        <v>635.69976799999995</v>
      </c>
      <c r="V34" s="68">
        <v>651.12866199999996</v>
      </c>
      <c r="W34" s="68">
        <v>668.65380900000002</v>
      </c>
      <c r="X34" s="68">
        <v>687.60571300000004</v>
      </c>
      <c r="Y34" s="68">
        <v>706.99609399999997</v>
      </c>
      <c r="Z34" s="68">
        <v>727.34741199999996</v>
      </c>
      <c r="AA34" s="68">
        <v>748.41870100000006</v>
      </c>
      <c r="AB34" s="68">
        <v>770.70361300000002</v>
      </c>
      <c r="AC34" s="68">
        <v>792.29974400000003</v>
      </c>
      <c r="AD34" s="68">
        <v>813.28997800000002</v>
      </c>
      <c r="AE34" s="68">
        <v>836.60589600000003</v>
      </c>
      <c r="AF34" s="68">
        <v>861.77056900000002</v>
      </c>
      <c r="AG34" s="71">
        <v>1.6091000000000001E-2</v>
      </c>
      <c r="AH34">
        <v>186.522491</v>
      </c>
      <c r="AI34">
        <v>193.17152400000001</v>
      </c>
      <c r="AJ34" s="22">
        <v>0.182</v>
      </c>
    </row>
    <row r="35" spans="1:36" ht="36.5">
      <c r="A35" s="39" t="s">
        <v>2203</v>
      </c>
      <c r="B35" s="67" t="s">
        <v>2181</v>
      </c>
      <c r="C35" s="68">
        <v>4976.689453</v>
      </c>
      <c r="D35" s="68">
        <v>5055.3876950000003</v>
      </c>
      <c r="E35" s="68">
        <v>5079.8876950000003</v>
      </c>
      <c r="F35" s="68">
        <v>5078.1098629999997</v>
      </c>
      <c r="G35" s="68">
        <v>5073.4624020000001</v>
      </c>
      <c r="H35" s="68">
        <v>5048.3701170000004</v>
      </c>
      <c r="I35" s="68">
        <v>5001.4560549999997</v>
      </c>
      <c r="J35" s="68">
        <v>4960.8745120000003</v>
      </c>
      <c r="K35" s="68">
        <v>4920.2299800000001</v>
      </c>
      <c r="L35" s="68">
        <v>4874.4697269999997</v>
      </c>
      <c r="M35" s="68">
        <v>4828.3608400000003</v>
      </c>
      <c r="N35" s="68">
        <v>4785.4204099999997</v>
      </c>
      <c r="O35" s="68">
        <v>4746.9272460000002</v>
      </c>
      <c r="P35" s="68">
        <v>4710.8579099999997</v>
      </c>
      <c r="Q35" s="68">
        <v>4682.1533200000003</v>
      </c>
      <c r="R35" s="68">
        <v>4658.1376950000003</v>
      </c>
      <c r="S35" s="68">
        <v>4642.6943359999996</v>
      </c>
      <c r="T35" s="68">
        <v>4632.513672</v>
      </c>
      <c r="U35" s="68">
        <v>4623.5385740000002</v>
      </c>
      <c r="V35" s="68">
        <v>4617.484375</v>
      </c>
      <c r="W35" s="68">
        <v>4616.8857420000004</v>
      </c>
      <c r="X35" s="68">
        <v>4622.5307620000003</v>
      </c>
      <c r="Y35" s="68">
        <v>4627.5087890000004</v>
      </c>
      <c r="Z35" s="68">
        <v>4633.4614259999998</v>
      </c>
      <c r="AA35" s="68">
        <v>4639.9770509999998</v>
      </c>
      <c r="AB35" s="68">
        <v>4649.4360349999997</v>
      </c>
      <c r="AC35" s="68">
        <v>4650.1777339999999</v>
      </c>
      <c r="AD35" s="68">
        <v>4642.8535160000001</v>
      </c>
      <c r="AE35" s="68">
        <v>4646.4609380000002</v>
      </c>
      <c r="AF35" s="68">
        <v>4661.1557620000003</v>
      </c>
      <c r="AG35" s="71">
        <v>-2.2560000000000002E-3</v>
      </c>
      <c r="AH35">
        <v>46.348914999999998</v>
      </c>
      <c r="AI35">
        <v>46.08128</v>
      </c>
      <c r="AJ35" s="22">
        <v>-1.7000000000000001E-2</v>
      </c>
    </row>
    <row r="36" spans="1:36" ht="48.5">
      <c r="A36" s="39" t="s">
        <v>2204</v>
      </c>
      <c r="B36" s="67" t="s">
        <v>2183</v>
      </c>
      <c r="C36" s="68">
        <v>46.997394999999997</v>
      </c>
      <c r="D36" s="68">
        <v>48.367187999999999</v>
      </c>
      <c r="E36" s="68">
        <v>48.840888999999997</v>
      </c>
      <c r="F36" s="68">
        <v>48.741549999999997</v>
      </c>
      <c r="G36" s="68">
        <v>48.394592000000003</v>
      </c>
      <c r="H36" s="68">
        <v>47.769526999999997</v>
      </c>
      <c r="I36" s="68">
        <v>46.945366</v>
      </c>
      <c r="J36" s="68">
        <v>46.237301000000002</v>
      </c>
      <c r="K36" s="68">
        <v>45.587302999999999</v>
      </c>
      <c r="L36" s="68">
        <v>44.961219999999997</v>
      </c>
      <c r="M36" s="68">
        <v>44.450096000000002</v>
      </c>
      <c r="N36" s="68">
        <v>44.134995000000004</v>
      </c>
      <c r="O36" s="68">
        <v>44.093451999999999</v>
      </c>
      <c r="P36" s="68">
        <v>44.283028000000002</v>
      </c>
      <c r="Q36" s="68">
        <v>44.730705</v>
      </c>
      <c r="R36" s="68">
        <v>45.414245999999999</v>
      </c>
      <c r="S36" s="68">
        <v>46.434826000000001</v>
      </c>
      <c r="T36" s="68">
        <v>47.786712999999999</v>
      </c>
      <c r="U36" s="68">
        <v>49.478347999999997</v>
      </c>
      <c r="V36" s="68">
        <v>51.585850000000001</v>
      </c>
      <c r="W36" s="68">
        <v>54.127968000000003</v>
      </c>
      <c r="X36" s="68">
        <v>57.057158999999999</v>
      </c>
      <c r="Y36" s="68">
        <v>60.303584999999998</v>
      </c>
      <c r="Z36" s="68">
        <v>63.959395999999998</v>
      </c>
      <c r="AA36" s="68">
        <v>68.052475000000001</v>
      </c>
      <c r="AB36" s="68">
        <v>72.714104000000006</v>
      </c>
      <c r="AC36" s="68">
        <v>77.749099999999999</v>
      </c>
      <c r="AD36" s="68">
        <v>83.156768999999997</v>
      </c>
      <c r="AE36" s="68">
        <v>89.427291999999994</v>
      </c>
      <c r="AF36" s="68">
        <v>96.668953000000002</v>
      </c>
      <c r="AG36" s="71">
        <v>2.5180999999999999E-2</v>
      </c>
      <c r="AH36">
        <v>44.682087000000003</v>
      </c>
      <c r="AI36">
        <v>44.326450000000001</v>
      </c>
      <c r="AJ36" s="22">
        <v>-1.7000000000000001E-2</v>
      </c>
    </row>
    <row r="37" spans="1:36">
      <c r="A37" s="39" t="s">
        <v>2205</v>
      </c>
      <c r="B37" s="67" t="s">
        <v>2185</v>
      </c>
      <c r="C37" s="68">
        <v>1.3243100000000001</v>
      </c>
      <c r="D37" s="68">
        <v>1.516086</v>
      </c>
      <c r="E37" s="68">
        <v>1.6933130000000001</v>
      </c>
      <c r="F37" s="68">
        <v>1.8586180000000001</v>
      </c>
      <c r="G37" s="68">
        <v>2.019209</v>
      </c>
      <c r="H37" s="68">
        <v>2.1709540000000001</v>
      </c>
      <c r="I37" s="68">
        <v>2.309936</v>
      </c>
      <c r="J37" s="68">
        <v>2.4498190000000002</v>
      </c>
      <c r="K37" s="68">
        <v>2.5863390000000002</v>
      </c>
      <c r="L37" s="68">
        <v>2.7183259999999998</v>
      </c>
      <c r="M37" s="68">
        <v>2.8477730000000001</v>
      </c>
      <c r="N37" s="68">
        <v>2.9795199999999999</v>
      </c>
      <c r="O37" s="68">
        <v>3.1201539999999999</v>
      </c>
      <c r="P37" s="68">
        <v>3.2687210000000002</v>
      </c>
      <c r="Q37" s="68">
        <v>3.4208910000000001</v>
      </c>
      <c r="R37" s="68">
        <v>3.5789550000000001</v>
      </c>
      <c r="S37" s="68">
        <v>3.7479100000000001</v>
      </c>
      <c r="T37" s="68">
        <v>3.9238650000000002</v>
      </c>
      <c r="U37" s="68">
        <v>4.1086</v>
      </c>
      <c r="V37" s="68">
        <v>4.3069369999999996</v>
      </c>
      <c r="W37" s="68">
        <v>4.5213640000000002</v>
      </c>
      <c r="X37" s="68">
        <v>4.745323</v>
      </c>
      <c r="Y37" s="68">
        <v>4.9734220000000002</v>
      </c>
      <c r="Z37" s="68">
        <v>5.208405</v>
      </c>
      <c r="AA37" s="68">
        <v>5.4531479999999997</v>
      </c>
      <c r="AB37" s="68">
        <v>5.7137700000000002</v>
      </c>
      <c r="AC37" s="68">
        <v>5.9756749999999998</v>
      </c>
      <c r="AD37" s="68">
        <v>6.2400200000000003</v>
      </c>
      <c r="AE37" s="68">
        <v>6.5260220000000002</v>
      </c>
      <c r="AF37" s="68">
        <v>6.844849</v>
      </c>
      <c r="AG37" s="71">
        <v>5.8276000000000001E-2</v>
      </c>
      <c r="AH37">
        <v>0.232824</v>
      </c>
      <c r="AI37">
        <v>0.231458</v>
      </c>
      <c r="AJ37" s="22">
        <v>-6.7000000000000004E-2</v>
      </c>
    </row>
    <row r="38" spans="1:36">
      <c r="A38" s="39" t="s">
        <v>2206</v>
      </c>
      <c r="B38" s="67" t="s">
        <v>2207</v>
      </c>
      <c r="C38" s="68">
        <v>1.578584</v>
      </c>
      <c r="D38" s="68">
        <v>1.642083</v>
      </c>
      <c r="E38" s="68">
        <v>1.5531219999999999</v>
      </c>
      <c r="F38" s="68">
        <v>1.577604</v>
      </c>
      <c r="G38" s="68">
        <v>1.6098710000000001</v>
      </c>
      <c r="H38" s="68">
        <v>1.626797</v>
      </c>
      <c r="I38" s="68">
        <v>1.6437330000000001</v>
      </c>
      <c r="J38" s="68">
        <v>1.666846</v>
      </c>
      <c r="K38" s="68">
        <v>1.7018519999999999</v>
      </c>
      <c r="L38" s="68">
        <v>1.7316370000000001</v>
      </c>
      <c r="M38" s="68">
        <v>1.7555149999999999</v>
      </c>
      <c r="N38" s="68">
        <v>1.785379</v>
      </c>
      <c r="O38" s="68">
        <v>1.843507</v>
      </c>
      <c r="P38" s="68">
        <v>1.834945</v>
      </c>
      <c r="Q38" s="68">
        <v>1.8669020000000001</v>
      </c>
      <c r="R38" s="68">
        <v>1.9379169999999999</v>
      </c>
      <c r="S38" s="68">
        <v>2.0014780000000001</v>
      </c>
      <c r="T38" s="68">
        <v>2.0326149999999998</v>
      </c>
      <c r="U38" s="68">
        <v>2.0868359999999999</v>
      </c>
      <c r="V38" s="68">
        <v>2.1404719999999999</v>
      </c>
      <c r="W38" s="68">
        <v>2.2006700000000001</v>
      </c>
      <c r="X38" s="68">
        <v>2.2882199999999999</v>
      </c>
      <c r="Y38" s="68">
        <v>2.3784920000000001</v>
      </c>
      <c r="Z38" s="68">
        <v>2.4800369999999998</v>
      </c>
      <c r="AA38" s="68">
        <v>2.59565</v>
      </c>
      <c r="AB38" s="68">
        <v>2.7215060000000002</v>
      </c>
      <c r="AC38" s="68">
        <v>2.8599570000000001</v>
      </c>
      <c r="AD38" s="68">
        <v>3.007593</v>
      </c>
      <c r="AE38" s="68">
        <v>3.1706829999999999</v>
      </c>
      <c r="AF38" s="68">
        <v>3.3523640000000001</v>
      </c>
      <c r="AG38" s="71">
        <v>2.631E-2</v>
      </c>
      <c r="AH38">
        <v>0</v>
      </c>
      <c r="AI38">
        <v>0</v>
      </c>
      <c r="AJ38" t="s">
        <v>111</v>
      </c>
    </row>
    <row r="39" spans="1:36">
      <c r="A39" s="39" t="s">
        <v>2208</v>
      </c>
      <c r="B39" s="67" t="s">
        <v>2187</v>
      </c>
      <c r="C39" s="68">
        <v>7.6537999999999995E-2</v>
      </c>
      <c r="D39" s="68">
        <v>9.0200000000000002E-2</v>
      </c>
      <c r="E39" s="68">
        <v>0.103405</v>
      </c>
      <c r="F39" s="68">
        <v>0.116059</v>
      </c>
      <c r="G39" s="68">
        <v>0.12839500000000001</v>
      </c>
      <c r="H39" s="68">
        <v>0.13988100000000001</v>
      </c>
      <c r="I39" s="68">
        <v>0.15033199999999999</v>
      </c>
      <c r="J39" s="68">
        <v>0.16052900000000001</v>
      </c>
      <c r="K39" s="68">
        <v>0.17016100000000001</v>
      </c>
      <c r="L39" s="68">
        <v>0.178865</v>
      </c>
      <c r="M39" s="68">
        <v>0.18687799999999999</v>
      </c>
      <c r="N39" s="68">
        <v>0.19444800000000001</v>
      </c>
      <c r="O39" s="68">
        <v>0.20161399999999999</v>
      </c>
      <c r="P39" s="68">
        <v>0.20866299999999999</v>
      </c>
      <c r="Q39" s="68">
        <v>0.216228</v>
      </c>
      <c r="R39" s="68">
        <v>0.22417000000000001</v>
      </c>
      <c r="S39" s="68">
        <v>0.233181</v>
      </c>
      <c r="T39" s="68">
        <v>0.24357799999999999</v>
      </c>
      <c r="U39" s="68">
        <v>0.25422600000000001</v>
      </c>
      <c r="V39" s="68">
        <v>0.26469500000000001</v>
      </c>
      <c r="W39" s="68">
        <v>0.27645700000000001</v>
      </c>
      <c r="X39" s="68">
        <v>0.28980699999999998</v>
      </c>
      <c r="Y39" s="68">
        <v>0.30384499999999998</v>
      </c>
      <c r="Z39" s="68">
        <v>0.31773099999999999</v>
      </c>
      <c r="AA39" s="68">
        <v>0.332038</v>
      </c>
      <c r="AB39" s="68">
        <v>0.34720000000000001</v>
      </c>
      <c r="AC39" s="68">
        <v>0.36238399999999998</v>
      </c>
      <c r="AD39" s="68">
        <v>0.377662</v>
      </c>
      <c r="AE39" s="68">
        <v>0.39459899999999998</v>
      </c>
      <c r="AF39" s="68">
        <v>0.41319299999999998</v>
      </c>
      <c r="AG39" s="71">
        <v>5.9866000000000003E-2</v>
      </c>
      <c r="AH39">
        <v>1.434007</v>
      </c>
      <c r="AI39">
        <v>1.5233730000000001</v>
      </c>
      <c r="AJ39" s="22">
        <v>4.3999999999999997E-2</v>
      </c>
    </row>
    <row r="40" spans="1:36">
      <c r="A40" s="39" t="s">
        <v>2209</v>
      </c>
      <c r="B40" s="67" t="s">
        <v>2189</v>
      </c>
      <c r="C40" s="68">
        <v>0.17952299999999999</v>
      </c>
      <c r="D40" s="68">
        <v>0.36213600000000001</v>
      </c>
      <c r="E40" s="68">
        <v>0.54206699999999997</v>
      </c>
      <c r="F40" s="68">
        <v>0.71720499999999998</v>
      </c>
      <c r="G40" s="68">
        <v>0.89110400000000001</v>
      </c>
      <c r="H40" s="68">
        <v>1.063266</v>
      </c>
      <c r="I40" s="68">
        <v>1.2310570000000001</v>
      </c>
      <c r="J40" s="68">
        <v>1.39991</v>
      </c>
      <c r="K40" s="68">
        <v>1.5718259999999999</v>
      </c>
      <c r="L40" s="68">
        <v>1.7439750000000001</v>
      </c>
      <c r="M40" s="68">
        <v>1.9156880000000001</v>
      </c>
      <c r="N40" s="68">
        <v>2.0870470000000001</v>
      </c>
      <c r="O40" s="68">
        <v>2.2583690000000001</v>
      </c>
      <c r="P40" s="68">
        <v>2.4285399999999999</v>
      </c>
      <c r="Q40" s="68">
        <v>2.5999759999999998</v>
      </c>
      <c r="R40" s="68">
        <v>2.7732060000000001</v>
      </c>
      <c r="S40" s="68">
        <v>2.952922</v>
      </c>
      <c r="T40" s="68">
        <v>3.1384370000000001</v>
      </c>
      <c r="U40" s="68">
        <v>3.3307549999999999</v>
      </c>
      <c r="V40" s="68">
        <v>3.5242749999999998</v>
      </c>
      <c r="W40" s="68">
        <v>3.726855</v>
      </c>
      <c r="X40" s="68">
        <v>3.9380709999999999</v>
      </c>
      <c r="Y40" s="68">
        <v>4.1557440000000003</v>
      </c>
      <c r="Z40" s="68">
        <v>4.3805110000000003</v>
      </c>
      <c r="AA40" s="68">
        <v>4.6136169999999996</v>
      </c>
      <c r="AB40" s="68">
        <v>4.8605869999999998</v>
      </c>
      <c r="AC40" s="68">
        <v>5.1085190000000003</v>
      </c>
      <c r="AD40" s="68">
        <v>5.3570710000000004</v>
      </c>
      <c r="AE40" s="68">
        <v>5.6316069999999998</v>
      </c>
      <c r="AF40" s="68">
        <v>5.9356090000000004</v>
      </c>
      <c r="AG40" s="71">
        <v>0.12821299999999999</v>
      </c>
      <c r="AH40">
        <v>879.32208300000002</v>
      </c>
      <c r="AI40">
        <v>880.51599099999999</v>
      </c>
      <c r="AJ40" s="22">
        <v>-2E-3</v>
      </c>
    </row>
    <row r="41" spans="1:36">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v>334.09484900000001</v>
      </c>
      <c r="AI41">
        <v>334.64166299999999</v>
      </c>
      <c r="AJ41" s="22">
        <v>-2E-3</v>
      </c>
    </row>
    <row r="42" spans="1:36">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v>447.15524299999998</v>
      </c>
      <c r="AI42">
        <v>448.565247</v>
      </c>
      <c r="AJ42" s="22">
        <v>-6.0000000000000001E-3</v>
      </c>
    </row>
    <row r="43" spans="1:36" ht="24.5">
      <c r="A43" s="39" t="s">
        <v>2210</v>
      </c>
      <c r="B43" s="66" t="s">
        <v>2211</v>
      </c>
      <c r="C43" s="69">
        <v>468.24883999999997</v>
      </c>
      <c r="D43" s="69">
        <v>471.07888800000001</v>
      </c>
      <c r="E43" s="69">
        <v>474.24130200000002</v>
      </c>
      <c r="F43" s="69">
        <v>442.51971400000002</v>
      </c>
      <c r="G43" s="69">
        <v>448.956726</v>
      </c>
      <c r="H43" s="69">
        <v>457.64755200000002</v>
      </c>
      <c r="I43" s="69">
        <v>456.70379600000001</v>
      </c>
      <c r="J43" s="69">
        <v>455.44903599999998</v>
      </c>
      <c r="K43" s="69">
        <v>453.94357300000001</v>
      </c>
      <c r="L43" s="69">
        <v>453.61090100000001</v>
      </c>
      <c r="M43" s="69">
        <v>453.71829200000002</v>
      </c>
      <c r="N43" s="69">
        <v>453.838257</v>
      </c>
      <c r="O43" s="69">
        <v>454.42358400000001</v>
      </c>
      <c r="P43" s="69">
        <v>449.776611</v>
      </c>
      <c r="Q43" s="69">
        <v>447.98791499999999</v>
      </c>
      <c r="R43" s="69">
        <v>443.34918199999998</v>
      </c>
      <c r="S43" s="69">
        <v>443.77777099999997</v>
      </c>
      <c r="T43" s="69">
        <v>443.31896999999998</v>
      </c>
      <c r="U43" s="69">
        <v>442.87756300000001</v>
      </c>
      <c r="V43" s="69">
        <v>441.743042</v>
      </c>
      <c r="W43" s="69">
        <v>441.236176</v>
      </c>
      <c r="X43" s="69">
        <v>441.40057400000001</v>
      </c>
      <c r="Y43" s="69">
        <v>440.00219700000002</v>
      </c>
      <c r="Z43" s="69">
        <v>438.087219</v>
      </c>
      <c r="AA43" s="69">
        <v>437.03344700000002</v>
      </c>
      <c r="AB43" s="69">
        <v>436.80850199999998</v>
      </c>
      <c r="AC43" s="69">
        <v>435.68884300000002</v>
      </c>
      <c r="AD43" s="69">
        <v>435.13897700000001</v>
      </c>
      <c r="AE43" s="69">
        <v>435.12530500000003</v>
      </c>
      <c r="AF43" s="69">
        <v>437.26293900000002</v>
      </c>
      <c r="AG43" s="72">
        <v>-2.3579999999999999E-3</v>
      </c>
      <c r="AH43">
        <v>0</v>
      </c>
      <c r="AI43">
        <v>0</v>
      </c>
      <c r="AJ43" t="s">
        <v>111</v>
      </c>
    </row>
    <row r="44" spans="1:36" ht="36.5">
      <c r="A44" s="39" t="s">
        <v>2212</v>
      </c>
      <c r="B44" s="67" t="s">
        <v>2181</v>
      </c>
      <c r="C44" s="68">
        <v>466.74658199999999</v>
      </c>
      <c r="D44" s="68">
        <v>468.05999800000001</v>
      </c>
      <c r="E44" s="68">
        <v>469.18505900000002</v>
      </c>
      <c r="F44" s="68">
        <v>435.459045</v>
      </c>
      <c r="G44" s="68">
        <v>437.88919099999998</v>
      </c>
      <c r="H44" s="68">
        <v>440.86505099999999</v>
      </c>
      <c r="I44" s="68">
        <v>433.00036599999999</v>
      </c>
      <c r="J44" s="68">
        <v>423.47860700000001</v>
      </c>
      <c r="K44" s="68">
        <v>412.46298200000001</v>
      </c>
      <c r="L44" s="68">
        <v>402.75726300000002</v>
      </c>
      <c r="M44" s="68">
        <v>393.64819299999999</v>
      </c>
      <c r="N44" s="68">
        <v>384.74282799999997</v>
      </c>
      <c r="O44" s="68">
        <v>376.411652</v>
      </c>
      <c r="P44" s="68">
        <v>364.013214</v>
      </c>
      <c r="Q44" s="68">
        <v>354.24575800000002</v>
      </c>
      <c r="R44" s="68">
        <v>342.53298999999998</v>
      </c>
      <c r="S44" s="68">
        <v>334.996399</v>
      </c>
      <c r="T44" s="68">
        <v>326.97082499999999</v>
      </c>
      <c r="U44" s="68">
        <v>319.149719</v>
      </c>
      <c r="V44" s="68">
        <v>311.02734400000003</v>
      </c>
      <c r="W44" s="68">
        <v>303.54150399999997</v>
      </c>
      <c r="X44" s="68">
        <v>296.68661500000002</v>
      </c>
      <c r="Y44" s="68">
        <v>288.96017499999999</v>
      </c>
      <c r="Z44" s="68">
        <v>281.100616</v>
      </c>
      <c r="AA44" s="68">
        <v>273.98956299999998</v>
      </c>
      <c r="AB44" s="68">
        <v>267.56451399999997</v>
      </c>
      <c r="AC44" s="68">
        <v>260.75457799999998</v>
      </c>
      <c r="AD44" s="68">
        <v>254.449524</v>
      </c>
      <c r="AE44" s="68">
        <v>248.602814</v>
      </c>
      <c r="AF44" s="68">
        <v>244.09139999999999</v>
      </c>
      <c r="AG44" s="71">
        <v>-2.2105E-2</v>
      </c>
      <c r="AH44">
        <v>98.071976000000006</v>
      </c>
      <c r="AI44">
        <v>97.309059000000005</v>
      </c>
      <c r="AJ44" s="22">
        <v>3.1E-2</v>
      </c>
    </row>
    <row r="45" spans="1:36" ht="24.5">
      <c r="A45" s="39" t="s">
        <v>2213</v>
      </c>
      <c r="B45" s="67" t="s">
        <v>2214</v>
      </c>
      <c r="C45" s="68">
        <v>0</v>
      </c>
      <c r="D45" s="68">
        <v>0</v>
      </c>
      <c r="E45" s="68">
        <v>0</v>
      </c>
      <c r="F45" s="68">
        <v>0</v>
      </c>
      <c r="G45" s="68">
        <v>0</v>
      </c>
      <c r="H45" s="68">
        <v>0</v>
      </c>
      <c r="I45" s="68">
        <v>0</v>
      </c>
      <c r="J45" s="68">
        <v>0</v>
      </c>
      <c r="K45" s="68">
        <v>0</v>
      </c>
      <c r="L45" s="68">
        <v>0</v>
      </c>
      <c r="M45" s="68">
        <v>0</v>
      </c>
      <c r="N45" s="68">
        <v>0</v>
      </c>
      <c r="O45" s="68">
        <v>0</v>
      </c>
      <c r="P45" s="68">
        <v>0</v>
      </c>
      <c r="Q45" s="68">
        <v>0</v>
      </c>
      <c r="R45" s="68">
        <v>0</v>
      </c>
      <c r="S45" s="68">
        <v>0</v>
      </c>
      <c r="T45" s="68">
        <v>0</v>
      </c>
      <c r="U45" s="68">
        <v>0</v>
      </c>
      <c r="V45" s="68">
        <v>0</v>
      </c>
      <c r="W45" s="68">
        <v>0</v>
      </c>
      <c r="X45" s="68">
        <v>0</v>
      </c>
      <c r="Y45" s="68">
        <v>0</v>
      </c>
      <c r="Z45" s="68">
        <v>0</v>
      </c>
      <c r="AA45" s="68">
        <v>0</v>
      </c>
      <c r="AB45" s="68">
        <v>0</v>
      </c>
      <c r="AC45" s="68">
        <v>0</v>
      </c>
      <c r="AD45" s="68">
        <v>0</v>
      </c>
      <c r="AE45" s="68">
        <v>0</v>
      </c>
      <c r="AF45" s="68">
        <v>0</v>
      </c>
      <c r="AG45" s="71" t="s">
        <v>2198</v>
      </c>
      <c r="AH45">
        <v>4144.0703119999998</v>
      </c>
      <c r="AI45">
        <v>4203.2158200000003</v>
      </c>
      <c r="AJ45" s="22">
        <v>2.1000000000000001E-2</v>
      </c>
    </row>
    <row r="46" spans="1:36" ht="48.5">
      <c r="A46" s="39" t="s">
        <v>2215</v>
      </c>
      <c r="B46" s="67" t="s">
        <v>2216</v>
      </c>
      <c r="C46" s="68">
        <v>0</v>
      </c>
      <c r="D46" s="68">
        <v>0</v>
      </c>
      <c r="E46" s="68">
        <v>0</v>
      </c>
      <c r="F46" s="68">
        <v>0</v>
      </c>
      <c r="G46" s="68">
        <v>0</v>
      </c>
      <c r="H46" s="68">
        <v>0</v>
      </c>
      <c r="I46" s="68">
        <v>0</v>
      </c>
      <c r="J46" s="68">
        <v>0</v>
      </c>
      <c r="K46" s="68">
        <v>0</v>
      </c>
      <c r="L46" s="68">
        <v>0</v>
      </c>
      <c r="M46" s="68">
        <v>0</v>
      </c>
      <c r="N46" s="68">
        <v>0</v>
      </c>
      <c r="O46" s="68">
        <v>0</v>
      </c>
      <c r="P46" s="68">
        <v>0</v>
      </c>
      <c r="Q46" s="68">
        <v>0</v>
      </c>
      <c r="R46" s="68">
        <v>0</v>
      </c>
      <c r="S46" s="68">
        <v>0</v>
      </c>
      <c r="T46" s="68">
        <v>0</v>
      </c>
      <c r="U46" s="68">
        <v>0</v>
      </c>
      <c r="V46" s="68">
        <v>0</v>
      </c>
      <c r="W46" s="68">
        <v>0</v>
      </c>
      <c r="X46" s="68">
        <v>0</v>
      </c>
      <c r="Y46" s="68">
        <v>0</v>
      </c>
      <c r="Z46" s="68">
        <v>0</v>
      </c>
      <c r="AA46" s="68">
        <v>0</v>
      </c>
      <c r="AB46" s="68">
        <v>0</v>
      </c>
      <c r="AC46" s="68">
        <v>0</v>
      </c>
      <c r="AD46" s="68">
        <v>0</v>
      </c>
      <c r="AE46" s="68">
        <v>0</v>
      </c>
      <c r="AF46" s="68">
        <v>0</v>
      </c>
      <c r="AG46" s="71" t="s">
        <v>2198</v>
      </c>
      <c r="AH46">
        <v>4121.7119140000004</v>
      </c>
      <c r="AI46">
        <v>4180.857422</v>
      </c>
      <c r="AJ46" s="22">
        <v>2.1000000000000001E-2</v>
      </c>
    </row>
    <row r="47" spans="1:36" ht="24.5">
      <c r="A47" s="39" t="s">
        <v>2217</v>
      </c>
      <c r="B47" s="67" t="s">
        <v>2218</v>
      </c>
      <c r="C47" s="68">
        <v>1.502254</v>
      </c>
      <c r="D47" s="68">
        <v>3.018894</v>
      </c>
      <c r="E47" s="68">
        <v>5.0562379999999996</v>
      </c>
      <c r="F47" s="68">
        <v>7.0606559999999998</v>
      </c>
      <c r="G47" s="68">
        <v>11.067543000000001</v>
      </c>
      <c r="H47" s="68">
        <v>16.782509000000001</v>
      </c>
      <c r="I47" s="68">
        <v>23.703420999999999</v>
      </c>
      <c r="J47" s="68">
        <v>31.97044</v>
      </c>
      <c r="K47" s="68">
        <v>41.480578999999999</v>
      </c>
      <c r="L47" s="68">
        <v>50.853653000000001</v>
      </c>
      <c r="M47" s="68">
        <v>60.070095000000002</v>
      </c>
      <c r="N47" s="68">
        <v>69.095436000000007</v>
      </c>
      <c r="O47" s="68">
        <v>78.011948000000004</v>
      </c>
      <c r="P47" s="68">
        <v>85.763396999999998</v>
      </c>
      <c r="Q47" s="68">
        <v>93.742142000000001</v>
      </c>
      <c r="R47" s="68">
        <v>100.816208</v>
      </c>
      <c r="S47" s="68">
        <v>108.78138</v>
      </c>
      <c r="T47" s="68">
        <v>116.348152</v>
      </c>
      <c r="U47" s="68">
        <v>123.727859</v>
      </c>
      <c r="V47" s="68">
        <v>130.71568300000001</v>
      </c>
      <c r="W47" s="68">
        <v>137.694672</v>
      </c>
      <c r="X47" s="68">
        <v>144.713943</v>
      </c>
      <c r="Y47" s="68">
        <v>151.04200700000001</v>
      </c>
      <c r="Z47" s="68">
        <v>156.98658800000001</v>
      </c>
      <c r="AA47" s="68">
        <v>163.04388399999999</v>
      </c>
      <c r="AB47" s="68">
        <v>169.243988</v>
      </c>
      <c r="AC47" s="68">
        <v>174.93424999999999</v>
      </c>
      <c r="AD47" s="68">
        <v>180.68945299999999</v>
      </c>
      <c r="AE47" s="68">
        <v>186.522491</v>
      </c>
      <c r="AF47" s="68">
        <v>193.17152400000001</v>
      </c>
      <c r="AG47" s="71">
        <v>0.182309</v>
      </c>
      <c r="AH47">
        <v>22.358381000000001</v>
      </c>
      <c r="AI47">
        <v>22.358315000000001</v>
      </c>
      <c r="AJ47" s="22">
        <v>0</v>
      </c>
    </row>
    <row r="48" spans="1:36">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v>554.37951699999996</v>
      </c>
      <c r="AI48">
        <v>554.70135500000004</v>
      </c>
      <c r="AJ48" s="22">
        <v>1E-3</v>
      </c>
    </row>
    <row r="49" spans="1:36" ht="24.5">
      <c r="A49" s="39" t="s">
        <v>2219</v>
      </c>
      <c r="B49" s="66" t="s">
        <v>150</v>
      </c>
      <c r="C49" s="69">
        <v>75.169692999999995</v>
      </c>
      <c r="D49" s="69">
        <v>77.553368000000006</v>
      </c>
      <c r="E49" s="69">
        <v>76.937827999999996</v>
      </c>
      <c r="F49" s="69">
        <v>74.883780999999999</v>
      </c>
      <c r="G49" s="69">
        <v>73.008735999999999</v>
      </c>
      <c r="H49" s="69">
        <v>70.952270999999996</v>
      </c>
      <c r="I49" s="69">
        <v>68.639519000000007</v>
      </c>
      <c r="J49" s="69">
        <v>66.460136000000006</v>
      </c>
      <c r="K49" s="69">
        <v>64.220459000000005</v>
      </c>
      <c r="L49" s="69">
        <v>62.007294000000002</v>
      </c>
      <c r="M49" s="69">
        <v>60.828522</v>
      </c>
      <c r="N49" s="69">
        <v>59.650131000000002</v>
      </c>
      <c r="O49" s="69">
        <v>58.55489</v>
      </c>
      <c r="P49" s="69">
        <v>57.362952999999997</v>
      </c>
      <c r="Q49" s="69">
        <v>56.156143</v>
      </c>
      <c r="R49" s="69">
        <v>54.998362999999998</v>
      </c>
      <c r="S49" s="69">
        <v>53.933726999999998</v>
      </c>
      <c r="T49" s="69">
        <v>52.840007999999997</v>
      </c>
      <c r="U49" s="69">
        <v>51.828865</v>
      </c>
      <c r="V49" s="69">
        <v>50.803615999999998</v>
      </c>
      <c r="W49" s="69">
        <v>50.346043000000002</v>
      </c>
      <c r="X49" s="69">
        <v>49.869534000000002</v>
      </c>
      <c r="Y49" s="69">
        <v>49.358772000000002</v>
      </c>
      <c r="Z49" s="69">
        <v>48.884739000000003</v>
      </c>
      <c r="AA49" s="69">
        <v>48.413406000000002</v>
      </c>
      <c r="AB49" s="69">
        <v>47.972458000000003</v>
      </c>
      <c r="AC49" s="69">
        <v>47.419342</v>
      </c>
      <c r="AD49" s="69">
        <v>46.793990999999998</v>
      </c>
      <c r="AE49" s="69">
        <v>46.348914999999998</v>
      </c>
      <c r="AF49" s="69">
        <v>46.08128</v>
      </c>
      <c r="AG49" s="72">
        <v>-1.6732E-2</v>
      </c>
      <c r="AH49">
        <v>416.15707400000002</v>
      </c>
      <c r="AI49">
        <v>416.39840700000002</v>
      </c>
      <c r="AJ49" s="22">
        <v>1E-3</v>
      </c>
    </row>
    <row r="50" spans="1:36" ht="36.5">
      <c r="A50" s="39" t="s">
        <v>2220</v>
      </c>
      <c r="B50" s="67" t="s">
        <v>2181</v>
      </c>
      <c r="C50" s="68">
        <v>73.017257999999998</v>
      </c>
      <c r="D50" s="68">
        <v>75.437629999999999</v>
      </c>
      <c r="E50" s="68">
        <v>74.942642000000006</v>
      </c>
      <c r="F50" s="68">
        <v>72.962173000000007</v>
      </c>
      <c r="G50" s="68">
        <v>71.154540999999995</v>
      </c>
      <c r="H50" s="68">
        <v>69.167182999999994</v>
      </c>
      <c r="I50" s="68">
        <v>66.929717999999994</v>
      </c>
      <c r="J50" s="68">
        <v>64.821083000000002</v>
      </c>
      <c r="K50" s="68">
        <v>62.652237</v>
      </c>
      <c r="L50" s="68">
        <v>60.509067999999999</v>
      </c>
      <c r="M50" s="68">
        <v>59.375098999999999</v>
      </c>
      <c r="N50" s="68">
        <v>58.240456000000002</v>
      </c>
      <c r="O50" s="68">
        <v>57.186782999999998</v>
      </c>
      <c r="P50" s="68">
        <v>56.037548000000001</v>
      </c>
      <c r="Q50" s="68">
        <v>54.872925000000002</v>
      </c>
      <c r="R50" s="68">
        <v>53.753525000000003</v>
      </c>
      <c r="S50" s="68">
        <v>52.725825999999998</v>
      </c>
      <c r="T50" s="68">
        <v>51.671089000000002</v>
      </c>
      <c r="U50" s="68">
        <v>50.697575000000001</v>
      </c>
      <c r="V50" s="68">
        <v>49.681941999999999</v>
      </c>
      <c r="W50" s="68">
        <v>49.175784999999998</v>
      </c>
      <c r="X50" s="68">
        <v>48.648246999999998</v>
      </c>
      <c r="Y50" s="68">
        <v>48.084274000000001</v>
      </c>
      <c r="Z50" s="68">
        <v>47.552925000000002</v>
      </c>
      <c r="AA50" s="68">
        <v>47.020828000000002</v>
      </c>
      <c r="AB50" s="68">
        <v>46.514626</v>
      </c>
      <c r="AC50" s="68">
        <v>45.895980999999999</v>
      </c>
      <c r="AD50" s="68">
        <v>45.203902999999997</v>
      </c>
      <c r="AE50" s="68">
        <v>44.682087000000003</v>
      </c>
      <c r="AF50" s="68">
        <v>44.326450000000001</v>
      </c>
      <c r="AG50" s="71">
        <v>-1.7063999999999999E-2</v>
      </c>
      <c r="AH50">
        <v>19.085204999999998</v>
      </c>
      <c r="AI50">
        <v>19.096606999999999</v>
      </c>
      <c r="AJ50" s="22">
        <v>-2E-3</v>
      </c>
    </row>
    <row r="51" spans="1:36" ht="24.5">
      <c r="A51" s="39" t="s">
        <v>2221</v>
      </c>
      <c r="B51" s="67" t="s">
        <v>2222</v>
      </c>
      <c r="C51" s="68">
        <v>1.7114860000000001</v>
      </c>
      <c r="D51" s="68">
        <v>1.6128480000000001</v>
      </c>
      <c r="E51" s="68">
        <v>1.4495020000000001</v>
      </c>
      <c r="F51" s="68">
        <v>1.347504</v>
      </c>
      <c r="G51" s="68">
        <v>1.2532080000000001</v>
      </c>
      <c r="H51" s="68">
        <v>1.1653819999999999</v>
      </c>
      <c r="I51" s="68">
        <v>1.073898</v>
      </c>
      <c r="J51" s="68">
        <v>0.98857200000000001</v>
      </c>
      <c r="K51" s="68">
        <v>0.90627199999999997</v>
      </c>
      <c r="L51" s="68">
        <v>0.82484000000000002</v>
      </c>
      <c r="M51" s="68">
        <v>0.75754299999999997</v>
      </c>
      <c r="N51" s="68">
        <v>0.693527</v>
      </c>
      <c r="O51" s="68">
        <v>0.63092499999999996</v>
      </c>
      <c r="P51" s="68">
        <v>0.57072699999999998</v>
      </c>
      <c r="Q51" s="68">
        <v>0.513567</v>
      </c>
      <c r="R51" s="68">
        <v>0.465084</v>
      </c>
      <c r="S51" s="68">
        <v>0.41512900000000003</v>
      </c>
      <c r="T51" s="68">
        <v>0.36051800000000001</v>
      </c>
      <c r="U51" s="68">
        <v>0.304753</v>
      </c>
      <c r="V51" s="68">
        <v>0.25576300000000002</v>
      </c>
      <c r="W51" s="68">
        <v>0.25337700000000002</v>
      </c>
      <c r="X51" s="68">
        <v>0.25087799999999999</v>
      </c>
      <c r="Y51" s="68">
        <v>0.24824499999999999</v>
      </c>
      <c r="Z51" s="68">
        <v>0.24580399999999999</v>
      </c>
      <c r="AA51" s="68">
        <v>0.24337800000000001</v>
      </c>
      <c r="AB51" s="68">
        <v>0.24110400000000001</v>
      </c>
      <c r="AC51" s="68">
        <v>0.23829500000000001</v>
      </c>
      <c r="AD51" s="68">
        <v>0.23511299999999999</v>
      </c>
      <c r="AE51" s="68">
        <v>0.232824</v>
      </c>
      <c r="AF51" s="68">
        <v>0.231458</v>
      </c>
      <c r="AG51" s="71">
        <v>-6.6664000000000001E-2</v>
      </c>
      <c r="AH51">
        <v>119.13723</v>
      </c>
      <c r="AI51">
        <v>119.206306</v>
      </c>
      <c r="AJ51" s="22">
        <v>1E-3</v>
      </c>
    </row>
    <row r="52" spans="1:36" ht="48.5">
      <c r="A52" s="39" t="s">
        <v>2223</v>
      </c>
      <c r="B52" s="67" t="s">
        <v>2216</v>
      </c>
      <c r="C52" s="68">
        <v>0</v>
      </c>
      <c r="D52" s="68">
        <v>0</v>
      </c>
      <c r="E52" s="68">
        <v>0</v>
      </c>
      <c r="F52" s="68">
        <v>0</v>
      </c>
      <c r="G52" s="68">
        <v>0</v>
      </c>
      <c r="H52" s="68">
        <v>0</v>
      </c>
      <c r="I52" s="68">
        <v>0</v>
      </c>
      <c r="J52" s="68">
        <v>0</v>
      </c>
      <c r="K52" s="68">
        <v>0</v>
      </c>
      <c r="L52" s="68">
        <v>0</v>
      </c>
      <c r="M52" s="68">
        <v>0</v>
      </c>
      <c r="N52" s="68">
        <v>0</v>
      </c>
      <c r="O52" s="68">
        <v>0</v>
      </c>
      <c r="P52" s="68">
        <v>0</v>
      </c>
      <c r="Q52" s="68">
        <v>0</v>
      </c>
      <c r="R52" s="68">
        <v>0</v>
      </c>
      <c r="S52" s="68">
        <v>0</v>
      </c>
      <c r="T52" s="68">
        <v>0</v>
      </c>
      <c r="U52" s="68">
        <v>0</v>
      </c>
      <c r="V52" s="68">
        <v>0</v>
      </c>
      <c r="W52" s="68">
        <v>0</v>
      </c>
      <c r="X52" s="68">
        <v>0</v>
      </c>
      <c r="Y52" s="68">
        <v>0</v>
      </c>
      <c r="Z52" s="68">
        <v>0</v>
      </c>
      <c r="AA52" s="68">
        <v>0</v>
      </c>
      <c r="AB52" s="68">
        <v>0</v>
      </c>
      <c r="AC52" s="68">
        <v>0</v>
      </c>
      <c r="AD52" s="68">
        <v>0</v>
      </c>
      <c r="AE52" s="68">
        <v>0</v>
      </c>
      <c r="AF52" s="68">
        <v>0</v>
      </c>
      <c r="AG52" s="71" t="s">
        <v>2198</v>
      </c>
      <c r="AH52">
        <v>213.01475500000001</v>
      </c>
      <c r="AI52">
        <v>210.57737700000001</v>
      </c>
      <c r="AJ52" s="22">
        <v>6.0000000000000001E-3</v>
      </c>
    </row>
    <row r="53" spans="1:36" ht="24.5">
      <c r="A53" s="39" t="s">
        <v>2224</v>
      </c>
      <c r="B53" s="67" t="s">
        <v>2218</v>
      </c>
      <c r="C53" s="68">
        <v>0.440946</v>
      </c>
      <c r="D53" s="68">
        <v>0.50288900000000003</v>
      </c>
      <c r="E53" s="68">
        <v>0.545682</v>
      </c>
      <c r="F53" s="68">
        <v>0.57410099999999997</v>
      </c>
      <c r="G53" s="68">
        <v>0.60097900000000004</v>
      </c>
      <c r="H53" s="68">
        <v>0.61970499999999995</v>
      </c>
      <c r="I53" s="68">
        <v>0.63590100000000005</v>
      </c>
      <c r="J53" s="68">
        <v>0.65048399999999995</v>
      </c>
      <c r="K53" s="68">
        <v>0.66195300000000001</v>
      </c>
      <c r="L53" s="68">
        <v>0.67338399999999998</v>
      </c>
      <c r="M53" s="68">
        <v>0.69588000000000005</v>
      </c>
      <c r="N53" s="68">
        <v>0.71614999999999995</v>
      </c>
      <c r="O53" s="68">
        <v>0.73718399999999995</v>
      </c>
      <c r="P53" s="68">
        <v>0.75467799999999996</v>
      </c>
      <c r="Q53" s="68">
        <v>0.76964900000000003</v>
      </c>
      <c r="R53" s="68">
        <v>0.779756</v>
      </c>
      <c r="S53" s="68">
        <v>0.79277600000000004</v>
      </c>
      <c r="T53" s="68">
        <v>0.80840000000000001</v>
      </c>
      <c r="U53" s="68">
        <v>0.82653799999999999</v>
      </c>
      <c r="V53" s="68">
        <v>0.86590999999999996</v>
      </c>
      <c r="W53" s="68">
        <v>0.916883</v>
      </c>
      <c r="X53" s="68">
        <v>0.97040899999999997</v>
      </c>
      <c r="Y53" s="68">
        <v>1.0262519999999999</v>
      </c>
      <c r="Z53" s="68">
        <v>1.086009</v>
      </c>
      <c r="AA53" s="68">
        <v>1.1492020000000001</v>
      </c>
      <c r="AB53" s="68">
        <v>1.216726</v>
      </c>
      <c r="AC53" s="68">
        <v>1.2850699999999999</v>
      </c>
      <c r="AD53" s="68">
        <v>1.354975</v>
      </c>
      <c r="AE53" s="68">
        <v>1.434007</v>
      </c>
      <c r="AF53" s="68">
        <v>1.5233730000000001</v>
      </c>
      <c r="AG53" s="71">
        <v>4.3677000000000001E-2</v>
      </c>
      <c r="AH53">
        <v>87.816879</v>
      </c>
      <c r="AI53">
        <v>86.980957000000004</v>
      </c>
      <c r="AJ53" s="22">
        <v>5.0000000000000001E-3</v>
      </c>
    </row>
    <row r="54" spans="1:36">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v>11.712026</v>
      </c>
      <c r="AI54">
        <v>11.616365999999999</v>
      </c>
      <c r="AJ54" s="22">
        <v>6.0000000000000001E-3</v>
      </c>
    </row>
    <row r="55" spans="1:36" ht="24.5">
      <c r="A55" s="39" t="s">
        <v>2225</v>
      </c>
      <c r="B55" s="66" t="s">
        <v>151</v>
      </c>
      <c r="C55" s="69">
        <v>927.45135500000004</v>
      </c>
      <c r="D55" s="69">
        <v>990.02081299999998</v>
      </c>
      <c r="E55" s="69">
        <v>884.05950900000005</v>
      </c>
      <c r="F55" s="69">
        <v>884.70709199999999</v>
      </c>
      <c r="G55" s="69">
        <v>887.06121800000005</v>
      </c>
      <c r="H55" s="69">
        <v>885.41760299999999</v>
      </c>
      <c r="I55" s="69">
        <v>881.61273200000005</v>
      </c>
      <c r="J55" s="69">
        <v>880.34258999999997</v>
      </c>
      <c r="K55" s="69">
        <v>880.76928699999996</v>
      </c>
      <c r="L55" s="69">
        <v>879.92974900000002</v>
      </c>
      <c r="M55" s="69">
        <v>884.78594999999996</v>
      </c>
      <c r="N55" s="69">
        <v>884.65515100000005</v>
      </c>
      <c r="O55" s="69">
        <v>885.21844499999997</v>
      </c>
      <c r="P55" s="69">
        <v>886.28894000000003</v>
      </c>
      <c r="Q55" s="69">
        <v>887.35192900000004</v>
      </c>
      <c r="R55" s="69">
        <v>889.09478799999999</v>
      </c>
      <c r="S55" s="69">
        <v>891.03912400000002</v>
      </c>
      <c r="T55" s="69">
        <v>890.64679000000001</v>
      </c>
      <c r="U55" s="69">
        <v>892.27447500000005</v>
      </c>
      <c r="V55" s="69">
        <v>887.78131099999996</v>
      </c>
      <c r="W55" s="69">
        <v>886.33569299999999</v>
      </c>
      <c r="X55" s="69">
        <v>884.98419200000001</v>
      </c>
      <c r="Y55" s="69">
        <v>881.27642800000001</v>
      </c>
      <c r="Z55" s="69">
        <v>879.00164800000005</v>
      </c>
      <c r="AA55" s="69">
        <v>879.11547900000005</v>
      </c>
      <c r="AB55" s="69">
        <v>878.01025400000003</v>
      </c>
      <c r="AC55" s="69">
        <v>877.70593299999996</v>
      </c>
      <c r="AD55" s="69">
        <v>878.74401899999998</v>
      </c>
      <c r="AE55" s="69">
        <v>879.32208300000002</v>
      </c>
      <c r="AF55" s="69">
        <v>880.51599099999999</v>
      </c>
      <c r="AG55" s="72">
        <v>-1.789E-3</v>
      </c>
      <c r="AH55">
        <v>4.9189999999999998E-3</v>
      </c>
      <c r="AI55">
        <v>4.8370000000000002E-3</v>
      </c>
      <c r="AJ55" s="22">
        <v>-2E-3</v>
      </c>
    </row>
    <row r="56" spans="1:36" ht="36.5">
      <c r="A56" s="39" t="s">
        <v>2226</v>
      </c>
      <c r="B56" s="67" t="s">
        <v>2181</v>
      </c>
      <c r="C56" s="68">
        <v>351.65612800000002</v>
      </c>
      <c r="D56" s="68">
        <v>238.17157</v>
      </c>
      <c r="E56" s="68">
        <v>341.49670400000002</v>
      </c>
      <c r="F56" s="68">
        <v>337.37942500000003</v>
      </c>
      <c r="G56" s="68">
        <v>332.16564899999997</v>
      </c>
      <c r="H56" s="68">
        <v>331.91503899999998</v>
      </c>
      <c r="I56" s="68">
        <v>335.13259900000003</v>
      </c>
      <c r="J56" s="68">
        <v>337.84320100000002</v>
      </c>
      <c r="K56" s="68">
        <v>338.748535</v>
      </c>
      <c r="L56" s="68">
        <v>341.154968</v>
      </c>
      <c r="M56" s="68">
        <v>339.24258400000002</v>
      </c>
      <c r="N56" s="68">
        <v>339.37771600000002</v>
      </c>
      <c r="O56" s="68">
        <v>339.98928799999999</v>
      </c>
      <c r="P56" s="68">
        <v>339.515198</v>
      </c>
      <c r="Q56" s="68">
        <v>338.44873000000001</v>
      </c>
      <c r="R56" s="68">
        <v>336.32299799999998</v>
      </c>
      <c r="S56" s="68">
        <v>333.43383799999998</v>
      </c>
      <c r="T56" s="68">
        <v>333.31323200000003</v>
      </c>
      <c r="U56" s="68">
        <v>332.17944299999999</v>
      </c>
      <c r="V56" s="68">
        <v>334.76266500000003</v>
      </c>
      <c r="W56" s="68">
        <v>335.45147700000001</v>
      </c>
      <c r="X56" s="68">
        <v>336.63207999999997</v>
      </c>
      <c r="Y56" s="68">
        <v>337.43170199999997</v>
      </c>
      <c r="Z56" s="68">
        <v>336.05450400000001</v>
      </c>
      <c r="AA56" s="68">
        <v>335.15737899999999</v>
      </c>
      <c r="AB56" s="68">
        <v>333.87554899999998</v>
      </c>
      <c r="AC56" s="68">
        <v>333.81549100000001</v>
      </c>
      <c r="AD56" s="68">
        <v>333.91772500000002</v>
      </c>
      <c r="AE56" s="68">
        <v>334.09484900000001</v>
      </c>
      <c r="AF56" s="68">
        <v>334.64166299999999</v>
      </c>
      <c r="AG56" s="71">
        <v>-1.709E-3</v>
      </c>
      <c r="AH56">
        <v>46.7896</v>
      </c>
      <c r="AI56">
        <v>44.974155000000003</v>
      </c>
      <c r="AJ56" s="22">
        <v>0</v>
      </c>
    </row>
    <row r="57" spans="1:36" ht="24.5">
      <c r="A57" s="39" t="s">
        <v>2227</v>
      </c>
      <c r="B57" s="67" t="s">
        <v>2222</v>
      </c>
      <c r="C57" s="68">
        <v>535.95062299999995</v>
      </c>
      <c r="D57" s="68">
        <v>727.49896200000001</v>
      </c>
      <c r="E57" s="68">
        <v>503.42858899999999</v>
      </c>
      <c r="F57" s="68">
        <v>502.77362099999999</v>
      </c>
      <c r="G57" s="68">
        <v>507.00457799999998</v>
      </c>
      <c r="H57" s="68">
        <v>500.63662699999998</v>
      </c>
      <c r="I57" s="68">
        <v>488.62951700000002</v>
      </c>
      <c r="J57" s="68">
        <v>483.53585800000002</v>
      </c>
      <c r="K57" s="68">
        <v>482.90744000000001</v>
      </c>
      <c r="L57" s="68">
        <v>478.91043100000002</v>
      </c>
      <c r="M57" s="68">
        <v>490.33029199999999</v>
      </c>
      <c r="N57" s="68">
        <v>488.39150999999998</v>
      </c>
      <c r="O57" s="68">
        <v>488.33117700000003</v>
      </c>
      <c r="P57" s="68">
        <v>489.60311899999999</v>
      </c>
      <c r="Q57" s="68">
        <v>490.947113</v>
      </c>
      <c r="R57" s="68">
        <v>494.14855999999997</v>
      </c>
      <c r="S57" s="68">
        <v>497.88388099999997</v>
      </c>
      <c r="T57" s="68">
        <v>495.34140000000002</v>
      </c>
      <c r="U57" s="68">
        <v>498.27636699999999</v>
      </c>
      <c r="V57" s="68">
        <v>484.67297400000001</v>
      </c>
      <c r="W57" s="68">
        <v>479.240387</v>
      </c>
      <c r="X57" s="68">
        <v>474.04070999999999</v>
      </c>
      <c r="Y57" s="68">
        <v>462.37161300000002</v>
      </c>
      <c r="Z57" s="68">
        <v>454.591339</v>
      </c>
      <c r="AA57" s="68">
        <v>453.270355</v>
      </c>
      <c r="AB57" s="68">
        <v>448.61398300000002</v>
      </c>
      <c r="AC57" s="68">
        <v>446.11673000000002</v>
      </c>
      <c r="AD57" s="68">
        <v>447.29937699999999</v>
      </c>
      <c r="AE57" s="68">
        <v>447.15524299999998</v>
      </c>
      <c r="AF57" s="68">
        <v>448.565247</v>
      </c>
      <c r="AG57" s="71">
        <v>-6.1190000000000003E-3</v>
      </c>
      <c r="AH57">
        <v>22.419288999999999</v>
      </c>
      <c r="AI57">
        <v>22.166677</v>
      </c>
      <c r="AJ57" s="22">
        <v>5.0000000000000001E-3</v>
      </c>
    </row>
    <row r="58" spans="1:36" ht="48.5">
      <c r="A58" s="39" t="s">
        <v>2228</v>
      </c>
      <c r="B58" s="67" t="s">
        <v>2216</v>
      </c>
      <c r="C58" s="68">
        <v>0</v>
      </c>
      <c r="D58" s="68">
        <v>0</v>
      </c>
      <c r="E58" s="68">
        <v>0</v>
      </c>
      <c r="F58" s="68">
        <v>0</v>
      </c>
      <c r="G58" s="68">
        <v>0</v>
      </c>
      <c r="H58" s="68">
        <v>0</v>
      </c>
      <c r="I58" s="68">
        <v>0</v>
      </c>
      <c r="J58" s="68">
        <v>0</v>
      </c>
      <c r="K58" s="68">
        <v>0</v>
      </c>
      <c r="L58" s="68">
        <v>0</v>
      </c>
      <c r="M58" s="68">
        <v>0</v>
      </c>
      <c r="N58" s="68">
        <v>0</v>
      </c>
      <c r="O58" s="68">
        <v>0</v>
      </c>
      <c r="P58" s="68">
        <v>0</v>
      </c>
      <c r="Q58" s="68">
        <v>0</v>
      </c>
      <c r="R58" s="68">
        <v>0</v>
      </c>
      <c r="S58" s="68">
        <v>0</v>
      </c>
      <c r="T58" s="68">
        <v>0</v>
      </c>
      <c r="U58" s="68">
        <v>0</v>
      </c>
      <c r="V58" s="68">
        <v>0</v>
      </c>
      <c r="W58" s="68">
        <v>0</v>
      </c>
      <c r="X58" s="68">
        <v>0</v>
      </c>
      <c r="Y58" s="68">
        <v>0</v>
      </c>
      <c r="Z58" s="68">
        <v>0</v>
      </c>
      <c r="AA58" s="68">
        <v>0</v>
      </c>
      <c r="AB58" s="68">
        <v>0</v>
      </c>
      <c r="AC58" s="68">
        <v>0</v>
      </c>
      <c r="AD58" s="68">
        <v>0</v>
      </c>
      <c r="AE58" s="68">
        <v>0</v>
      </c>
      <c r="AF58" s="68">
        <v>0</v>
      </c>
      <c r="AG58" s="71" t="s">
        <v>2198</v>
      </c>
      <c r="AH58">
        <v>1.3559969999999999</v>
      </c>
      <c r="AI58">
        <v>1.3470800000000001</v>
      </c>
      <c r="AJ58" s="22">
        <v>0.01</v>
      </c>
    </row>
    <row r="59" spans="1:36" ht="24.5">
      <c r="A59" s="39" t="s">
        <v>2229</v>
      </c>
      <c r="B59" s="67" t="s">
        <v>2218</v>
      </c>
      <c r="C59" s="68">
        <v>39.844611999999998</v>
      </c>
      <c r="D59" s="68">
        <v>24.350292</v>
      </c>
      <c r="E59" s="68">
        <v>39.134216000000002</v>
      </c>
      <c r="F59" s="68">
        <v>44.554015999999997</v>
      </c>
      <c r="G59" s="68">
        <v>47.891013999999998</v>
      </c>
      <c r="H59" s="68">
        <v>52.865997</v>
      </c>
      <c r="I59" s="68">
        <v>57.850662</v>
      </c>
      <c r="J59" s="68">
        <v>58.963535</v>
      </c>
      <c r="K59" s="68">
        <v>59.113273999999997</v>
      </c>
      <c r="L59" s="68">
        <v>59.864296000000003</v>
      </c>
      <c r="M59" s="68">
        <v>55.213051</v>
      </c>
      <c r="N59" s="68">
        <v>56.885941000000003</v>
      </c>
      <c r="O59" s="68">
        <v>56.898018</v>
      </c>
      <c r="P59" s="68">
        <v>57.170631</v>
      </c>
      <c r="Q59" s="68">
        <v>57.956054999999999</v>
      </c>
      <c r="R59" s="68">
        <v>58.623233999999997</v>
      </c>
      <c r="S59" s="68">
        <v>59.721397000000003</v>
      </c>
      <c r="T59" s="68">
        <v>61.992119000000002</v>
      </c>
      <c r="U59" s="68">
        <v>61.818676000000004</v>
      </c>
      <c r="V59" s="68">
        <v>68.345634000000004</v>
      </c>
      <c r="W59" s="68">
        <v>71.643828999999997</v>
      </c>
      <c r="X59" s="68">
        <v>74.311394000000007</v>
      </c>
      <c r="Y59" s="68">
        <v>81.473067999999998</v>
      </c>
      <c r="Z59" s="68">
        <v>88.355773999999997</v>
      </c>
      <c r="AA59" s="68">
        <v>90.687775000000002</v>
      </c>
      <c r="AB59" s="68">
        <v>95.520767000000006</v>
      </c>
      <c r="AC59" s="68">
        <v>97.773712000000003</v>
      </c>
      <c r="AD59" s="68">
        <v>97.526932000000002</v>
      </c>
      <c r="AE59" s="68">
        <v>98.071976000000006</v>
      </c>
      <c r="AF59" s="68">
        <v>97.309059000000005</v>
      </c>
      <c r="AG59" s="71">
        <v>3.1268999999999998E-2</v>
      </c>
      <c r="AH59">
        <v>5.518154</v>
      </c>
      <c r="AI59">
        <v>6.8551640000000003</v>
      </c>
      <c r="AJ59" s="22">
        <v>0.10199999999999999</v>
      </c>
    </row>
    <row r="60" spans="1:36">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v>1.6909E-2</v>
      </c>
      <c r="AI60">
        <v>1.6667000000000001E-2</v>
      </c>
      <c r="AJ60" s="22">
        <v>4.0000000000000001E-3</v>
      </c>
    </row>
    <row r="61" spans="1:36" ht="36.5">
      <c r="A61" s="39" t="s">
        <v>2230</v>
      </c>
      <c r="B61" s="66" t="s">
        <v>2170</v>
      </c>
      <c r="C61" s="69">
        <v>2296.1611330000001</v>
      </c>
      <c r="D61" s="69">
        <v>2683.6513669999999</v>
      </c>
      <c r="E61" s="69">
        <v>2951.118164</v>
      </c>
      <c r="F61" s="69">
        <v>3034.7094729999999</v>
      </c>
      <c r="G61" s="69">
        <v>3111.6896969999998</v>
      </c>
      <c r="H61" s="69">
        <v>3173.992432</v>
      </c>
      <c r="I61" s="69">
        <v>3213.9558109999998</v>
      </c>
      <c r="J61" s="69">
        <v>3252.0551759999998</v>
      </c>
      <c r="K61" s="69">
        <v>3293.8454590000001</v>
      </c>
      <c r="L61" s="69">
        <v>3340.3571780000002</v>
      </c>
      <c r="M61" s="69">
        <v>3377.2758789999998</v>
      </c>
      <c r="N61" s="69">
        <v>3393.485107</v>
      </c>
      <c r="O61" s="69">
        <v>3431.1589359999998</v>
      </c>
      <c r="P61" s="69">
        <v>3465.1965329999998</v>
      </c>
      <c r="Q61" s="69">
        <v>3501.516846</v>
      </c>
      <c r="R61" s="69">
        <v>3538.3811040000001</v>
      </c>
      <c r="S61" s="69">
        <v>3580.70874</v>
      </c>
      <c r="T61" s="69">
        <v>3619.171143</v>
      </c>
      <c r="U61" s="69">
        <v>3663.686279</v>
      </c>
      <c r="V61" s="69">
        <v>3712.9865719999998</v>
      </c>
      <c r="W61" s="69">
        <v>3753.7878420000002</v>
      </c>
      <c r="X61" s="69">
        <v>3799.3937989999999</v>
      </c>
      <c r="Y61" s="69">
        <v>3847.1994629999999</v>
      </c>
      <c r="Z61" s="69">
        <v>3892.524414</v>
      </c>
      <c r="AA61" s="69">
        <v>3945.7468260000001</v>
      </c>
      <c r="AB61" s="69">
        <v>3999.0383299999999</v>
      </c>
      <c r="AC61" s="69">
        <v>4045.6613769999999</v>
      </c>
      <c r="AD61" s="69">
        <v>4090.9533689999998</v>
      </c>
      <c r="AE61" s="69">
        <v>4144.0703119999998</v>
      </c>
      <c r="AF61" s="69">
        <v>4203.2158200000003</v>
      </c>
      <c r="AG61" s="72">
        <v>2.1068E-2</v>
      </c>
      <c r="AH61">
        <v>40.965553</v>
      </c>
      <c r="AI61">
        <v>41.161906999999999</v>
      </c>
      <c r="AJ61" s="22">
        <v>1.7999999999999999E-2</v>
      </c>
    </row>
    <row r="62" spans="1:36">
      <c r="A62" s="39" t="s">
        <v>2231</v>
      </c>
      <c r="B62" s="67" t="s">
        <v>2232</v>
      </c>
      <c r="C62" s="68">
        <v>2273.726318</v>
      </c>
      <c r="D62" s="68">
        <v>2661.2297359999998</v>
      </c>
      <c r="E62" s="68">
        <v>2928.7075199999999</v>
      </c>
      <c r="F62" s="68">
        <v>3012.3078609999998</v>
      </c>
      <c r="G62" s="68">
        <v>3089.295654</v>
      </c>
      <c r="H62" s="68">
        <v>3151.6047359999998</v>
      </c>
      <c r="I62" s="68">
        <v>3191.5732419999999</v>
      </c>
      <c r="J62" s="68">
        <v>3229.6767580000001</v>
      </c>
      <c r="K62" s="68">
        <v>3271.4704590000001</v>
      </c>
      <c r="L62" s="68">
        <v>3317.985107</v>
      </c>
      <c r="M62" s="68">
        <v>3354.90625</v>
      </c>
      <c r="N62" s="68">
        <v>3371.117432</v>
      </c>
      <c r="O62" s="68">
        <v>3408.7929690000001</v>
      </c>
      <c r="P62" s="68">
        <v>3442.8320309999999</v>
      </c>
      <c r="Q62" s="68">
        <v>3479.1533199999999</v>
      </c>
      <c r="R62" s="68">
        <v>3516.0185550000001</v>
      </c>
      <c r="S62" s="68">
        <v>3558.3469239999999</v>
      </c>
      <c r="T62" s="68">
        <v>3596.8100589999999</v>
      </c>
      <c r="U62" s="68">
        <v>3641.3256839999999</v>
      </c>
      <c r="V62" s="68">
        <v>3690.6264649999998</v>
      </c>
      <c r="W62" s="68">
        <v>3731.4282229999999</v>
      </c>
      <c r="X62" s="68">
        <v>3777.0344239999999</v>
      </c>
      <c r="Y62" s="68">
        <v>3824.8403320000002</v>
      </c>
      <c r="Z62" s="68">
        <v>3870.1655270000001</v>
      </c>
      <c r="AA62" s="68">
        <v>3923.3879390000002</v>
      </c>
      <c r="AB62" s="68">
        <v>3976.6796880000002</v>
      </c>
      <c r="AC62" s="68">
        <v>4023.3027339999999</v>
      </c>
      <c r="AD62" s="68">
        <v>4068.594971</v>
      </c>
      <c r="AE62" s="68">
        <v>4121.7119140000004</v>
      </c>
      <c r="AF62" s="68">
        <v>4180.857422</v>
      </c>
      <c r="AG62" s="71">
        <v>2.1225000000000001E-2</v>
      </c>
      <c r="AH62">
        <v>0</v>
      </c>
      <c r="AI62">
        <v>0</v>
      </c>
      <c r="AJ62" t="s">
        <v>111</v>
      </c>
    </row>
    <row r="63" spans="1:36" ht="24.5">
      <c r="A63" s="39" t="s">
        <v>2233</v>
      </c>
      <c r="B63" s="67" t="s">
        <v>2234</v>
      </c>
      <c r="C63" s="68">
        <v>22.434891</v>
      </c>
      <c r="D63" s="68">
        <v>22.421617999999999</v>
      </c>
      <c r="E63" s="68">
        <v>22.410634999999999</v>
      </c>
      <c r="F63" s="68">
        <v>22.401547999999998</v>
      </c>
      <c r="G63" s="68">
        <v>22.394031999999999</v>
      </c>
      <c r="H63" s="68">
        <v>22.387812</v>
      </c>
      <c r="I63" s="68">
        <v>22.382666</v>
      </c>
      <c r="J63" s="68">
        <v>22.378406999999999</v>
      </c>
      <c r="K63" s="68">
        <v>22.374884000000002</v>
      </c>
      <c r="L63" s="68">
        <v>22.371969</v>
      </c>
      <c r="M63" s="68">
        <v>22.369558000000001</v>
      </c>
      <c r="N63" s="68">
        <v>22.367563000000001</v>
      </c>
      <c r="O63" s="68">
        <v>22.365911000000001</v>
      </c>
      <c r="P63" s="68">
        <v>22.364546000000001</v>
      </c>
      <c r="Q63" s="68">
        <v>22.363416999999998</v>
      </c>
      <c r="R63" s="68">
        <v>22.362480000000001</v>
      </c>
      <c r="S63" s="68">
        <v>22.361708</v>
      </c>
      <c r="T63" s="68">
        <v>22.361066999999998</v>
      </c>
      <c r="U63" s="68">
        <v>22.360537999999998</v>
      </c>
      <c r="V63" s="68">
        <v>22.360099999999999</v>
      </c>
      <c r="W63" s="68">
        <v>22.359736999999999</v>
      </c>
      <c r="X63" s="68">
        <v>22.359438000000001</v>
      </c>
      <c r="Y63" s="68">
        <v>22.359190000000002</v>
      </c>
      <c r="Z63" s="68">
        <v>22.358984</v>
      </c>
      <c r="AA63" s="68">
        <v>22.358813999999999</v>
      </c>
      <c r="AB63" s="68">
        <v>22.358673</v>
      </c>
      <c r="AC63" s="68">
        <v>22.358557000000001</v>
      </c>
      <c r="AD63" s="68">
        <v>22.358460999999998</v>
      </c>
      <c r="AE63" s="68">
        <v>22.358381000000001</v>
      </c>
      <c r="AF63" s="68">
        <v>22.358315000000001</v>
      </c>
      <c r="AG63" s="71">
        <v>-1.18E-4</v>
      </c>
      <c r="AH63">
        <v>0</v>
      </c>
      <c r="AI63">
        <v>0</v>
      </c>
      <c r="AJ63" t="s">
        <v>111</v>
      </c>
    </row>
    <row r="64" spans="1:36">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v>40.965553</v>
      </c>
      <c r="AI64">
        <v>41.161906999999999</v>
      </c>
      <c r="AJ64" s="22">
        <v>1.7999999999999999E-2</v>
      </c>
    </row>
    <row r="65" spans="1:36" ht="24.5">
      <c r="A65" s="39" t="s">
        <v>2235</v>
      </c>
      <c r="B65" s="66" t="s">
        <v>183</v>
      </c>
      <c r="C65" s="69">
        <v>537.703125</v>
      </c>
      <c r="D65" s="69">
        <v>545.34875499999998</v>
      </c>
      <c r="E65" s="69">
        <v>539.67163100000005</v>
      </c>
      <c r="F65" s="69">
        <v>539.22375499999998</v>
      </c>
      <c r="G65" s="69">
        <v>542.58715800000004</v>
      </c>
      <c r="H65" s="69">
        <v>545.14965800000004</v>
      </c>
      <c r="I65" s="69">
        <v>547.036743</v>
      </c>
      <c r="J65" s="69">
        <v>549.19799799999998</v>
      </c>
      <c r="K65" s="69">
        <v>547.83374000000003</v>
      </c>
      <c r="L65" s="69">
        <v>549.64349400000003</v>
      </c>
      <c r="M65" s="69">
        <v>549.11926300000005</v>
      </c>
      <c r="N65" s="69">
        <v>549.31872599999997</v>
      </c>
      <c r="O65" s="69">
        <v>549.48425299999997</v>
      </c>
      <c r="P65" s="69">
        <v>549.62329099999999</v>
      </c>
      <c r="Q65" s="69">
        <v>549.73779300000001</v>
      </c>
      <c r="R65" s="69">
        <v>549.99847399999999</v>
      </c>
      <c r="S65" s="69">
        <v>550.35229500000003</v>
      </c>
      <c r="T65" s="69">
        <v>550.70202600000005</v>
      </c>
      <c r="U65" s="69">
        <v>551.05041500000004</v>
      </c>
      <c r="V65" s="69">
        <v>551.39324999999997</v>
      </c>
      <c r="W65" s="69">
        <v>551.73486300000002</v>
      </c>
      <c r="X65" s="69">
        <v>552.07397500000002</v>
      </c>
      <c r="Y65" s="69">
        <v>552.408997</v>
      </c>
      <c r="Z65" s="69">
        <v>552.74206500000003</v>
      </c>
      <c r="AA65" s="69">
        <v>553.07428000000004</v>
      </c>
      <c r="AB65" s="69">
        <v>553.40344200000004</v>
      </c>
      <c r="AC65" s="69">
        <v>553.73046899999997</v>
      </c>
      <c r="AD65" s="69">
        <v>554.056152</v>
      </c>
      <c r="AE65" s="69">
        <v>554.37951699999996</v>
      </c>
      <c r="AF65" s="69">
        <v>554.70135500000004</v>
      </c>
      <c r="AG65" s="72">
        <v>1.0740000000000001E-3</v>
      </c>
      <c r="AH65">
        <v>0</v>
      </c>
      <c r="AI65">
        <v>0</v>
      </c>
      <c r="AJ65" t="s">
        <v>111</v>
      </c>
    </row>
    <row r="66" spans="1:36" ht="48.5">
      <c r="A66" s="39" t="s">
        <v>2236</v>
      </c>
      <c r="B66" s="67" t="s">
        <v>2237</v>
      </c>
      <c r="C66" s="68">
        <v>402.12243699999999</v>
      </c>
      <c r="D66" s="68">
        <v>408.58813500000002</v>
      </c>
      <c r="E66" s="68">
        <v>405.11737099999999</v>
      </c>
      <c r="F66" s="68">
        <v>404.78070100000002</v>
      </c>
      <c r="G66" s="68">
        <v>407.30474900000002</v>
      </c>
      <c r="H66" s="68">
        <v>409.22909499999997</v>
      </c>
      <c r="I66" s="68">
        <v>410.64746100000002</v>
      </c>
      <c r="J66" s="68">
        <v>412.27038599999997</v>
      </c>
      <c r="K66" s="68">
        <v>411.24566700000003</v>
      </c>
      <c r="L66" s="68">
        <v>412.60449199999999</v>
      </c>
      <c r="M66" s="68">
        <v>412.20864899999998</v>
      </c>
      <c r="N66" s="68">
        <v>412.35833700000001</v>
      </c>
      <c r="O66" s="68">
        <v>412.48217799999998</v>
      </c>
      <c r="P66" s="68">
        <v>412.58575400000001</v>
      </c>
      <c r="Q66" s="68">
        <v>412.67089800000002</v>
      </c>
      <c r="R66" s="68">
        <v>412.86550899999997</v>
      </c>
      <c r="S66" s="68">
        <v>413.12994400000002</v>
      </c>
      <c r="T66" s="68">
        <v>413.39245599999998</v>
      </c>
      <c r="U66" s="68">
        <v>413.65313700000002</v>
      </c>
      <c r="V66" s="68">
        <v>413.91204800000003</v>
      </c>
      <c r="W66" s="68">
        <v>414.16891500000003</v>
      </c>
      <c r="X66" s="68">
        <v>414.42382800000001</v>
      </c>
      <c r="Y66" s="68">
        <v>414.67672700000003</v>
      </c>
      <c r="Z66" s="68">
        <v>414.92770400000001</v>
      </c>
      <c r="AA66" s="68">
        <v>415.176849</v>
      </c>
      <c r="AB66" s="68">
        <v>415.42431599999998</v>
      </c>
      <c r="AC66" s="68">
        <v>415.67010499999998</v>
      </c>
      <c r="AD66" s="68">
        <v>415.91433699999999</v>
      </c>
      <c r="AE66" s="68">
        <v>416.15707400000002</v>
      </c>
      <c r="AF66" s="68">
        <v>416.39840700000002</v>
      </c>
      <c r="AG66" s="71">
        <v>1.204E-3</v>
      </c>
      <c r="AH66">
        <v>0</v>
      </c>
      <c r="AI66">
        <v>0</v>
      </c>
      <c r="AJ66" t="s">
        <v>111</v>
      </c>
    </row>
    <row r="67" spans="1:36" ht="24.5">
      <c r="A67" s="39" t="s">
        <v>2238</v>
      </c>
      <c r="B67" s="67" t="s">
        <v>2214</v>
      </c>
      <c r="C67" s="68">
        <v>20.461241000000001</v>
      </c>
      <c r="D67" s="68">
        <v>19.790189999999999</v>
      </c>
      <c r="E67" s="68">
        <v>18.577483999999998</v>
      </c>
      <c r="F67" s="68">
        <v>18.562657999999999</v>
      </c>
      <c r="G67" s="68">
        <v>18.679366999999999</v>
      </c>
      <c r="H67" s="68">
        <v>18.766643999999999</v>
      </c>
      <c r="I67" s="68">
        <v>18.82938</v>
      </c>
      <c r="J67" s="68">
        <v>18.903067</v>
      </c>
      <c r="K67" s="68">
        <v>18.856854999999999</v>
      </c>
      <c r="L67" s="68">
        <v>18.918801999999999</v>
      </c>
      <c r="M67" s="68">
        <v>18.903721000000001</v>
      </c>
      <c r="N67" s="68">
        <v>18.910616000000001</v>
      </c>
      <c r="O67" s="68">
        <v>18.916868000000001</v>
      </c>
      <c r="P67" s="68">
        <v>18.92268</v>
      </c>
      <c r="Q67" s="68">
        <v>18.927703999999999</v>
      </c>
      <c r="R67" s="68">
        <v>18.938010999999999</v>
      </c>
      <c r="S67" s="68">
        <v>18.951756</v>
      </c>
      <c r="T67" s="68">
        <v>18.963802000000001</v>
      </c>
      <c r="U67" s="68">
        <v>18.976884999999999</v>
      </c>
      <c r="V67" s="68">
        <v>18.986682999999999</v>
      </c>
      <c r="W67" s="68">
        <v>18.997869000000001</v>
      </c>
      <c r="X67" s="68">
        <v>19.009169</v>
      </c>
      <c r="Y67" s="68">
        <v>19.018823999999999</v>
      </c>
      <c r="Z67" s="68">
        <v>19.029070000000001</v>
      </c>
      <c r="AA67" s="68">
        <v>19.040801999999999</v>
      </c>
      <c r="AB67" s="68">
        <v>19.051625999999999</v>
      </c>
      <c r="AC67" s="68">
        <v>19.062536000000001</v>
      </c>
      <c r="AD67" s="68">
        <v>19.074103999999998</v>
      </c>
      <c r="AE67" s="68">
        <v>19.085204999999998</v>
      </c>
      <c r="AF67" s="68">
        <v>19.096606999999999</v>
      </c>
      <c r="AG67" s="71">
        <v>-2.3770000000000002E-3</v>
      </c>
      <c r="AH67">
        <v>0</v>
      </c>
      <c r="AI67">
        <v>0</v>
      </c>
      <c r="AJ67" t="s">
        <v>111</v>
      </c>
    </row>
    <row r="68" spans="1:36" ht="24.5">
      <c r="A68" s="39" t="s">
        <v>2239</v>
      </c>
      <c r="B68" s="67" t="s">
        <v>2240</v>
      </c>
      <c r="C68" s="68">
        <v>115.119415</v>
      </c>
      <c r="D68" s="68">
        <v>116.97041299999999</v>
      </c>
      <c r="E68" s="68">
        <v>115.97680699999999</v>
      </c>
      <c r="F68" s="68">
        <v>115.880424</v>
      </c>
      <c r="G68" s="68">
        <v>116.603004</v>
      </c>
      <c r="H68" s="68">
        <v>117.15389999999999</v>
      </c>
      <c r="I68" s="68">
        <v>117.55993700000001</v>
      </c>
      <c r="J68" s="68">
        <v>118.024559</v>
      </c>
      <c r="K68" s="68">
        <v>117.731201</v>
      </c>
      <c r="L68" s="68">
        <v>118.120216</v>
      </c>
      <c r="M68" s="68">
        <v>118.006882</v>
      </c>
      <c r="N68" s="68">
        <v>118.049744</v>
      </c>
      <c r="O68" s="68">
        <v>118.08519</v>
      </c>
      <c r="P68" s="68">
        <v>118.11483800000001</v>
      </c>
      <c r="Q68" s="68">
        <v>118.139214</v>
      </c>
      <c r="R68" s="68">
        <v>118.194923</v>
      </c>
      <c r="S68" s="68">
        <v>118.27063</v>
      </c>
      <c r="T68" s="68">
        <v>118.34577899999999</v>
      </c>
      <c r="U68" s="68">
        <v>118.42041</v>
      </c>
      <c r="V68" s="68">
        <v>118.494522</v>
      </c>
      <c r="W68" s="68">
        <v>118.568062</v>
      </c>
      <c r="X68" s="68">
        <v>118.64102200000001</v>
      </c>
      <c r="Y68" s="68">
        <v>118.713425</v>
      </c>
      <c r="Z68" s="68">
        <v>118.78527800000001</v>
      </c>
      <c r="AA68" s="68">
        <v>118.856613</v>
      </c>
      <c r="AB68" s="68">
        <v>118.92746</v>
      </c>
      <c r="AC68" s="68">
        <v>118.997818</v>
      </c>
      <c r="AD68" s="68">
        <v>119.067734</v>
      </c>
      <c r="AE68" s="68">
        <v>119.13723</v>
      </c>
      <c r="AF68" s="68">
        <v>119.206306</v>
      </c>
      <c r="AG68" s="71">
        <v>1.204E-3</v>
      </c>
      <c r="AH68">
        <v>0</v>
      </c>
      <c r="AI68">
        <v>0</v>
      </c>
      <c r="AJ68" t="s">
        <v>111</v>
      </c>
    </row>
    <row r="69" spans="1:36">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v>89.772278</v>
      </c>
      <c r="AI69">
        <v>89.311194999999998</v>
      </c>
      <c r="AJ69" s="22">
        <v>6.0000000000000001E-3</v>
      </c>
    </row>
    <row r="70" spans="1:36" ht="36.5">
      <c r="A70" s="39" t="s">
        <v>2241</v>
      </c>
      <c r="B70" s="66" t="s">
        <v>2171</v>
      </c>
      <c r="C70" s="69">
        <v>175.12567100000001</v>
      </c>
      <c r="D70" s="69">
        <v>199.400192</v>
      </c>
      <c r="E70" s="69">
        <v>211.32579000000001</v>
      </c>
      <c r="F70" s="69">
        <v>217.84545900000001</v>
      </c>
      <c r="G70" s="69">
        <v>221.70657299999999</v>
      </c>
      <c r="H70" s="69">
        <v>224.223602</v>
      </c>
      <c r="I70" s="69">
        <v>225.852982</v>
      </c>
      <c r="J70" s="69">
        <v>226.766907</v>
      </c>
      <c r="K70" s="69">
        <v>227.22096300000001</v>
      </c>
      <c r="L70" s="69">
        <v>227.62361100000001</v>
      </c>
      <c r="M70" s="69">
        <v>228.039795</v>
      </c>
      <c r="N70" s="69">
        <v>227.957672</v>
      </c>
      <c r="O70" s="69">
        <v>227.73249799999999</v>
      </c>
      <c r="P70" s="69">
        <v>227.421097</v>
      </c>
      <c r="Q70" s="69">
        <v>226.926514</v>
      </c>
      <c r="R70" s="69">
        <v>226.58166499999999</v>
      </c>
      <c r="S70" s="69">
        <v>226.33427399999999</v>
      </c>
      <c r="T70" s="69">
        <v>226.04068000000001</v>
      </c>
      <c r="U70" s="69">
        <v>225.20178200000001</v>
      </c>
      <c r="V70" s="69">
        <v>224.45675700000001</v>
      </c>
      <c r="W70" s="69">
        <v>223.568939</v>
      </c>
      <c r="X70" s="69">
        <v>222.53797900000001</v>
      </c>
      <c r="Y70" s="69">
        <v>221.54235800000001</v>
      </c>
      <c r="Z70" s="69">
        <v>220.49520899999999</v>
      </c>
      <c r="AA70" s="69">
        <v>219.292664</v>
      </c>
      <c r="AB70" s="69">
        <v>218.10140999999999</v>
      </c>
      <c r="AC70" s="69">
        <v>216.69142199999999</v>
      </c>
      <c r="AD70" s="69">
        <v>215.01010099999999</v>
      </c>
      <c r="AE70" s="69">
        <v>213.01475500000001</v>
      </c>
      <c r="AF70" s="69">
        <v>210.57737700000001</v>
      </c>
      <c r="AG70" s="72">
        <v>6.3769999999999999E-3</v>
      </c>
      <c r="AH70">
        <v>5.37134</v>
      </c>
      <c r="AI70">
        <v>5.3437510000000001</v>
      </c>
      <c r="AJ70" s="22">
        <v>6.0000000000000001E-3</v>
      </c>
    </row>
    <row r="71" spans="1:36" ht="24.5">
      <c r="A71" s="39" t="s">
        <v>2242</v>
      </c>
      <c r="B71" s="67" t="s">
        <v>2243</v>
      </c>
      <c r="C71" s="68">
        <v>75.313231999999999</v>
      </c>
      <c r="D71" s="68">
        <v>82.089530999999994</v>
      </c>
      <c r="E71" s="68">
        <v>86.692977999999997</v>
      </c>
      <c r="F71" s="68">
        <v>90.064269999999993</v>
      </c>
      <c r="G71" s="68">
        <v>92.387680000000003</v>
      </c>
      <c r="H71" s="68">
        <v>94.193466000000001</v>
      </c>
      <c r="I71" s="68">
        <v>95.518471000000005</v>
      </c>
      <c r="J71" s="68">
        <v>96.276381999999998</v>
      </c>
      <c r="K71" s="68">
        <v>96.685287000000002</v>
      </c>
      <c r="L71" s="68">
        <v>97.144073000000006</v>
      </c>
      <c r="M71" s="68">
        <v>97.692047000000002</v>
      </c>
      <c r="N71" s="68">
        <v>97.729561000000004</v>
      </c>
      <c r="O71" s="68">
        <v>97.570175000000006</v>
      </c>
      <c r="P71" s="68">
        <v>97.256912</v>
      </c>
      <c r="Q71" s="68">
        <v>96.751548999999997</v>
      </c>
      <c r="R71" s="68">
        <v>96.316826000000006</v>
      </c>
      <c r="S71" s="68">
        <v>95.774390999999994</v>
      </c>
      <c r="T71" s="68">
        <v>95.265297000000004</v>
      </c>
      <c r="U71" s="68">
        <v>94.576369999999997</v>
      </c>
      <c r="V71" s="68">
        <v>94.018851999999995</v>
      </c>
      <c r="W71" s="68">
        <v>93.417525999999995</v>
      </c>
      <c r="X71" s="68">
        <v>92.731255000000004</v>
      </c>
      <c r="Y71" s="68">
        <v>92.131393000000003</v>
      </c>
      <c r="Z71" s="68">
        <v>91.537315000000007</v>
      </c>
      <c r="AA71" s="68">
        <v>90.839286999999999</v>
      </c>
      <c r="AB71" s="68">
        <v>90.224250999999995</v>
      </c>
      <c r="AC71" s="68">
        <v>89.512221999999994</v>
      </c>
      <c r="AD71" s="68">
        <v>88.689475999999999</v>
      </c>
      <c r="AE71" s="68">
        <v>87.816879</v>
      </c>
      <c r="AF71" s="68">
        <v>86.980957000000004</v>
      </c>
      <c r="AG71" s="71">
        <v>4.9789999999999999E-3</v>
      </c>
      <c r="AH71">
        <v>0</v>
      </c>
      <c r="AI71">
        <v>0</v>
      </c>
      <c r="AJ71" t="s">
        <v>111</v>
      </c>
    </row>
    <row r="72" spans="1:36" ht="24.5">
      <c r="A72" s="39" t="s">
        <v>2244</v>
      </c>
      <c r="B72" s="67" t="s">
        <v>2245</v>
      </c>
      <c r="C72" s="68">
        <v>9.6433230000000005</v>
      </c>
      <c r="D72" s="68">
        <v>10.540934</v>
      </c>
      <c r="E72" s="68">
        <v>11.148802999999999</v>
      </c>
      <c r="F72" s="68">
        <v>11.600770000000001</v>
      </c>
      <c r="G72" s="68">
        <v>11.917157</v>
      </c>
      <c r="H72" s="68">
        <v>12.169338</v>
      </c>
      <c r="I72" s="68">
        <v>12.357654999999999</v>
      </c>
      <c r="J72" s="68">
        <v>12.472455</v>
      </c>
      <c r="K72" s="68">
        <v>12.542721</v>
      </c>
      <c r="L72" s="68">
        <v>12.621245999999999</v>
      </c>
      <c r="M72" s="68">
        <v>12.713088000000001</v>
      </c>
      <c r="N72" s="68">
        <v>12.736143</v>
      </c>
      <c r="O72" s="68">
        <v>12.732991999999999</v>
      </c>
      <c r="P72" s="68">
        <v>12.709225</v>
      </c>
      <c r="Q72" s="68">
        <v>12.659914000000001</v>
      </c>
      <c r="R72" s="68">
        <v>12.620424999999999</v>
      </c>
      <c r="S72" s="68">
        <v>12.566718</v>
      </c>
      <c r="T72" s="68">
        <v>12.517704</v>
      </c>
      <c r="U72" s="68">
        <v>12.443576</v>
      </c>
      <c r="V72" s="68">
        <v>12.387663</v>
      </c>
      <c r="W72" s="68">
        <v>12.324693999999999</v>
      </c>
      <c r="X72" s="68">
        <v>12.250159999999999</v>
      </c>
      <c r="Y72" s="68">
        <v>12.187834000000001</v>
      </c>
      <c r="Z72" s="68">
        <v>12.126117000000001</v>
      </c>
      <c r="AA72" s="68">
        <v>12.050186</v>
      </c>
      <c r="AB72" s="68">
        <v>11.985734000000001</v>
      </c>
      <c r="AC72" s="68">
        <v>11.906828000000001</v>
      </c>
      <c r="AD72" s="68">
        <v>11.812537000000001</v>
      </c>
      <c r="AE72" s="68">
        <v>11.712026</v>
      </c>
      <c r="AF72" s="68">
        <v>11.616365999999999</v>
      </c>
      <c r="AG72" s="71">
        <v>6.4400000000000004E-3</v>
      </c>
      <c r="AH72">
        <v>78.515174999999999</v>
      </c>
      <c r="AI72">
        <v>78.090041999999997</v>
      </c>
      <c r="AJ72" s="22">
        <v>5.0000000000000001E-3</v>
      </c>
    </row>
    <row r="73" spans="1:36">
      <c r="A73" s="39" t="s">
        <v>2246</v>
      </c>
      <c r="B73" s="67" t="s">
        <v>2247</v>
      </c>
      <c r="C73" s="68">
        <v>5.1609999999999998E-3</v>
      </c>
      <c r="D73" s="68">
        <v>5.496E-3</v>
      </c>
      <c r="E73" s="68">
        <v>5.7359999999999998E-3</v>
      </c>
      <c r="F73" s="68">
        <v>5.8849999999999996E-3</v>
      </c>
      <c r="G73" s="68">
        <v>5.9800000000000001E-3</v>
      </c>
      <c r="H73" s="68">
        <v>6.0460000000000002E-3</v>
      </c>
      <c r="I73" s="68">
        <v>6.097E-3</v>
      </c>
      <c r="J73" s="68">
        <v>6.1120000000000002E-3</v>
      </c>
      <c r="K73" s="68">
        <v>6.1019999999999998E-3</v>
      </c>
      <c r="L73" s="68">
        <v>6.0910000000000001E-3</v>
      </c>
      <c r="M73" s="68">
        <v>6.0860000000000003E-3</v>
      </c>
      <c r="N73" s="68">
        <v>6.051E-3</v>
      </c>
      <c r="O73" s="68">
        <v>6.0049999999999999E-3</v>
      </c>
      <c r="P73" s="68">
        <v>5.953E-3</v>
      </c>
      <c r="Q73" s="68">
        <v>5.8919999999999997E-3</v>
      </c>
      <c r="R73" s="68">
        <v>5.8339999999999998E-3</v>
      </c>
      <c r="S73" s="68">
        <v>5.7679999999999997E-3</v>
      </c>
      <c r="T73" s="68">
        <v>5.705E-3</v>
      </c>
      <c r="U73" s="68">
        <v>5.6350000000000003E-3</v>
      </c>
      <c r="V73" s="68">
        <v>5.5669999999999999E-3</v>
      </c>
      <c r="W73" s="68">
        <v>5.4999999999999997E-3</v>
      </c>
      <c r="X73" s="68">
        <v>5.4299999999999999E-3</v>
      </c>
      <c r="Y73" s="68">
        <v>5.3619999999999996E-3</v>
      </c>
      <c r="Z73" s="68">
        <v>5.2940000000000001E-3</v>
      </c>
      <c r="AA73" s="68">
        <v>5.2209999999999999E-3</v>
      </c>
      <c r="AB73" s="68">
        <v>5.1489999999999999E-3</v>
      </c>
      <c r="AC73" s="68">
        <v>5.078E-3</v>
      </c>
      <c r="AD73" s="68">
        <v>5.0010000000000002E-3</v>
      </c>
      <c r="AE73" s="68">
        <v>4.9189999999999998E-3</v>
      </c>
      <c r="AF73" s="68">
        <v>4.8370000000000002E-3</v>
      </c>
      <c r="AG73" s="71">
        <v>-2.2309999999999999E-3</v>
      </c>
      <c r="AH73">
        <v>1.4942040000000001</v>
      </c>
      <c r="AI73">
        <v>1.508394</v>
      </c>
      <c r="AJ73" s="22">
        <v>1.9E-2</v>
      </c>
    </row>
    <row r="74" spans="1:36" ht="36.5">
      <c r="A74" s="39" t="s">
        <v>2248</v>
      </c>
      <c r="B74" s="67" t="s">
        <v>2249</v>
      </c>
      <c r="C74" s="68">
        <v>45.060589</v>
      </c>
      <c r="D74" s="68">
        <v>48.910423000000002</v>
      </c>
      <c r="E74" s="68">
        <v>51.438122</v>
      </c>
      <c r="F74" s="68">
        <v>53.268456</v>
      </c>
      <c r="G74" s="68">
        <v>54.502411000000002</v>
      </c>
      <c r="H74" s="68">
        <v>55.450690999999999</v>
      </c>
      <c r="I74" s="68">
        <v>56.114525</v>
      </c>
      <c r="J74" s="68">
        <v>56.457973000000003</v>
      </c>
      <c r="K74" s="68">
        <v>56.608898000000003</v>
      </c>
      <c r="L74" s="68">
        <v>56.796799</v>
      </c>
      <c r="M74" s="68">
        <v>57.038184999999999</v>
      </c>
      <c r="N74" s="68">
        <v>56.982272999999999</v>
      </c>
      <c r="O74" s="68">
        <v>56.809921000000003</v>
      </c>
      <c r="P74" s="68">
        <v>56.540951</v>
      </c>
      <c r="Q74" s="68">
        <v>56.149715</v>
      </c>
      <c r="R74" s="68">
        <v>55.791142000000001</v>
      </c>
      <c r="S74" s="68">
        <v>55.365161999999998</v>
      </c>
      <c r="T74" s="68">
        <v>54.947074999999998</v>
      </c>
      <c r="U74" s="68">
        <v>54.407032000000001</v>
      </c>
      <c r="V74" s="68">
        <v>53.927959000000001</v>
      </c>
      <c r="W74" s="68">
        <v>53.398918000000002</v>
      </c>
      <c r="X74" s="68">
        <v>52.798279000000001</v>
      </c>
      <c r="Y74" s="68">
        <v>52.219101000000002</v>
      </c>
      <c r="Z74" s="68">
        <v>51.604584000000003</v>
      </c>
      <c r="AA74" s="68">
        <v>50.88467</v>
      </c>
      <c r="AB74" s="68">
        <v>50.147407999999999</v>
      </c>
      <c r="AC74" s="68">
        <v>49.255951000000003</v>
      </c>
      <c r="AD74" s="68">
        <v>48.159224999999999</v>
      </c>
      <c r="AE74" s="68">
        <v>46.7896</v>
      </c>
      <c r="AF74" s="68">
        <v>44.974155000000003</v>
      </c>
      <c r="AG74" s="71">
        <v>-6.6000000000000005E-5</v>
      </c>
      <c r="AH74">
        <v>4.3915660000000001</v>
      </c>
      <c r="AI74">
        <v>4.3690100000000003</v>
      </c>
      <c r="AJ74" s="22">
        <v>6.0000000000000001E-3</v>
      </c>
    </row>
    <row r="75" spans="1:36" ht="48.5">
      <c r="A75" s="39" t="s">
        <v>2250</v>
      </c>
      <c r="B75" s="67" t="s">
        <v>2251</v>
      </c>
      <c r="C75" s="68">
        <v>19.164963</v>
      </c>
      <c r="D75" s="68">
        <v>21.02298</v>
      </c>
      <c r="E75" s="68">
        <v>22.358467000000001</v>
      </c>
      <c r="F75" s="68">
        <v>23.335905</v>
      </c>
      <c r="G75" s="68">
        <v>24.015098999999999</v>
      </c>
      <c r="H75" s="68">
        <v>24.532710999999999</v>
      </c>
      <c r="I75" s="68">
        <v>24.923483000000001</v>
      </c>
      <c r="J75" s="68">
        <v>25.149429000000001</v>
      </c>
      <c r="K75" s="68">
        <v>25.266787999999998</v>
      </c>
      <c r="L75" s="68">
        <v>25.382044</v>
      </c>
      <c r="M75" s="68">
        <v>25.510753999999999</v>
      </c>
      <c r="N75" s="68">
        <v>25.501729999999998</v>
      </c>
      <c r="O75" s="68">
        <v>25.436585999999998</v>
      </c>
      <c r="P75" s="68">
        <v>25.330863999999998</v>
      </c>
      <c r="Q75" s="68">
        <v>25.177016999999999</v>
      </c>
      <c r="R75" s="68">
        <v>25.038975000000001</v>
      </c>
      <c r="S75" s="68">
        <v>24.867069000000001</v>
      </c>
      <c r="T75" s="68">
        <v>24.70186</v>
      </c>
      <c r="U75" s="68">
        <v>24.494648000000002</v>
      </c>
      <c r="V75" s="68">
        <v>24.317627000000002</v>
      </c>
      <c r="W75" s="68">
        <v>24.134003</v>
      </c>
      <c r="X75" s="68">
        <v>23.926787999999998</v>
      </c>
      <c r="Y75" s="68">
        <v>23.738327000000002</v>
      </c>
      <c r="Z75" s="68">
        <v>23.551292</v>
      </c>
      <c r="AA75" s="68">
        <v>23.335457000000002</v>
      </c>
      <c r="AB75" s="68">
        <v>23.138323</v>
      </c>
      <c r="AC75" s="68">
        <v>22.922705000000001</v>
      </c>
      <c r="AD75" s="68">
        <v>22.679783</v>
      </c>
      <c r="AE75" s="68">
        <v>22.419288999999999</v>
      </c>
      <c r="AF75" s="68">
        <v>22.166677</v>
      </c>
      <c r="AG75" s="71">
        <v>5.0299999999999997E-3</v>
      </c>
      <c r="AH75">
        <v>0</v>
      </c>
      <c r="AI75">
        <v>0</v>
      </c>
      <c r="AJ75" t="s">
        <v>111</v>
      </c>
    </row>
    <row r="76" spans="1:36">
      <c r="A76" s="39" t="s">
        <v>2252</v>
      </c>
      <c r="B76" s="67" t="s">
        <v>2253</v>
      </c>
      <c r="C76" s="68">
        <v>1.0136350000000001</v>
      </c>
      <c r="D76" s="68">
        <v>1.1214280000000001</v>
      </c>
      <c r="E76" s="68">
        <v>1.1965779999999999</v>
      </c>
      <c r="F76" s="68">
        <v>1.253755</v>
      </c>
      <c r="G76" s="68">
        <v>1.2953699999999999</v>
      </c>
      <c r="H76" s="68">
        <v>1.3301050000000001</v>
      </c>
      <c r="I76" s="68">
        <v>1.357456</v>
      </c>
      <c r="J76" s="68">
        <v>1.375831</v>
      </c>
      <c r="K76" s="68">
        <v>1.3886940000000001</v>
      </c>
      <c r="L76" s="68">
        <v>1.4023129999999999</v>
      </c>
      <c r="M76" s="68">
        <v>1.4178390000000001</v>
      </c>
      <c r="N76" s="68">
        <v>1.4246030000000001</v>
      </c>
      <c r="O76" s="68">
        <v>1.4278219999999999</v>
      </c>
      <c r="P76" s="68">
        <v>1.4284509999999999</v>
      </c>
      <c r="Q76" s="68">
        <v>1.4261349999999999</v>
      </c>
      <c r="R76" s="68">
        <v>1.4251339999999999</v>
      </c>
      <c r="S76" s="68">
        <v>1.4221159999999999</v>
      </c>
      <c r="T76" s="68">
        <v>1.4197329999999999</v>
      </c>
      <c r="U76" s="68">
        <v>1.4140159999999999</v>
      </c>
      <c r="V76" s="68">
        <v>1.4105300000000001</v>
      </c>
      <c r="W76" s="68">
        <v>1.406185</v>
      </c>
      <c r="X76" s="68">
        <v>1.4003129999999999</v>
      </c>
      <c r="Y76" s="68">
        <v>1.3960170000000001</v>
      </c>
      <c r="Z76" s="68">
        <v>1.391753</v>
      </c>
      <c r="AA76" s="68">
        <v>1.385535</v>
      </c>
      <c r="AB76" s="68">
        <v>1.380744</v>
      </c>
      <c r="AC76" s="68">
        <v>1.374058</v>
      </c>
      <c r="AD76" s="68">
        <v>1.3654170000000001</v>
      </c>
      <c r="AE76" s="68">
        <v>1.3559969999999999</v>
      </c>
      <c r="AF76" s="68">
        <v>1.3470800000000001</v>
      </c>
      <c r="AG76" s="71">
        <v>9.8549999999999992E-3</v>
      </c>
      <c r="AH76">
        <v>0</v>
      </c>
      <c r="AI76">
        <v>0</v>
      </c>
      <c r="AJ76" t="s">
        <v>111</v>
      </c>
    </row>
    <row r="77" spans="1:36" ht="24.5">
      <c r="A77" s="39" t="s">
        <v>2254</v>
      </c>
      <c r="B77" s="67" t="s">
        <v>2255</v>
      </c>
      <c r="C77" s="68">
        <v>0.41080800000000001</v>
      </c>
      <c r="D77" s="68">
        <v>0.47196700000000003</v>
      </c>
      <c r="E77" s="68">
        <v>0.52781999999999996</v>
      </c>
      <c r="F77" s="68">
        <v>0.58121599999999995</v>
      </c>
      <c r="G77" s="68">
        <v>0.63278500000000004</v>
      </c>
      <c r="H77" s="68">
        <v>0.68526399999999998</v>
      </c>
      <c r="I77" s="68">
        <v>0.739618</v>
      </c>
      <c r="J77" s="68">
        <v>0.79476100000000005</v>
      </c>
      <c r="K77" s="68">
        <v>0.85218000000000005</v>
      </c>
      <c r="L77" s="68">
        <v>0.91561099999999995</v>
      </c>
      <c r="M77" s="68">
        <v>0.98605200000000004</v>
      </c>
      <c r="N77" s="68">
        <v>1.0587519999999999</v>
      </c>
      <c r="O77" s="68">
        <v>1.136935</v>
      </c>
      <c r="P77" s="68">
        <v>1.221665</v>
      </c>
      <c r="Q77" s="68">
        <v>1.313231</v>
      </c>
      <c r="R77" s="68">
        <v>1.4158059999999999</v>
      </c>
      <c r="S77" s="68">
        <v>1.5282180000000001</v>
      </c>
      <c r="T77" s="68">
        <v>1.6540509999999999</v>
      </c>
      <c r="U77" s="68">
        <v>1.7924979999999999</v>
      </c>
      <c r="V77" s="68">
        <v>1.9507209999999999</v>
      </c>
      <c r="W77" s="68">
        <v>2.1296390000000001</v>
      </c>
      <c r="X77" s="68">
        <v>2.3318880000000002</v>
      </c>
      <c r="Y77" s="68">
        <v>2.5665460000000002</v>
      </c>
      <c r="Z77" s="68">
        <v>2.840255</v>
      </c>
      <c r="AA77" s="68">
        <v>3.1604169999999998</v>
      </c>
      <c r="AB77" s="68">
        <v>3.5493030000000001</v>
      </c>
      <c r="AC77" s="68">
        <v>4.0302100000000003</v>
      </c>
      <c r="AD77" s="68">
        <v>4.6503500000000004</v>
      </c>
      <c r="AE77" s="68">
        <v>5.518154</v>
      </c>
      <c r="AF77" s="68">
        <v>6.8551640000000003</v>
      </c>
      <c r="AG77" s="71">
        <v>0.101922</v>
      </c>
      <c r="AH77">
        <v>67.135193000000001</v>
      </c>
      <c r="AI77">
        <v>67.960930000000005</v>
      </c>
      <c r="AJ77" s="22">
        <v>2.1999999999999999E-2</v>
      </c>
    </row>
    <row r="78" spans="1:36">
      <c r="A78" s="39" t="s">
        <v>2256</v>
      </c>
      <c r="B78" s="67" t="s">
        <v>2257</v>
      </c>
      <c r="C78" s="68">
        <v>1.4751999999999999E-2</v>
      </c>
      <c r="D78" s="68">
        <v>1.6302000000000001E-2</v>
      </c>
      <c r="E78" s="68">
        <v>1.7451999999999999E-2</v>
      </c>
      <c r="F78" s="68">
        <v>1.8290000000000001E-2</v>
      </c>
      <c r="G78" s="68">
        <v>1.8873000000000001E-2</v>
      </c>
      <c r="H78" s="68">
        <v>1.9307000000000001E-2</v>
      </c>
      <c r="I78" s="68">
        <v>1.9635E-2</v>
      </c>
      <c r="J78" s="68">
        <v>1.9817999999999999E-2</v>
      </c>
      <c r="K78" s="68">
        <v>1.9900000000000001E-2</v>
      </c>
      <c r="L78" s="68">
        <v>1.9973000000000001E-2</v>
      </c>
      <c r="M78" s="68">
        <v>2.0046000000000001E-2</v>
      </c>
      <c r="N78" s="68">
        <v>2.0005999999999999E-2</v>
      </c>
      <c r="O78" s="68">
        <v>1.9921000000000001E-2</v>
      </c>
      <c r="P78" s="68">
        <v>1.9803000000000001E-2</v>
      </c>
      <c r="Q78" s="68">
        <v>1.9649E-2</v>
      </c>
      <c r="R78" s="68">
        <v>1.9505000000000002E-2</v>
      </c>
      <c r="S78" s="68">
        <v>1.9332999999999999E-2</v>
      </c>
      <c r="T78" s="68">
        <v>1.9162999999999999E-2</v>
      </c>
      <c r="U78" s="68">
        <v>1.8963000000000001E-2</v>
      </c>
      <c r="V78" s="68">
        <v>1.8780999999999999E-2</v>
      </c>
      <c r="W78" s="68">
        <v>1.8596000000000001E-2</v>
      </c>
      <c r="X78" s="68">
        <v>1.8394000000000001E-2</v>
      </c>
      <c r="Y78" s="68">
        <v>1.8201999999999999E-2</v>
      </c>
      <c r="Z78" s="68">
        <v>1.8010999999999999E-2</v>
      </c>
      <c r="AA78" s="68">
        <v>1.7798000000000001E-2</v>
      </c>
      <c r="AB78" s="68">
        <v>1.7596000000000001E-2</v>
      </c>
      <c r="AC78" s="68">
        <v>1.7385000000000001E-2</v>
      </c>
      <c r="AD78" s="68">
        <v>1.7155E-2</v>
      </c>
      <c r="AE78" s="68">
        <v>1.6909E-2</v>
      </c>
      <c r="AF78" s="68">
        <v>1.6667000000000001E-2</v>
      </c>
      <c r="AG78" s="71">
        <v>4.2170000000000003E-3</v>
      </c>
      <c r="AH78">
        <v>13.396444000000001</v>
      </c>
      <c r="AI78">
        <v>13.474932000000001</v>
      </c>
      <c r="AJ78" s="22">
        <v>2.5000000000000001E-2</v>
      </c>
    </row>
    <row r="79" spans="1:36" ht="24.5">
      <c r="A79" s="39" t="s">
        <v>2258</v>
      </c>
      <c r="B79" s="67" t="s">
        <v>2259</v>
      </c>
      <c r="C79" s="68">
        <v>24.198651999999999</v>
      </c>
      <c r="D79" s="68">
        <v>27.012305999999999</v>
      </c>
      <c r="E79" s="68">
        <v>29.212630999999998</v>
      </c>
      <c r="F79" s="68">
        <v>30.957491000000001</v>
      </c>
      <c r="G79" s="68">
        <v>32.341728000000003</v>
      </c>
      <c r="H79" s="68">
        <v>33.455863999999998</v>
      </c>
      <c r="I79" s="68">
        <v>34.358207999999998</v>
      </c>
      <c r="J79" s="68">
        <v>35.101486000000001</v>
      </c>
      <c r="K79" s="68">
        <v>35.729759000000001</v>
      </c>
      <c r="L79" s="68">
        <v>36.272857999999999</v>
      </c>
      <c r="M79" s="68">
        <v>36.745235000000001</v>
      </c>
      <c r="N79" s="68">
        <v>37.157916999999998</v>
      </c>
      <c r="O79" s="68">
        <v>37.519179999999999</v>
      </c>
      <c r="P79" s="68">
        <v>37.836520999999998</v>
      </c>
      <c r="Q79" s="68">
        <v>38.120975000000001</v>
      </c>
      <c r="R79" s="68">
        <v>38.371074999999998</v>
      </c>
      <c r="S79" s="68">
        <v>38.582680000000003</v>
      </c>
      <c r="T79" s="68">
        <v>38.780827000000002</v>
      </c>
      <c r="U79" s="68">
        <v>38.998050999999997</v>
      </c>
      <c r="V79" s="68">
        <v>39.207397</v>
      </c>
      <c r="W79" s="68">
        <v>39.410442000000003</v>
      </c>
      <c r="X79" s="68">
        <v>39.611862000000002</v>
      </c>
      <c r="Y79" s="68">
        <v>39.810284000000003</v>
      </c>
      <c r="Z79" s="68">
        <v>40.004852</v>
      </c>
      <c r="AA79" s="68">
        <v>40.199120000000001</v>
      </c>
      <c r="AB79" s="68">
        <v>40.391823000000002</v>
      </c>
      <c r="AC79" s="68">
        <v>40.581470000000003</v>
      </c>
      <c r="AD79" s="68">
        <v>40.771324</v>
      </c>
      <c r="AE79" s="68">
        <v>40.965553</v>
      </c>
      <c r="AF79" s="68">
        <v>41.161906999999999</v>
      </c>
      <c r="AG79" s="71">
        <v>1.8487E-2</v>
      </c>
      <c r="AH79">
        <v>2.0818129999999999</v>
      </c>
      <c r="AI79">
        <v>2.0940089999999998</v>
      </c>
      <c r="AJ79" s="22">
        <v>2.5000000000000001E-2</v>
      </c>
    </row>
    <row r="80" spans="1:36" ht="24.5">
      <c r="A80" s="39" t="s">
        <v>2260</v>
      </c>
      <c r="B80" s="67" t="s">
        <v>2245</v>
      </c>
      <c r="C80" s="68">
        <v>0</v>
      </c>
      <c r="D80" s="68">
        <v>0</v>
      </c>
      <c r="E80" s="68">
        <v>0</v>
      </c>
      <c r="F80" s="68">
        <v>0</v>
      </c>
      <c r="G80" s="68">
        <v>0</v>
      </c>
      <c r="H80" s="68">
        <v>0</v>
      </c>
      <c r="I80" s="68">
        <v>0</v>
      </c>
      <c r="J80" s="68">
        <v>0</v>
      </c>
      <c r="K80" s="68">
        <v>0</v>
      </c>
      <c r="L80" s="68">
        <v>0</v>
      </c>
      <c r="M80" s="68">
        <v>0</v>
      </c>
      <c r="N80" s="68">
        <v>0</v>
      </c>
      <c r="O80" s="68">
        <v>0</v>
      </c>
      <c r="P80" s="68">
        <v>0</v>
      </c>
      <c r="Q80" s="68">
        <v>0</v>
      </c>
      <c r="R80" s="68">
        <v>0</v>
      </c>
      <c r="S80" s="68">
        <v>0</v>
      </c>
      <c r="T80" s="68">
        <v>0</v>
      </c>
      <c r="U80" s="68">
        <v>0</v>
      </c>
      <c r="V80" s="68">
        <v>0</v>
      </c>
      <c r="W80" s="68">
        <v>0</v>
      </c>
      <c r="X80" s="68">
        <v>0</v>
      </c>
      <c r="Y80" s="68">
        <v>0</v>
      </c>
      <c r="Z80" s="68">
        <v>0</v>
      </c>
      <c r="AA80" s="68">
        <v>0</v>
      </c>
      <c r="AB80" s="68">
        <v>0</v>
      </c>
      <c r="AC80" s="68">
        <v>0</v>
      </c>
      <c r="AD80" s="68">
        <v>0</v>
      </c>
      <c r="AE80" s="68">
        <v>0</v>
      </c>
      <c r="AF80" s="68">
        <v>0</v>
      </c>
      <c r="AG80" s="71" t="s">
        <v>2198</v>
      </c>
      <c r="AH80">
        <v>11.314631</v>
      </c>
      <c r="AI80">
        <v>11.380922</v>
      </c>
      <c r="AJ80" s="22">
        <v>2.5000000000000001E-2</v>
      </c>
    </row>
    <row r="81" spans="1:36">
      <c r="A81" s="39" t="s">
        <v>2261</v>
      </c>
      <c r="B81" s="67" t="s">
        <v>2247</v>
      </c>
      <c r="C81" s="68">
        <v>0</v>
      </c>
      <c r="D81" s="68">
        <v>0</v>
      </c>
      <c r="E81" s="68">
        <v>0</v>
      </c>
      <c r="F81" s="68">
        <v>0</v>
      </c>
      <c r="G81" s="68">
        <v>0</v>
      </c>
      <c r="H81" s="68">
        <v>0</v>
      </c>
      <c r="I81" s="68">
        <v>0</v>
      </c>
      <c r="J81" s="68">
        <v>0</v>
      </c>
      <c r="K81" s="68">
        <v>0</v>
      </c>
      <c r="L81" s="68">
        <v>0</v>
      </c>
      <c r="M81" s="68">
        <v>0</v>
      </c>
      <c r="N81" s="68">
        <v>0</v>
      </c>
      <c r="O81" s="68">
        <v>0</v>
      </c>
      <c r="P81" s="68">
        <v>0</v>
      </c>
      <c r="Q81" s="68">
        <v>0</v>
      </c>
      <c r="R81" s="68">
        <v>0</v>
      </c>
      <c r="S81" s="68">
        <v>0</v>
      </c>
      <c r="T81" s="68">
        <v>0</v>
      </c>
      <c r="U81" s="68">
        <v>0</v>
      </c>
      <c r="V81" s="68">
        <v>0</v>
      </c>
      <c r="W81" s="68">
        <v>0</v>
      </c>
      <c r="X81" s="68">
        <v>0</v>
      </c>
      <c r="Y81" s="68">
        <v>0</v>
      </c>
      <c r="Z81" s="68">
        <v>0</v>
      </c>
      <c r="AA81" s="68">
        <v>0</v>
      </c>
      <c r="AB81" s="68">
        <v>0</v>
      </c>
      <c r="AC81" s="68">
        <v>0</v>
      </c>
      <c r="AD81" s="68">
        <v>0</v>
      </c>
      <c r="AE81" s="68">
        <v>0</v>
      </c>
      <c r="AF81" s="68">
        <v>0</v>
      </c>
      <c r="AG81" s="71" t="s">
        <v>2198</v>
      </c>
      <c r="AH81">
        <v>0</v>
      </c>
      <c r="AI81">
        <v>0</v>
      </c>
      <c r="AJ81" t="s">
        <v>111</v>
      </c>
    </row>
    <row r="82" spans="1:36" ht="36.5">
      <c r="A82" s="39" t="s">
        <v>2262</v>
      </c>
      <c r="B82" s="67" t="s">
        <v>2249</v>
      </c>
      <c r="C82" s="68">
        <v>24.198651999999999</v>
      </c>
      <c r="D82" s="68">
        <v>27.012305999999999</v>
      </c>
      <c r="E82" s="68">
        <v>29.212630999999998</v>
      </c>
      <c r="F82" s="68">
        <v>30.957491000000001</v>
      </c>
      <c r="G82" s="68">
        <v>32.341728000000003</v>
      </c>
      <c r="H82" s="68">
        <v>33.455863999999998</v>
      </c>
      <c r="I82" s="68">
        <v>34.358207999999998</v>
      </c>
      <c r="J82" s="68">
        <v>35.101486000000001</v>
      </c>
      <c r="K82" s="68">
        <v>35.729759000000001</v>
      </c>
      <c r="L82" s="68">
        <v>36.272857999999999</v>
      </c>
      <c r="M82" s="68">
        <v>36.745235000000001</v>
      </c>
      <c r="N82" s="68">
        <v>37.157916999999998</v>
      </c>
      <c r="O82" s="68">
        <v>37.519179999999999</v>
      </c>
      <c r="P82" s="68">
        <v>37.836520999999998</v>
      </c>
      <c r="Q82" s="68">
        <v>38.120975000000001</v>
      </c>
      <c r="R82" s="68">
        <v>38.371074999999998</v>
      </c>
      <c r="S82" s="68">
        <v>38.582680000000003</v>
      </c>
      <c r="T82" s="68">
        <v>38.780827000000002</v>
      </c>
      <c r="U82" s="68">
        <v>38.998050999999997</v>
      </c>
      <c r="V82" s="68">
        <v>39.207397</v>
      </c>
      <c r="W82" s="68">
        <v>39.410442000000003</v>
      </c>
      <c r="X82" s="68">
        <v>39.611862000000002</v>
      </c>
      <c r="Y82" s="68">
        <v>39.810284000000003</v>
      </c>
      <c r="Z82" s="68">
        <v>40.004852</v>
      </c>
      <c r="AA82" s="68">
        <v>40.199120000000001</v>
      </c>
      <c r="AB82" s="68">
        <v>40.391823000000002</v>
      </c>
      <c r="AC82" s="68">
        <v>40.581470000000003</v>
      </c>
      <c r="AD82" s="68">
        <v>40.771324</v>
      </c>
      <c r="AE82" s="68">
        <v>40.965553</v>
      </c>
      <c r="AF82" s="68">
        <v>41.161906999999999</v>
      </c>
      <c r="AG82" s="71">
        <v>1.8487E-2</v>
      </c>
      <c r="AH82">
        <v>0</v>
      </c>
      <c r="AI82">
        <v>0</v>
      </c>
      <c r="AJ82" t="s">
        <v>111</v>
      </c>
    </row>
    <row r="83" spans="1:36" ht="48.5">
      <c r="A83" s="39" t="s">
        <v>2263</v>
      </c>
      <c r="B83" s="67" t="s">
        <v>2251</v>
      </c>
      <c r="C83" s="68">
        <v>0</v>
      </c>
      <c r="D83" s="68">
        <v>0</v>
      </c>
      <c r="E83" s="68">
        <v>0</v>
      </c>
      <c r="F83" s="68">
        <v>0</v>
      </c>
      <c r="G83" s="68">
        <v>0</v>
      </c>
      <c r="H83" s="68">
        <v>0</v>
      </c>
      <c r="I83" s="68">
        <v>0</v>
      </c>
      <c r="J83" s="68">
        <v>0</v>
      </c>
      <c r="K83" s="68">
        <v>0</v>
      </c>
      <c r="L83" s="68">
        <v>0</v>
      </c>
      <c r="M83" s="68">
        <v>0</v>
      </c>
      <c r="N83" s="68">
        <v>0</v>
      </c>
      <c r="O83" s="68">
        <v>0</v>
      </c>
      <c r="P83" s="68">
        <v>0</v>
      </c>
      <c r="Q83" s="68">
        <v>0</v>
      </c>
      <c r="R83" s="68">
        <v>0</v>
      </c>
      <c r="S83" s="68">
        <v>0</v>
      </c>
      <c r="T83" s="68">
        <v>0</v>
      </c>
      <c r="U83" s="68">
        <v>0</v>
      </c>
      <c r="V83" s="68">
        <v>0</v>
      </c>
      <c r="W83" s="68">
        <v>0</v>
      </c>
      <c r="X83" s="68">
        <v>0</v>
      </c>
      <c r="Y83" s="68">
        <v>0</v>
      </c>
      <c r="Z83" s="68">
        <v>0</v>
      </c>
      <c r="AA83" s="68">
        <v>0</v>
      </c>
      <c r="AB83" s="68">
        <v>0</v>
      </c>
      <c r="AC83" s="68">
        <v>0</v>
      </c>
      <c r="AD83" s="68">
        <v>0</v>
      </c>
      <c r="AE83" s="68">
        <v>0</v>
      </c>
      <c r="AF83" s="68">
        <v>0</v>
      </c>
      <c r="AG83" s="71" t="s">
        <v>2198</v>
      </c>
      <c r="AH83">
        <v>23.661840000000002</v>
      </c>
      <c r="AI83">
        <v>23.94849</v>
      </c>
      <c r="AJ83" s="22">
        <v>2.1999999999999999E-2</v>
      </c>
    </row>
    <row r="84" spans="1:36">
      <c r="A84" s="39" t="s">
        <v>2264</v>
      </c>
      <c r="B84" s="67" t="s">
        <v>2253</v>
      </c>
      <c r="C84" s="68">
        <v>0</v>
      </c>
      <c r="D84" s="68">
        <v>0</v>
      </c>
      <c r="E84" s="68">
        <v>0</v>
      </c>
      <c r="F84" s="68">
        <v>0</v>
      </c>
      <c r="G84" s="68">
        <v>0</v>
      </c>
      <c r="H84" s="68">
        <v>0</v>
      </c>
      <c r="I84" s="68">
        <v>0</v>
      </c>
      <c r="J84" s="68">
        <v>0</v>
      </c>
      <c r="K84" s="68">
        <v>0</v>
      </c>
      <c r="L84" s="68">
        <v>0</v>
      </c>
      <c r="M84" s="68">
        <v>0</v>
      </c>
      <c r="N84" s="68">
        <v>0</v>
      </c>
      <c r="O84" s="68">
        <v>0</v>
      </c>
      <c r="P84" s="68">
        <v>0</v>
      </c>
      <c r="Q84" s="68">
        <v>0</v>
      </c>
      <c r="R84" s="68">
        <v>0</v>
      </c>
      <c r="S84" s="68">
        <v>0</v>
      </c>
      <c r="T84" s="68">
        <v>0</v>
      </c>
      <c r="U84" s="68">
        <v>0</v>
      </c>
      <c r="V84" s="68">
        <v>0</v>
      </c>
      <c r="W84" s="68">
        <v>0</v>
      </c>
      <c r="X84" s="68">
        <v>0</v>
      </c>
      <c r="Y84" s="68">
        <v>0</v>
      </c>
      <c r="Z84" s="68">
        <v>0</v>
      </c>
      <c r="AA84" s="68">
        <v>0</v>
      </c>
      <c r="AB84" s="68">
        <v>0</v>
      </c>
      <c r="AC84" s="68">
        <v>0</v>
      </c>
      <c r="AD84" s="68">
        <v>0</v>
      </c>
      <c r="AE84" s="68">
        <v>0</v>
      </c>
      <c r="AF84" s="68">
        <v>0</v>
      </c>
      <c r="AG84" s="71" t="s">
        <v>2198</v>
      </c>
      <c r="AH84">
        <v>23.661840000000002</v>
      </c>
      <c r="AI84">
        <v>23.94849</v>
      </c>
      <c r="AJ84" s="22">
        <v>2.1999999999999999E-2</v>
      </c>
    </row>
    <row r="85" spans="1:36" ht="24.5">
      <c r="A85" s="39" t="s">
        <v>2265</v>
      </c>
      <c r="B85" s="67" t="s">
        <v>2255</v>
      </c>
      <c r="C85" s="68">
        <v>0</v>
      </c>
      <c r="D85" s="68">
        <v>0</v>
      </c>
      <c r="E85" s="68">
        <v>0</v>
      </c>
      <c r="F85" s="68">
        <v>0</v>
      </c>
      <c r="G85" s="68">
        <v>0</v>
      </c>
      <c r="H85" s="68">
        <v>0</v>
      </c>
      <c r="I85" s="68">
        <v>0</v>
      </c>
      <c r="J85" s="68">
        <v>0</v>
      </c>
      <c r="K85" s="68">
        <v>0</v>
      </c>
      <c r="L85" s="68">
        <v>0</v>
      </c>
      <c r="M85" s="68">
        <v>0</v>
      </c>
      <c r="N85" s="68">
        <v>0</v>
      </c>
      <c r="O85" s="68">
        <v>0</v>
      </c>
      <c r="P85" s="68">
        <v>0</v>
      </c>
      <c r="Q85" s="68">
        <v>0</v>
      </c>
      <c r="R85" s="68">
        <v>0</v>
      </c>
      <c r="S85" s="68">
        <v>0</v>
      </c>
      <c r="T85" s="68">
        <v>0</v>
      </c>
      <c r="U85" s="68">
        <v>0</v>
      </c>
      <c r="V85" s="68">
        <v>0</v>
      </c>
      <c r="W85" s="68">
        <v>0</v>
      </c>
      <c r="X85" s="68">
        <v>0</v>
      </c>
      <c r="Y85" s="68">
        <v>0</v>
      </c>
      <c r="Z85" s="68">
        <v>0</v>
      </c>
      <c r="AA85" s="68">
        <v>0</v>
      </c>
      <c r="AB85" s="68">
        <v>0</v>
      </c>
      <c r="AC85" s="68">
        <v>0</v>
      </c>
      <c r="AD85" s="68">
        <v>0</v>
      </c>
      <c r="AE85" s="68">
        <v>0</v>
      </c>
      <c r="AF85" s="68">
        <v>0</v>
      </c>
      <c r="AG85" s="71" t="s">
        <v>2198</v>
      </c>
      <c r="AH85">
        <v>30.076912</v>
      </c>
      <c r="AI85">
        <v>30.537510000000001</v>
      </c>
      <c r="AJ85" s="22">
        <v>2.1000000000000001E-2</v>
      </c>
    </row>
    <row r="86" spans="1:36">
      <c r="A86" s="39" t="s">
        <v>2266</v>
      </c>
      <c r="B86" s="67" t="s">
        <v>2257</v>
      </c>
      <c r="C86" s="68">
        <v>0</v>
      </c>
      <c r="D86" s="68">
        <v>0</v>
      </c>
      <c r="E86" s="68">
        <v>0</v>
      </c>
      <c r="F86" s="68">
        <v>0</v>
      </c>
      <c r="G86" s="68">
        <v>0</v>
      </c>
      <c r="H86" s="68">
        <v>0</v>
      </c>
      <c r="I86" s="68">
        <v>0</v>
      </c>
      <c r="J86" s="68">
        <v>0</v>
      </c>
      <c r="K86" s="68">
        <v>0</v>
      </c>
      <c r="L86" s="68">
        <v>0</v>
      </c>
      <c r="M86" s="68">
        <v>0</v>
      </c>
      <c r="N86" s="68">
        <v>0</v>
      </c>
      <c r="O86" s="68">
        <v>0</v>
      </c>
      <c r="P86" s="68">
        <v>0</v>
      </c>
      <c r="Q86" s="68">
        <v>0</v>
      </c>
      <c r="R86" s="68">
        <v>0</v>
      </c>
      <c r="S86" s="68">
        <v>0</v>
      </c>
      <c r="T86" s="68">
        <v>0</v>
      </c>
      <c r="U86" s="68">
        <v>0</v>
      </c>
      <c r="V86" s="68">
        <v>0</v>
      </c>
      <c r="W86" s="68">
        <v>0</v>
      </c>
      <c r="X86" s="68">
        <v>0</v>
      </c>
      <c r="Y86" s="68">
        <v>0</v>
      </c>
      <c r="Z86" s="68">
        <v>0</v>
      </c>
      <c r="AA86" s="68">
        <v>0</v>
      </c>
      <c r="AB86" s="68">
        <v>0</v>
      </c>
      <c r="AC86" s="68">
        <v>0</v>
      </c>
      <c r="AD86" s="68">
        <v>0</v>
      </c>
      <c r="AE86" s="68">
        <v>0</v>
      </c>
      <c r="AF86" s="68">
        <v>0</v>
      </c>
      <c r="AG86" s="71" t="s">
        <v>2198</v>
      </c>
      <c r="AH86">
        <v>9.5472020000000004</v>
      </c>
      <c r="AI86">
        <v>9.7163330000000006</v>
      </c>
      <c r="AJ86" s="22">
        <v>2.1999999999999999E-2</v>
      </c>
    </row>
    <row r="87" spans="1:36" ht="24.5">
      <c r="A87" s="39" t="s">
        <v>2267</v>
      </c>
      <c r="B87" s="67" t="s">
        <v>2268</v>
      </c>
      <c r="C87" s="68">
        <v>76.044501999999994</v>
      </c>
      <c r="D87" s="68">
        <v>90.79213</v>
      </c>
      <c r="E87" s="68">
        <v>95.971183999999994</v>
      </c>
      <c r="F87" s="68">
        <v>97.429085000000001</v>
      </c>
      <c r="G87" s="68">
        <v>97.634795999999994</v>
      </c>
      <c r="H87" s="68">
        <v>97.284903999999997</v>
      </c>
      <c r="I87" s="68">
        <v>96.741660999999993</v>
      </c>
      <c r="J87" s="68">
        <v>96.209746999999993</v>
      </c>
      <c r="K87" s="68">
        <v>95.684082000000004</v>
      </c>
      <c r="L87" s="68">
        <v>95.148360999999994</v>
      </c>
      <c r="M87" s="68">
        <v>94.614684999999994</v>
      </c>
      <c r="N87" s="68">
        <v>94.155013999999994</v>
      </c>
      <c r="O87" s="68">
        <v>93.805999999999997</v>
      </c>
      <c r="P87" s="68">
        <v>93.575080999999997</v>
      </c>
      <c r="Q87" s="68">
        <v>93.392753999999996</v>
      </c>
      <c r="R87" s="68">
        <v>93.334914999999995</v>
      </c>
      <c r="S87" s="68">
        <v>93.530533000000005</v>
      </c>
      <c r="T87" s="68">
        <v>93.673462000000001</v>
      </c>
      <c r="U87" s="68">
        <v>93.444473000000002</v>
      </c>
      <c r="V87" s="68">
        <v>93.205589000000003</v>
      </c>
      <c r="W87" s="68">
        <v>92.894690999999995</v>
      </c>
      <c r="X87" s="68">
        <v>92.550583000000003</v>
      </c>
      <c r="Y87" s="68">
        <v>92.190781000000001</v>
      </c>
      <c r="Z87" s="68">
        <v>91.816612000000006</v>
      </c>
      <c r="AA87" s="68">
        <v>91.437714</v>
      </c>
      <c r="AB87" s="68">
        <v>91.057372999999998</v>
      </c>
      <c r="AC87" s="68">
        <v>90.650406000000004</v>
      </c>
      <c r="AD87" s="68">
        <v>90.221801999999997</v>
      </c>
      <c r="AE87" s="68">
        <v>89.772278</v>
      </c>
      <c r="AF87" s="68">
        <v>89.311194999999998</v>
      </c>
      <c r="AG87" s="71">
        <v>5.561E-3</v>
      </c>
      <c r="AH87">
        <v>20.529709</v>
      </c>
      <c r="AI87">
        <v>20.821176999999999</v>
      </c>
      <c r="AJ87" s="22">
        <v>2.1000000000000001E-2</v>
      </c>
    </row>
    <row r="88" spans="1:36" ht="24.5">
      <c r="A88" s="39" t="s">
        <v>2269</v>
      </c>
      <c r="B88" s="67" t="s">
        <v>2245</v>
      </c>
      <c r="C88" s="68">
        <v>4.5499660000000004</v>
      </c>
      <c r="D88" s="68">
        <v>5.4323610000000002</v>
      </c>
      <c r="E88" s="68">
        <v>5.7422389999999996</v>
      </c>
      <c r="F88" s="68">
        <v>5.8294680000000003</v>
      </c>
      <c r="G88" s="68">
        <v>5.8417770000000004</v>
      </c>
      <c r="H88" s="68">
        <v>5.8208419999999998</v>
      </c>
      <c r="I88" s="68">
        <v>5.7883389999999997</v>
      </c>
      <c r="J88" s="68">
        <v>5.7565119999999999</v>
      </c>
      <c r="K88" s="68">
        <v>5.72506</v>
      </c>
      <c r="L88" s="68">
        <v>5.6930069999999997</v>
      </c>
      <c r="M88" s="68">
        <v>5.6610750000000003</v>
      </c>
      <c r="N88" s="68">
        <v>5.6335709999999999</v>
      </c>
      <c r="O88" s="68">
        <v>5.6126889999999996</v>
      </c>
      <c r="P88" s="68">
        <v>5.5988730000000002</v>
      </c>
      <c r="Q88" s="68">
        <v>5.5879630000000002</v>
      </c>
      <c r="R88" s="68">
        <v>5.5845029999999998</v>
      </c>
      <c r="S88" s="68">
        <v>5.5962059999999996</v>
      </c>
      <c r="T88" s="68">
        <v>5.6047589999999996</v>
      </c>
      <c r="U88" s="68">
        <v>5.5910580000000003</v>
      </c>
      <c r="V88" s="68">
        <v>5.576765</v>
      </c>
      <c r="W88" s="68">
        <v>5.5581630000000004</v>
      </c>
      <c r="X88" s="68">
        <v>5.5375730000000001</v>
      </c>
      <c r="Y88" s="68">
        <v>5.5160460000000002</v>
      </c>
      <c r="Z88" s="68">
        <v>5.4936579999999999</v>
      </c>
      <c r="AA88" s="68">
        <v>5.470987</v>
      </c>
      <c r="AB88" s="68">
        <v>5.4482299999999997</v>
      </c>
      <c r="AC88" s="68">
        <v>5.4238799999999996</v>
      </c>
      <c r="AD88" s="68">
        <v>5.3982349999999997</v>
      </c>
      <c r="AE88" s="68">
        <v>5.37134</v>
      </c>
      <c r="AF88" s="68">
        <v>5.3437510000000001</v>
      </c>
      <c r="AG88" s="71">
        <v>5.561E-3</v>
      </c>
      <c r="AH88">
        <v>0</v>
      </c>
      <c r="AI88">
        <v>0</v>
      </c>
      <c r="AJ88" t="s">
        <v>111</v>
      </c>
    </row>
    <row r="89" spans="1:36">
      <c r="A89" s="39" t="s">
        <v>2270</v>
      </c>
      <c r="B89" s="67" t="s">
        <v>2247</v>
      </c>
      <c r="C89" s="68">
        <v>0</v>
      </c>
      <c r="D89" s="68">
        <v>0</v>
      </c>
      <c r="E89" s="68">
        <v>0</v>
      </c>
      <c r="F89" s="68">
        <v>0</v>
      </c>
      <c r="G89" s="68">
        <v>0</v>
      </c>
      <c r="H89" s="68">
        <v>0</v>
      </c>
      <c r="I89" s="68">
        <v>0</v>
      </c>
      <c r="J89" s="68">
        <v>0</v>
      </c>
      <c r="K89" s="68">
        <v>0</v>
      </c>
      <c r="L89" s="68">
        <v>0</v>
      </c>
      <c r="M89" s="68">
        <v>0</v>
      </c>
      <c r="N89" s="68">
        <v>0</v>
      </c>
      <c r="O89" s="68">
        <v>0</v>
      </c>
      <c r="P89" s="68">
        <v>0</v>
      </c>
      <c r="Q89" s="68">
        <v>0</v>
      </c>
      <c r="R89" s="68">
        <v>0</v>
      </c>
      <c r="S89" s="68">
        <v>0</v>
      </c>
      <c r="T89" s="68">
        <v>0</v>
      </c>
      <c r="U89" s="68">
        <v>0</v>
      </c>
      <c r="V89" s="68">
        <v>0</v>
      </c>
      <c r="W89" s="68">
        <v>0</v>
      </c>
      <c r="X89" s="68">
        <v>0</v>
      </c>
      <c r="Y89" s="68">
        <v>0</v>
      </c>
      <c r="Z89" s="68">
        <v>0</v>
      </c>
      <c r="AA89" s="68">
        <v>0</v>
      </c>
      <c r="AB89" s="68">
        <v>0</v>
      </c>
      <c r="AC89" s="68">
        <v>0</v>
      </c>
      <c r="AD89" s="68">
        <v>0</v>
      </c>
      <c r="AE89" s="68">
        <v>0</v>
      </c>
      <c r="AF89" s="68">
        <v>0</v>
      </c>
      <c r="AG89" s="71" t="s">
        <v>2198</v>
      </c>
      <c r="AH89">
        <v>0</v>
      </c>
      <c r="AI89">
        <v>0</v>
      </c>
      <c r="AJ89" t="s">
        <v>111</v>
      </c>
    </row>
    <row r="90" spans="1:36" ht="36.5">
      <c r="A90" s="39" t="s">
        <v>2271</v>
      </c>
      <c r="B90" s="67" t="s">
        <v>2249</v>
      </c>
      <c r="C90" s="68">
        <v>66.903946000000005</v>
      </c>
      <c r="D90" s="68">
        <v>79.866623000000004</v>
      </c>
      <c r="E90" s="68">
        <v>84.410392999999999</v>
      </c>
      <c r="F90" s="68">
        <v>85.676758000000007</v>
      </c>
      <c r="G90" s="68">
        <v>85.841071999999997</v>
      </c>
      <c r="H90" s="68">
        <v>85.516707999999994</v>
      </c>
      <c r="I90" s="68">
        <v>85.022239999999996</v>
      </c>
      <c r="J90" s="68">
        <v>84.537384000000003</v>
      </c>
      <c r="K90" s="68">
        <v>84.058197000000007</v>
      </c>
      <c r="L90" s="68">
        <v>83.57029</v>
      </c>
      <c r="M90" s="68">
        <v>83.087447999999995</v>
      </c>
      <c r="N90" s="68">
        <v>82.669296000000003</v>
      </c>
      <c r="O90" s="68">
        <v>82.348731999999998</v>
      </c>
      <c r="P90" s="68">
        <v>82.131691000000004</v>
      </c>
      <c r="Q90" s="68">
        <v>81.956665000000001</v>
      </c>
      <c r="R90" s="68">
        <v>81.890297000000004</v>
      </c>
      <c r="S90" s="68">
        <v>82.045471000000006</v>
      </c>
      <c r="T90" s="68">
        <v>82.153717</v>
      </c>
      <c r="U90" s="68">
        <v>81.93544</v>
      </c>
      <c r="V90" s="68">
        <v>81.707840000000004</v>
      </c>
      <c r="W90" s="68">
        <v>81.416816999999995</v>
      </c>
      <c r="X90" s="68">
        <v>81.096405000000004</v>
      </c>
      <c r="Y90" s="68">
        <v>80.761443999999997</v>
      </c>
      <c r="Z90" s="68">
        <v>80.413048000000003</v>
      </c>
      <c r="AA90" s="68">
        <v>80.060181</v>
      </c>
      <c r="AB90" s="68">
        <v>79.705521000000005</v>
      </c>
      <c r="AC90" s="68">
        <v>79.327445999999995</v>
      </c>
      <c r="AD90" s="68">
        <v>78.930412000000004</v>
      </c>
      <c r="AE90" s="68">
        <v>78.515174999999999</v>
      </c>
      <c r="AF90" s="68">
        <v>78.090041999999997</v>
      </c>
      <c r="AG90" s="71">
        <v>5.3449999999999999E-3</v>
      </c>
      <c r="AH90">
        <v>192.858002</v>
      </c>
      <c r="AI90">
        <v>192.57214400000001</v>
      </c>
      <c r="AJ90" s="22">
        <v>-2E-3</v>
      </c>
    </row>
    <row r="91" spans="1:36" ht="48.5">
      <c r="A91" s="39" t="s">
        <v>2272</v>
      </c>
      <c r="B91" s="67" t="s">
        <v>2251</v>
      </c>
      <c r="C91" s="68">
        <v>0.87057399999999996</v>
      </c>
      <c r="D91" s="68">
        <v>1.0516920000000001</v>
      </c>
      <c r="E91" s="68">
        <v>1.1237379999999999</v>
      </c>
      <c r="F91" s="68">
        <v>1.1567270000000001</v>
      </c>
      <c r="G91" s="68">
        <v>1.1757610000000001</v>
      </c>
      <c r="H91" s="68">
        <v>1.18828</v>
      </c>
      <c r="I91" s="68">
        <v>1.1985840000000001</v>
      </c>
      <c r="J91" s="68">
        <v>1.2093670000000001</v>
      </c>
      <c r="K91" s="68">
        <v>1.2200660000000001</v>
      </c>
      <c r="L91" s="68">
        <v>1.230507</v>
      </c>
      <c r="M91" s="68">
        <v>1.237716</v>
      </c>
      <c r="N91" s="68">
        <v>1.2461850000000001</v>
      </c>
      <c r="O91" s="68">
        <v>1.2556890000000001</v>
      </c>
      <c r="P91" s="68">
        <v>1.2669239999999999</v>
      </c>
      <c r="Q91" s="68">
        <v>1.279453</v>
      </c>
      <c r="R91" s="68">
        <v>1.2942689999999999</v>
      </c>
      <c r="S91" s="68">
        <v>1.3134410000000001</v>
      </c>
      <c r="T91" s="68">
        <v>1.332581</v>
      </c>
      <c r="U91" s="68">
        <v>1.34677</v>
      </c>
      <c r="V91" s="68">
        <v>1.3614630000000001</v>
      </c>
      <c r="W91" s="68">
        <v>1.375402</v>
      </c>
      <c r="X91" s="68">
        <v>1.389122</v>
      </c>
      <c r="Y91" s="68">
        <v>1.40341</v>
      </c>
      <c r="Z91" s="68">
        <v>1.418331</v>
      </c>
      <c r="AA91" s="68">
        <v>1.4335059999999999</v>
      </c>
      <c r="AB91" s="68">
        <v>1.449198</v>
      </c>
      <c r="AC91" s="68">
        <v>1.4645550000000001</v>
      </c>
      <c r="AD91" s="68">
        <v>1.479595</v>
      </c>
      <c r="AE91" s="68">
        <v>1.4942040000000001</v>
      </c>
      <c r="AF91" s="68">
        <v>1.508394</v>
      </c>
      <c r="AG91" s="71">
        <v>1.9134000000000002E-2</v>
      </c>
      <c r="AH91">
        <v>148.35287500000001</v>
      </c>
      <c r="AI91">
        <v>147.84863300000001</v>
      </c>
      <c r="AJ91" s="22">
        <v>-4.0000000000000001E-3</v>
      </c>
    </row>
    <row r="92" spans="1:36">
      <c r="A92" s="39" t="s">
        <v>2273</v>
      </c>
      <c r="B92" s="67" t="s">
        <v>2253</v>
      </c>
      <c r="C92" s="68">
        <v>3.7200169999999999</v>
      </c>
      <c r="D92" s="68">
        <v>4.4414559999999996</v>
      </c>
      <c r="E92" s="68">
        <v>4.6948090000000002</v>
      </c>
      <c r="F92" s="68">
        <v>4.7661290000000003</v>
      </c>
      <c r="G92" s="68">
        <v>4.776192</v>
      </c>
      <c r="H92" s="68">
        <v>4.7590760000000003</v>
      </c>
      <c r="I92" s="68">
        <v>4.7325010000000001</v>
      </c>
      <c r="J92" s="68">
        <v>4.7064789999999999</v>
      </c>
      <c r="K92" s="68">
        <v>4.6807660000000002</v>
      </c>
      <c r="L92" s="68">
        <v>4.6545579999999998</v>
      </c>
      <c r="M92" s="68">
        <v>4.6284510000000001</v>
      </c>
      <c r="N92" s="68">
        <v>4.6059640000000002</v>
      </c>
      <c r="O92" s="68">
        <v>4.5888910000000003</v>
      </c>
      <c r="P92" s="68">
        <v>4.5775959999999998</v>
      </c>
      <c r="Q92" s="68">
        <v>4.568676</v>
      </c>
      <c r="R92" s="68">
        <v>4.5658450000000004</v>
      </c>
      <c r="S92" s="68">
        <v>4.5754159999999997</v>
      </c>
      <c r="T92" s="68">
        <v>4.5824069999999999</v>
      </c>
      <c r="U92" s="68">
        <v>4.5712060000000001</v>
      </c>
      <c r="V92" s="68">
        <v>4.55952</v>
      </c>
      <c r="W92" s="68">
        <v>4.5443110000000004</v>
      </c>
      <c r="X92" s="68">
        <v>4.5274770000000002</v>
      </c>
      <c r="Y92" s="68">
        <v>4.5098760000000002</v>
      </c>
      <c r="Z92" s="68">
        <v>4.4915719999999997</v>
      </c>
      <c r="AA92" s="68">
        <v>4.4730369999999997</v>
      </c>
      <c r="AB92" s="68">
        <v>4.4544319999999997</v>
      </c>
      <c r="AC92" s="68">
        <v>4.4345220000000003</v>
      </c>
      <c r="AD92" s="68">
        <v>4.4135559999999998</v>
      </c>
      <c r="AE92" s="68">
        <v>4.3915660000000001</v>
      </c>
      <c r="AF92" s="68">
        <v>4.3690100000000003</v>
      </c>
      <c r="AG92" s="71">
        <v>5.561E-3</v>
      </c>
      <c r="AH92">
        <v>44.505119000000001</v>
      </c>
      <c r="AI92">
        <v>44.723514999999999</v>
      </c>
      <c r="AJ92" s="22">
        <v>5.0000000000000001E-3</v>
      </c>
    </row>
    <row r="93" spans="1:36" ht="24.5">
      <c r="A93" s="39" t="s">
        <v>2274</v>
      </c>
      <c r="B93" s="67" t="s">
        <v>2255</v>
      </c>
      <c r="C93" s="68">
        <v>0</v>
      </c>
      <c r="D93" s="68">
        <v>0</v>
      </c>
      <c r="E93" s="68">
        <v>0</v>
      </c>
      <c r="F93" s="68">
        <v>0</v>
      </c>
      <c r="G93" s="68">
        <v>0</v>
      </c>
      <c r="H93" s="68">
        <v>0</v>
      </c>
      <c r="I93" s="68">
        <v>0</v>
      </c>
      <c r="J93" s="68">
        <v>0</v>
      </c>
      <c r="K93" s="68">
        <v>0</v>
      </c>
      <c r="L93" s="68">
        <v>0</v>
      </c>
      <c r="M93" s="68">
        <v>0</v>
      </c>
      <c r="N93" s="68">
        <v>0</v>
      </c>
      <c r="O93" s="68">
        <v>0</v>
      </c>
      <c r="P93" s="68">
        <v>0</v>
      </c>
      <c r="Q93" s="68">
        <v>0</v>
      </c>
      <c r="R93" s="68">
        <v>0</v>
      </c>
      <c r="S93" s="68">
        <v>0</v>
      </c>
      <c r="T93" s="68">
        <v>0</v>
      </c>
      <c r="U93" s="68">
        <v>0</v>
      </c>
      <c r="V93" s="68">
        <v>0</v>
      </c>
      <c r="W93" s="68">
        <v>0</v>
      </c>
      <c r="X93" s="68">
        <v>0</v>
      </c>
      <c r="Y93" s="68">
        <v>0</v>
      </c>
      <c r="Z93" s="68">
        <v>0</v>
      </c>
      <c r="AA93" s="68">
        <v>0</v>
      </c>
      <c r="AB93" s="68">
        <v>0</v>
      </c>
      <c r="AC93" s="68">
        <v>0</v>
      </c>
      <c r="AD93" s="68">
        <v>0</v>
      </c>
      <c r="AE93" s="68">
        <v>0</v>
      </c>
      <c r="AF93" s="68">
        <v>0</v>
      </c>
      <c r="AG93" s="71" t="s">
        <v>2198</v>
      </c>
      <c r="AH93">
        <v>132.70448300000001</v>
      </c>
      <c r="AI93">
        <v>132.83111600000001</v>
      </c>
      <c r="AJ93" s="22">
        <v>2E-3</v>
      </c>
    </row>
    <row r="94" spans="1:36">
      <c r="A94" s="39" t="s">
        <v>2275</v>
      </c>
      <c r="B94" s="67" t="s">
        <v>2257</v>
      </c>
      <c r="C94" s="68">
        <v>0</v>
      </c>
      <c r="D94" s="68">
        <v>0</v>
      </c>
      <c r="E94" s="68">
        <v>0</v>
      </c>
      <c r="F94" s="68">
        <v>0</v>
      </c>
      <c r="G94" s="68">
        <v>0</v>
      </c>
      <c r="H94" s="68">
        <v>0</v>
      </c>
      <c r="I94" s="68">
        <v>0</v>
      </c>
      <c r="J94" s="68">
        <v>0</v>
      </c>
      <c r="K94" s="68">
        <v>0</v>
      </c>
      <c r="L94" s="68">
        <v>0</v>
      </c>
      <c r="M94" s="68">
        <v>0</v>
      </c>
      <c r="N94" s="68">
        <v>0</v>
      </c>
      <c r="O94" s="68">
        <v>0</v>
      </c>
      <c r="P94" s="68">
        <v>0</v>
      </c>
      <c r="Q94" s="68">
        <v>0</v>
      </c>
      <c r="R94" s="68">
        <v>0</v>
      </c>
      <c r="S94" s="68">
        <v>0</v>
      </c>
      <c r="T94" s="68">
        <v>0</v>
      </c>
      <c r="U94" s="68">
        <v>0</v>
      </c>
      <c r="V94" s="68">
        <v>0</v>
      </c>
      <c r="W94" s="68">
        <v>0</v>
      </c>
      <c r="X94" s="68">
        <v>0</v>
      </c>
      <c r="Y94" s="68">
        <v>0</v>
      </c>
      <c r="Z94" s="68">
        <v>0</v>
      </c>
      <c r="AA94" s="68">
        <v>0</v>
      </c>
      <c r="AB94" s="68">
        <v>0</v>
      </c>
      <c r="AC94" s="68">
        <v>0</v>
      </c>
      <c r="AD94" s="68">
        <v>0</v>
      </c>
      <c r="AE94" s="68">
        <v>0</v>
      </c>
      <c r="AF94" s="68">
        <v>0</v>
      </c>
      <c r="AG94" s="71" t="s">
        <v>2198</v>
      </c>
      <c r="AH94">
        <v>703.19329800000003</v>
      </c>
      <c r="AI94">
        <v>710.15020800000002</v>
      </c>
      <c r="AJ94" s="22">
        <v>-2E-3</v>
      </c>
    </row>
    <row r="95" spans="1:36" ht="36.5">
      <c r="A95" s="39" t="s">
        <v>2276</v>
      </c>
      <c r="B95" s="66" t="s">
        <v>2172</v>
      </c>
      <c r="C95" s="69">
        <v>35.747318</v>
      </c>
      <c r="D95" s="69">
        <v>40.344104999999999</v>
      </c>
      <c r="E95" s="69">
        <v>43.365397999999999</v>
      </c>
      <c r="F95" s="69">
        <v>45.948174000000002</v>
      </c>
      <c r="G95" s="69">
        <v>47.974677999999997</v>
      </c>
      <c r="H95" s="69">
        <v>49.670772999999997</v>
      </c>
      <c r="I95" s="69">
        <v>50.918190000000003</v>
      </c>
      <c r="J95" s="69">
        <v>51.923713999999997</v>
      </c>
      <c r="K95" s="69">
        <v>52.848305000000003</v>
      </c>
      <c r="L95" s="69">
        <v>53.864001999999999</v>
      </c>
      <c r="M95" s="69">
        <v>54.846595999999998</v>
      </c>
      <c r="N95" s="69">
        <v>55.669662000000002</v>
      </c>
      <c r="O95" s="69">
        <v>56.455813999999997</v>
      </c>
      <c r="P95" s="69">
        <v>57.163257999999999</v>
      </c>
      <c r="Q95" s="69">
        <v>57.769817000000003</v>
      </c>
      <c r="R95" s="69">
        <v>58.395102999999999</v>
      </c>
      <c r="S95" s="69">
        <v>59.068030999999998</v>
      </c>
      <c r="T95" s="69">
        <v>59.723274000000004</v>
      </c>
      <c r="U95" s="69">
        <v>60.304985000000002</v>
      </c>
      <c r="V95" s="69">
        <v>60.995941000000002</v>
      </c>
      <c r="W95" s="69">
        <v>61.573295999999999</v>
      </c>
      <c r="X95" s="69">
        <v>62.161354000000003</v>
      </c>
      <c r="Y95" s="69">
        <v>62.81823</v>
      </c>
      <c r="Z95" s="69">
        <v>63.486359</v>
      </c>
      <c r="AA95" s="69">
        <v>64.212356999999997</v>
      </c>
      <c r="AB95" s="69">
        <v>65.027725000000004</v>
      </c>
      <c r="AC95" s="69">
        <v>65.726546999999997</v>
      </c>
      <c r="AD95" s="69">
        <v>66.387557999999999</v>
      </c>
      <c r="AE95" s="69">
        <v>67.135193000000001</v>
      </c>
      <c r="AF95" s="69">
        <v>67.960930000000005</v>
      </c>
      <c r="AG95" s="72">
        <v>2.2401000000000001E-2</v>
      </c>
      <c r="AH95">
        <v>28719.751952999999</v>
      </c>
      <c r="AI95">
        <v>28946.207031000002</v>
      </c>
      <c r="AJ95" s="22">
        <v>3.0000000000000001E-3</v>
      </c>
    </row>
    <row r="96" spans="1:36" ht="24.5">
      <c r="A96" s="39" t="s">
        <v>2277</v>
      </c>
      <c r="B96" s="67" t="s">
        <v>2278</v>
      </c>
      <c r="C96" s="68">
        <v>6.5376079999999996</v>
      </c>
      <c r="D96" s="68">
        <v>7.6941170000000003</v>
      </c>
      <c r="E96" s="68">
        <v>8.600384</v>
      </c>
      <c r="F96" s="68">
        <v>9.3146170000000001</v>
      </c>
      <c r="G96" s="68">
        <v>9.8805449999999997</v>
      </c>
      <c r="H96" s="68">
        <v>10.335025999999999</v>
      </c>
      <c r="I96" s="68">
        <v>10.704774</v>
      </c>
      <c r="J96" s="68">
        <v>11.008782</v>
      </c>
      <c r="K96" s="68">
        <v>11.263825000000001</v>
      </c>
      <c r="L96" s="68">
        <v>11.482137</v>
      </c>
      <c r="M96" s="68">
        <v>11.671988000000001</v>
      </c>
      <c r="N96" s="68">
        <v>11.837391999999999</v>
      </c>
      <c r="O96" s="68">
        <v>11.982087999999999</v>
      </c>
      <c r="P96" s="68">
        <v>12.11</v>
      </c>
      <c r="Q96" s="68">
        <v>12.225593999999999</v>
      </c>
      <c r="R96" s="68">
        <v>12.328609</v>
      </c>
      <c r="S96" s="68">
        <v>12.416886</v>
      </c>
      <c r="T96" s="68">
        <v>12.500261</v>
      </c>
      <c r="U96" s="68">
        <v>12.589261</v>
      </c>
      <c r="V96" s="68">
        <v>12.674621999999999</v>
      </c>
      <c r="W96" s="68">
        <v>12.758965</v>
      </c>
      <c r="X96" s="68">
        <v>12.842041</v>
      </c>
      <c r="Y96" s="68">
        <v>12.923666000000001</v>
      </c>
      <c r="Z96" s="68">
        <v>13.003992</v>
      </c>
      <c r="AA96" s="68">
        <v>13.083086</v>
      </c>
      <c r="AB96" s="68">
        <v>13.161218999999999</v>
      </c>
      <c r="AC96" s="68">
        <v>13.239566</v>
      </c>
      <c r="AD96" s="68">
        <v>13.317968</v>
      </c>
      <c r="AE96" s="68">
        <v>13.396444000000001</v>
      </c>
      <c r="AF96" s="68">
        <v>13.474932000000001</v>
      </c>
      <c r="AG96" s="71">
        <v>2.5253999999999999E-2</v>
      </c>
    </row>
    <row r="97" spans="1:33" ht="24.5">
      <c r="A97" s="39" t="s">
        <v>2279</v>
      </c>
      <c r="B97" s="67" t="s">
        <v>2255</v>
      </c>
      <c r="C97" s="68">
        <v>1.0159469999999999</v>
      </c>
      <c r="D97" s="68">
        <v>1.1956690000000001</v>
      </c>
      <c r="E97" s="68">
        <v>1.336503</v>
      </c>
      <c r="F97" s="68">
        <v>1.447495</v>
      </c>
      <c r="G97" s="68">
        <v>1.5354399999999999</v>
      </c>
      <c r="H97" s="68">
        <v>1.6060669999999999</v>
      </c>
      <c r="I97" s="68">
        <v>1.663527</v>
      </c>
      <c r="J97" s="68">
        <v>1.710769</v>
      </c>
      <c r="K97" s="68">
        <v>1.750402</v>
      </c>
      <c r="L97" s="68">
        <v>1.7843279999999999</v>
      </c>
      <c r="M97" s="68">
        <v>1.813831</v>
      </c>
      <c r="N97" s="68">
        <v>1.8395360000000001</v>
      </c>
      <c r="O97" s="68">
        <v>1.8620209999999999</v>
      </c>
      <c r="P97" s="68">
        <v>1.881899</v>
      </c>
      <c r="Q97" s="68">
        <v>1.8998619999999999</v>
      </c>
      <c r="R97" s="68">
        <v>1.9158710000000001</v>
      </c>
      <c r="S97" s="68">
        <v>1.929589</v>
      </c>
      <c r="T97" s="68">
        <v>1.9425460000000001</v>
      </c>
      <c r="U97" s="68">
        <v>1.9563759999999999</v>
      </c>
      <c r="V97" s="68">
        <v>1.969641</v>
      </c>
      <c r="W97" s="68">
        <v>1.982748</v>
      </c>
      <c r="X97" s="68">
        <v>1.9956579999999999</v>
      </c>
      <c r="Y97" s="68">
        <v>2.008343</v>
      </c>
      <c r="Z97" s="68">
        <v>2.0208249999999999</v>
      </c>
      <c r="AA97" s="68">
        <v>2.0331160000000001</v>
      </c>
      <c r="AB97" s="68">
        <v>2.0452590000000002</v>
      </c>
      <c r="AC97" s="68">
        <v>2.0574340000000002</v>
      </c>
      <c r="AD97" s="68">
        <v>2.069617</v>
      </c>
      <c r="AE97" s="68">
        <v>2.0818129999999999</v>
      </c>
      <c r="AF97" s="68">
        <v>2.0940089999999998</v>
      </c>
      <c r="AG97" s="71">
        <v>2.5253999999999999E-2</v>
      </c>
    </row>
    <row r="98" spans="1:33">
      <c r="A98" s="39" t="s">
        <v>2280</v>
      </c>
      <c r="B98" s="67" t="s">
        <v>2281</v>
      </c>
      <c r="C98" s="68">
        <v>5.5216609999999999</v>
      </c>
      <c r="D98" s="68">
        <v>6.4984479999999998</v>
      </c>
      <c r="E98" s="68">
        <v>7.2638809999999996</v>
      </c>
      <c r="F98" s="68">
        <v>7.8671220000000002</v>
      </c>
      <c r="G98" s="68">
        <v>8.3451039999999992</v>
      </c>
      <c r="H98" s="68">
        <v>8.7289589999999997</v>
      </c>
      <c r="I98" s="68">
        <v>9.0412470000000003</v>
      </c>
      <c r="J98" s="68">
        <v>9.2980140000000002</v>
      </c>
      <c r="K98" s="68">
        <v>9.5134229999999995</v>
      </c>
      <c r="L98" s="68">
        <v>9.6978080000000002</v>
      </c>
      <c r="M98" s="68">
        <v>9.8581559999999993</v>
      </c>
      <c r="N98" s="68">
        <v>9.9978560000000005</v>
      </c>
      <c r="O98" s="68">
        <v>10.120067000000001</v>
      </c>
      <c r="P98" s="68">
        <v>10.228101000000001</v>
      </c>
      <c r="Q98" s="68">
        <v>10.325730999999999</v>
      </c>
      <c r="R98" s="68">
        <v>10.412739</v>
      </c>
      <c r="S98" s="68">
        <v>10.487297</v>
      </c>
      <c r="T98" s="68">
        <v>10.557715</v>
      </c>
      <c r="U98" s="68">
        <v>10.632885</v>
      </c>
      <c r="V98" s="68">
        <v>10.704981</v>
      </c>
      <c r="W98" s="68">
        <v>10.776217000000001</v>
      </c>
      <c r="X98" s="68">
        <v>10.846382999999999</v>
      </c>
      <c r="Y98" s="68">
        <v>10.915323000000001</v>
      </c>
      <c r="Z98" s="68">
        <v>10.983167</v>
      </c>
      <c r="AA98" s="68">
        <v>11.04997</v>
      </c>
      <c r="AB98" s="68">
        <v>11.115959999999999</v>
      </c>
      <c r="AC98" s="68">
        <v>11.182131999999999</v>
      </c>
      <c r="AD98" s="68">
        <v>11.248351</v>
      </c>
      <c r="AE98" s="68">
        <v>11.314631</v>
      </c>
      <c r="AF98" s="68">
        <v>11.380922</v>
      </c>
      <c r="AG98" s="71">
        <v>2.5253999999999999E-2</v>
      </c>
    </row>
    <row r="99" spans="1:33" ht="48.5">
      <c r="A99" s="39" t="s">
        <v>2282</v>
      </c>
      <c r="B99" s="67" t="s">
        <v>2283</v>
      </c>
      <c r="C99" s="68">
        <v>0</v>
      </c>
      <c r="D99" s="68">
        <v>0</v>
      </c>
      <c r="E99" s="68">
        <v>0</v>
      </c>
      <c r="F99" s="68">
        <v>0</v>
      </c>
      <c r="G99" s="68">
        <v>0</v>
      </c>
      <c r="H99" s="68">
        <v>0</v>
      </c>
      <c r="I99" s="68">
        <v>0</v>
      </c>
      <c r="J99" s="68">
        <v>0</v>
      </c>
      <c r="K99" s="68">
        <v>0</v>
      </c>
      <c r="L99" s="68">
        <v>0</v>
      </c>
      <c r="M99" s="68">
        <v>0</v>
      </c>
      <c r="N99" s="68">
        <v>0</v>
      </c>
      <c r="O99" s="68">
        <v>0</v>
      </c>
      <c r="P99" s="68">
        <v>0</v>
      </c>
      <c r="Q99" s="68">
        <v>0</v>
      </c>
      <c r="R99" s="68">
        <v>0</v>
      </c>
      <c r="S99" s="68">
        <v>0</v>
      </c>
      <c r="T99" s="68">
        <v>0</v>
      </c>
      <c r="U99" s="68">
        <v>0</v>
      </c>
      <c r="V99" s="68">
        <v>0</v>
      </c>
      <c r="W99" s="68">
        <v>0</v>
      </c>
      <c r="X99" s="68">
        <v>0</v>
      </c>
      <c r="Y99" s="68">
        <v>0</v>
      </c>
      <c r="Z99" s="68">
        <v>0</v>
      </c>
      <c r="AA99" s="68">
        <v>0</v>
      </c>
      <c r="AB99" s="68">
        <v>0</v>
      </c>
      <c r="AC99" s="68">
        <v>0</v>
      </c>
      <c r="AD99" s="68">
        <v>0</v>
      </c>
      <c r="AE99" s="68">
        <v>0</v>
      </c>
      <c r="AF99" s="68">
        <v>0</v>
      </c>
      <c r="AG99" s="71" t="s">
        <v>2198</v>
      </c>
    </row>
    <row r="100" spans="1:33" ht="24.5">
      <c r="A100" s="39" t="s">
        <v>2284</v>
      </c>
      <c r="B100" s="67" t="s">
        <v>2285</v>
      </c>
      <c r="C100" s="68">
        <v>0</v>
      </c>
      <c r="D100" s="68">
        <v>0</v>
      </c>
      <c r="E100" s="68">
        <v>0</v>
      </c>
      <c r="F100" s="68">
        <v>0</v>
      </c>
      <c r="G100" s="68">
        <v>0</v>
      </c>
      <c r="H100" s="68">
        <v>0</v>
      </c>
      <c r="I100" s="68">
        <v>0</v>
      </c>
      <c r="J100" s="68">
        <v>0</v>
      </c>
      <c r="K100" s="68">
        <v>0</v>
      </c>
      <c r="L100" s="68">
        <v>0</v>
      </c>
      <c r="M100" s="68">
        <v>0</v>
      </c>
      <c r="N100" s="68">
        <v>0</v>
      </c>
      <c r="O100" s="68">
        <v>0</v>
      </c>
      <c r="P100" s="68">
        <v>0</v>
      </c>
      <c r="Q100" s="68">
        <v>0</v>
      </c>
      <c r="R100" s="68">
        <v>0</v>
      </c>
      <c r="S100" s="68">
        <v>0</v>
      </c>
      <c r="T100" s="68">
        <v>0</v>
      </c>
      <c r="U100" s="68">
        <v>0</v>
      </c>
      <c r="V100" s="68">
        <v>0</v>
      </c>
      <c r="W100" s="68">
        <v>0</v>
      </c>
      <c r="X100" s="68">
        <v>0</v>
      </c>
      <c r="Y100" s="68">
        <v>0</v>
      </c>
      <c r="Z100" s="68">
        <v>0</v>
      </c>
      <c r="AA100" s="68">
        <v>0</v>
      </c>
      <c r="AB100" s="68">
        <v>0</v>
      </c>
      <c r="AC100" s="68">
        <v>0</v>
      </c>
      <c r="AD100" s="68">
        <v>0</v>
      </c>
      <c r="AE100" s="68">
        <v>0</v>
      </c>
      <c r="AF100" s="68">
        <v>0</v>
      </c>
      <c r="AG100" s="71" t="s">
        <v>2198</v>
      </c>
    </row>
    <row r="101" spans="1:33" ht="24.5">
      <c r="A101" s="39" t="s">
        <v>2286</v>
      </c>
      <c r="B101" s="67" t="s">
        <v>2287</v>
      </c>
      <c r="C101" s="68">
        <v>12.700588</v>
      </c>
      <c r="D101" s="68">
        <v>14.364753</v>
      </c>
      <c r="E101" s="68">
        <v>15.38791</v>
      </c>
      <c r="F101" s="68">
        <v>16.292556999999999</v>
      </c>
      <c r="G101" s="68">
        <v>16.996079999999999</v>
      </c>
      <c r="H101" s="68">
        <v>17.604413999999998</v>
      </c>
      <c r="I101" s="68">
        <v>18.043613000000001</v>
      </c>
      <c r="J101" s="68">
        <v>18.391649000000001</v>
      </c>
      <c r="K101" s="68">
        <v>18.714884000000001</v>
      </c>
      <c r="L101" s="68">
        <v>19.093592000000001</v>
      </c>
      <c r="M101" s="68">
        <v>19.474936</v>
      </c>
      <c r="N101" s="68">
        <v>19.774450000000002</v>
      </c>
      <c r="O101" s="68">
        <v>20.058819</v>
      </c>
      <c r="P101" s="68">
        <v>20.311828999999999</v>
      </c>
      <c r="Q101" s="68">
        <v>20.512810000000002</v>
      </c>
      <c r="R101" s="68">
        <v>20.728580000000001</v>
      </c>
      <c r="S101" s="68">
        <v>20.966011000000002</v>
      </c>
      <c r="T101" s="68">
        <v>21.199514000000001</v>
      </c>
      <c r="U101" s="68">
        <v>21.387691</v>
      </c>
      <c r="V101" s="68">
        <v>21.628992</v>
      </c>
      <c r="W101" s="68">
        <v>21.819023000000001</v>
      </c>
      <c r="X101" s="68">
        <v>22.007545</v>
      </c>
      <c r="Y101" s="68">
        <v>22.229607000000001</v>
      </c>
      <c r="Z101" s="68">
        <v>22.454782000000002</v>
      </c>
      <c r="AA101" s="68">
        <v>22.696708999999998</v>
      </c>
      <c r="AB101" s="68">
        <v>22.978424</v>
      </c>
      <c r="AC101" s="68">
        <v>23.205546999999999</v>
      </c>
      <c r="AD101" s="68">
        <v>23.414211000000002</v>
      </c>
      <c r="AE101" s="68">
        <v>23.661840000000002</v>
      </c>
      <c r="AF101" s="68">
        <v>23.94849</v>
      </c>
      <c r="AG101" s="71">
        <v>2.2112E-2</v>
      </c>
    </row>
    <row r="102" spans="1:33" ht="24.5">
      <c r="A102" s="39" t="s">
        <v>2288</v>
      </c>
      <c r="B102" s="67" t="s">
        <v>2255</v>
      </c>
      <c r="C102" s="68">
        <v>12.700588</v>
      </c>
      <c r="D102" s="68">
        <v>14.364753</v>
      </c>
      <c r="E102" s="68">
        <v>15.38791</v>
      </c>
      <c r="F102" s="68">
        <v>16.292556999999999</v>
      </c>
      <c r="G102" s="68">
        <v>16.996079999999999</v>
      </c>
      <c r="H102" s="68">
        <v>17.604413999999998</v>
      </c>
      <c r="I102" s="68">
        <v>18.043613000000001</v>
      </c>
      <c r="J102" s="68">
        <v>18.391649000000001</v>
      </c>
      <c r="K102" s="68">
        <v>18.714884000000001</v>
      </c>
      <c r="L102" s="68">
        <v>19.093592000000001</v>
      </c>
      <c r="M102" s="68">
        <v>19.474936</v>
      </c>
      <c r="N102" s="68">
        <v>19.774450000000002</v>
      </c>
      <c r="O102" s="68">
        <v>20.058819</v>
      </c>
      <c r="P102" s="68">
        <v>20.311828999999999</v>
      </c>
      <c r="Q102" s="68">
        <v>20.512810000000002</v>
      </c>
      <c r="R102" s="68">
        <v>20.728580000000001</v>
      </c>
      <c r="S102" s="68">
        <v>20.966011000000002</v>
      </c>
      <c r="T102" s="68">
        <v>21.199514000000001</v>
      </c>
      <c r="U102" s="68">
        <v>21.387691</v>
      </c>
      <c r="V102" s="68">
        <v>21.628992</v>
      </c>
      <c r="W102" s="68">
        <v>21.819023000000001</v>
      </c>
      <c r="X102" s="68">
        <v>22.007545</v>
      </c>
      <c r="Y102" s="68">
        <v>22.229607000000001</v>
      </c>
      <c r="Z102" s="68">
        <v>22.454782000000002</v>
      </c>
      <c r="AA102" s="68">
        <v>22.696708999999998</v>
      </c>
      <c r="AB102" s="68">
        <v>22.978424</v>
      </c>
      <c r="AC102" s="68">
        <v>23.205546999999999</v>
      </c>
      <c r="AD102" s="68">
        <v>23.414211000000002</v>
      </c>
      <c r="AE102" s="68">
        <v>23.661840000000002</v>
      </c>
      <c r="AF102" s="68">
        <v>23.94849</v>
      </c>
      <c r="AG102" s="71">
        <v>2.2112E-2</v>
      </c>
    </row>
    <row r="103" spans="1:33" ht="24.5">
      <c r="A103" s="39" t="s">
        <v>2289</v>
      </c>
      <c r="B103" s="67" t="s">
        <v>2290</v>
      </c>
      <c r="C103" s="68">
        <v>16.509121</v>
      </c>
      <c r="D103" s="68">
        <v>18.285233000000002</v>
      </c>
      <c r="E103" s="68">
        <v>19.377106000000001</v>
      </c>
      <c r="F103" s="68">
        <v>20.340997999999999</v>
      </c>
      <c r="G103" s="68">
        <v>21.098049</v>
      </c>
      <c r="H103" s="68">
        <v>21.731332999999999</v>
      </c>
      <c r="I103" s="68">
        <v>22.169803999999999</v>
      </c>
      <c r="J103" s="68">
        <v>22.523285000000001</v>
      </c>
      <c r="K103" s="68">
        <v>22.869595</v>
      </c>
      <c r="L103" s="68">
        <v>23.288273</v>
      </c>
      <c r="M103" s="68">
        <v>23.699677000000001</v>
      </c>
      <c r="N103" s="68">
        <v>24.057817</v>
      </c>
      <c r="O103" s="68">
        <v>24.414905999999998</v>
      </c>
      <c r="P103" s="68">
        <v>24.741427999999999</v>
      </c>
      <c r="Q103" s="68">
        <v>25.031414000000002</v>
      </c>
      <c r="R103" s="68">
        <v>25.337914999999999</v>
      </c>
      <c r="S103" s="68">
        <v>25.685137000000001</v>
      </c>
      <c r="T103" s="68">
        <v>26.023502000000001</v>
      </c>
      <c r="U103" s="68">
        <v>26.328029999999998</v>
      </c>
      <c r="V103" s="68">
        <v>26.692329000000001</v>
      </c>
      <c r="W103" s="68">
        <v>26.99531</v>
      </c>
      <c r="X103" s="68">
        <v>27.311768000000001</v>
      </c>
      <c r="Y103" s="68">
        <v>27.664957000000001</v>
      </c>
      <c r="Z103" s="68">
        <v>28.027588000000002</v>
      </c>
      <c r="AA103" s="68">
        <v>28.432559999999999</v>
      </c>
      <c r="AB103" s="68">
        <v>28.888083000000002</v>
      </c>
      <c r="AC103" s="68">
        <v>29.281431000000001</v>
      </c>
      <c r="AD103" s="68">
        <v>29.655377999999999</v>
      </c>
      <c r="AE103" s="68">
        <v>30.076912</v>
      </c>
      <c r="AF103" s="68">
        <v>30.537510000000001</v>
      </c>
      <c r="AG103" s="71">
        <v>2.1434999999999999E-2</v>
      </c>
    </row>
    <row r="104" spans="1:33" ht="24.5">
      <c r="A104" s="39" t="s">
        <v>2291</v>
      </c>
      <c r="B104" s="67" t="s">
        <v>2255</v>
      </c>
      <c r="C104" s="68">
        <v>5.2127150000000002</v>
      </c>
      <c r="D104" s="68">
        <v>5.695138</v>
      </c>
      <c r="E104" s="68">
        <v>5.9626049999999999</v>
      </c>
      <c r="F104" s="68">
        <v>6.2147670000000002</v>
      </c>
      <c r="G104" s="68">
        <v>6.4174519999999999</v>
      </c>
      <c r="H104" s="68">
        <v>6.5885199999999999</v>
      </c>
      <c r="I104" s="68">
        <v>6.6994280000000002</v>
      </c>
      <c r="J104" s="68">
        <v>6.7960029999999998</v>
      </c>
      <c r="K104" s="68">
        <v>6.9016250000000001</v>
      </c>
      <c r="L104" s="68">
        <v>7.0355650000000001</v>
      </c>
      <c r="M104" s="68">
        <v>7.165921</v>
      </c>
      <c r="N104" s="68">
        <v>7.2919429999999998</v>
      </c>
      <c r="O104" s="68">
        <v>7.4233589999999996</v>
      </c>
      <c r="P104" s="68">
        <v>7.5462530000000001</v>
      </c>
      <c r="Q104" s="68">
        <v>7.65665</v>
      </c>
      <c r="R104" s="68">
        <v>7.7712139999999996</v>
      </c>
      <c r="S104" s="68">
        <v>7.9042019999999997</v>
      </c>
      <c r="T104" s="68">
        <v>8.032076</v>
      </c>
      <c r="U104" s="68">
        <v>8.1507020000000008</v>
      </c>
      <c r="V104" s="68">
        <v>8.2886360000000003</v>
      </c>
      <c r="W104" s="68">
        <v>8.4046099999999999</v>
      </c>
      <c r="X104" s="68">
        <v>8.5259020000000003</v>
      </c>
      <c r="Y104" s="68">
        <v>8.6576000000000004</v>
      </c>
      <c r="Z104" s="68">
        <v>8.7912809999999997</v>
      </c>
      <c r="AA104" s="68">
        <v>8.9423670000000008</v>
      </c>
      <c r="AB104" s="68">
        <v>9.108644</v>
      </c>
      <c r="AC104" s="68">
        <v>9.2528950000000005</v>
      </c>
      <c r="AD104" s="68">
        <v>9.3912560000000003</v>
      </c>
      <c r="AE104" s="68">
        <v>9.5472020000000004</v>
      </c>
      <c r="AF104" s="68">
        <v>9.7163330000000006</v>
      </c>
      <c r="AG104" s="71">
        <v>2.1704999999999999E-2</v>
      </c>
    </row>
    <row r="105" spans="1:33">
      <c r="A105" s="39" t="s">
        <v>2292</v>
      </c>
      <c r="B105" s="67" t="s">
        <v>2281</v>
      </c>
      <c r="C105" s="68">
        <v>11.296407</v>
      </c>
      <c r="D105" s="68">
        <v>12.590095</v>
      </c>
      <c r="E105" s="68">
        <v>13.414501</v>
      </c>
      <c r="F105" s="68">
        <v>14.126231000000001</v>
      </c>
      <c r="G105" s="68">
        <v>14.680597000000001</v>
      </c>
      <c r="H105" s="68">
        <v>15.142814</v>
      </c>
      <c r="I105" s="68">
        <v>15.470375000000001</v>
      </c>
      <c r="J105" s="68">
        <v>15.727282000000001</v>
      </c>
      <c r="K105" s="68">
        <v>15.967969999999999</v>
      </c>
      <c r="L105" s="68">
        <v>16.252707999999998</v>
      </c>
      <c r="M105" s="68">
        <v>16.533753999999998</v>
      </c>
      <c r="N105" s="68">
        <v>16.765875000000001</v>
      </c>
      <c r="O105" s="68">
        <v>16.991547000000001</v>
      </c>
      <c r="P105" s="68">
        <v>17.195174999999999</v>
      </c>
      <c r="Q105" s="68">
        <v>17.374763000000002</v>
      </c>
      <c r="R105" s="68">
        <v>17.566701999999999</v>
      </c>
      <c r="S105" s="68">
        <v>17.780934999999999</v>
      </c>
      <c r="T105" s="68">
        <v>17.991426000000001</v>
      </c>
      <c r="U105" s="68">
        <v>18.177327999999999</v>
      </c>
      <c r="V105" s="68">
        <v>18.403694000000002</v>
      </c>
      <c r="W105" s="68">
        <v>18.590699999999998</v>
      </c>
      <c r="X105" s="68">
        <v>18.785865999999999</v>
      </c>
      <c r="Y105" s="68">
        <v>19.007356999999999</v>
      </c>
      <c r="Z105" s="68">
        <v>19.236307</v>
      </c>
      <c r="AA105" s="68">
        <v>19.490192</v>
      </c>
      <c r="AB105" s="68">
        <v>19.779437999999999</v>
      </c>
      <c r="AC105" s="68">
        <v>20.028535999999999</v>
      </c>
      <c r="AD105" s="68">
        <v>20.264122</v>
      </c>
      <c r="AE105" s="68">
        <v>20.529709</v>
      </c>
      <c r="AF105" s="68">
        <v>20.821176999999999</v>
      </c>
      <c r="AG105" s="71">
        <v>2.1309999999999999E-2</v>
      </c>
    </row>
    <row r="106" spans="1:33" ht="48.5">
      <c r="A106" s="39" t="s">
        <v>2293</v>
      </c>
      <c r="B106" s="67" t="s">
        <v>2283</v>
      </c>
      <c r="C106" s="68">
        <v>0</v>
      </c>
      <c r="D106" s="68">
        <v>0</v>
      </c>
      <c r="E106" s="68">
        <v>0</v>
      </c>
      <c r="F106" s="68">
        <v>0</v>
      </c>
      <c r="G106" s="68">
        <v>0</v>
      </c>
      <c r="H106" s="68">
        <v>0</v>
      </c>
      <c r="I106" s="68">
        <v>0</v>
      </c>
      <c r="J106" s="68">
        <v>0</v>
      </c>
      <c r="K106" s="68">
        <v>0</v>
      </c>
      <c r="L106" s="68">
        <v>0</v>
      </c>
      <c r="M106" s="68">
        <v>0</v>
      </c>
      <c r="N106" s="68">
        <v>0</v>
      </c>
      <c r="O106" s="68">
        <v>0</v>
      </c>
      <c r="P106" s="68">
        <v>0</v>
      </c>
      <c r="Q106" s="68">
        <v>0</v>
      </c>
      <c r="R106" s="68">
        <v>0</v>
      </c>
      <c r="S106" s="68">
        <v>0</v>
      </c>
      <c r="T106" s="68">
        <v>0</v>
      </c>
      <c r="U106" s="68">
        <v>0</v>
      </c>
      <c r="V106" s="68">
        <v>0</v>
      </c>
      <c r="W106" s="68">
        <v>0</v>
      </c>
      <c r="X106" s="68">
        <v>0</v>
      </c>
      <c r="Y106" s="68">
        <v>0</v>
      </c>
      <c r="Z106" s="68">
        <v>0</v>
      </c>
      <c r="AA106" s="68">
        <v>0</v>
      </c>
      <c r="AB106" s="68">
        <v>0</v>
      </c>
      <c r="AC106" s="68">
        <v>0</v>
      </c>
      <c r="AD106" s="68">
        <v>0</v>
      </c>
      <c r="AE106" s="68">
        <v>0</v>
      </c>
      <c r="AF106" s="68">
        <v>0</v>
      </c>
      <c r="AG106" s="71" t="s">
        <v>2198</v>
      </c>
    </row>
    <row r="107" spans="1:33" ht="24.5">
      <c r="A107" s="39" t="s">
        <v>2294</v>
      </c>
      <c r="B107" s="67" t="s">
        <v>2285</v>
      </c>
      <c r="C107" s="68">
        <v>0</v>
      </c>
      <c r="D107" s="68">
        <v>0</v>
      </c>
      <c r="E107" s="68">
        <v>0</v>
      </c>
      <c r="F107" s="68">
        <v>0</v>
      </c>
      <c r="G107" s="68">
        <v>0</v>
      </c>
      <c r="H107" s="68">
        <v>0</v>
      </c>
      <c r="I107" s="68">
        <v>0</v>
      </c>
      <c r="J107" s="68">
        <v>0</v>
      </c>
      <c r="K107" s="68">
        <v>0</v>
      </c>
      <c r="L107" s="68">
        <v>0</v>
      </c>
      <c r="M107" s="68">
        <v>0</v>
      </c>
      <c r="N107" s="68">
        <v>0</v>
      </c>
      <c r="O107" s="68">
        <v>0</v>
      </c>
      <c r="P107" s="68">
        <v>0</v>
      </c>
      <c r="Q107" s="68">
        <v>0</v>
      </c>
      <c r="R107" s="68">
        <v>0</v>
      </c>
      <c r="S107" s="68">
        <v>0</v>
      </c>
      <c r="T107" s="68">
        <v>0</v>
      </c>
      <c r="U107" s="68">
        <v>0</v>
      </c>
      <c r="V107" s="68">
        <v>0</v>
      </c>
      <c r="W107" s="68">
        <v>0</v>
      </c>
      <c r="X107" s="68">
        <v>0</v>
      </c>
      <c r="Y107" s="68">
        <v>0</v>
      </c>
      <c r="Z107" s="68">
        <v>0</v>
      </c>
      <c r="AA107" s="68">
        <v>0</v>
      </c>
      <c r="AB107" s="68">
        <v>0</v>
      </c>
      <c r="AC107" s="68">
        <v>0</v>
      </c>
      <c r="AD107" s="68">
        <v>0</v>
      </c>
      <c r="AE107" s="68">
        <v>0</v>
      </c>
      <c r="AF107" s="68">
        <v>0</v>
      </c>
      <c r="AG107" s="71" t="s">
        <v>2198</v>
      </c>
    </row>
    <row r="108" spans="1:3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row>
    <row r="109" spans="1:33" ht="24.5">
      <c r="A109" s="39" t="s">
        <v>2295</v>
      </c>
      <c r="B109" s="66" t="s">
        <v>177</v>
      </c>
      <c r="C109" s="69">
        <v>204.09703099999999</v>
      </c>
      <c r="D109" s="69">
        <v>207.81658899999999</v>
      </c>
      <c r="E109" s="69">
        <v>208.00427199999999</v>
      </c>
      <c r="F109" s="69">
        <v>208.62669399999999</v>
      </c>
      <c r="G109" s="69">
        <v>208.70083600000001</v>
      </c>
      <c r="H109" s="69">
        <v>208.389374</v>
      </c>
      <c r="I109" s="69">
        <v>207.106934</v>
      </c>
      <c r="J109" s="69">
        <v>205.85676599999999</v>
      </c>
      <c r="K109" s="69">
        <v>204.91546600000001</v>
      </c>
      <c r="L109" s="69">
        <v>204.26499899999999</v>
      </c>
      <c r="M109" s="69">
        <v>203.40438800000001</v>
      </c>
      <c r="N109" s="69">
        <v>202.68185399999999</v>
      </c>
      <c r="O109" s="69">
        <v>202.113373</v>
      </c>
      <c r="P109" s="69">
        <v>201.50842299999999</v>
      </c>
      <c r="Q109" s="69">
        <v>200.80012500000001</v>
      </c>
      <c r="R109" s="69">
        <v>200.07522599999999</v>
      </c>
      <c r="S109" s="69">
        <v>199.64593500000001</v>
      </c>
      <c r="T109" s="69">
        <v>199.11071799999999</v>
      </c>
      <c r="U109" s="69">
        <v>198.525757</v>
      </c>
      <c r="V109" s="69">
        <v>198.07746900000001</v>
      </c>
      <c r="W109" s="69">
        <v>197.287598</v>
      </c>
      <c r="X109" s="69">
        <v>196.60789500000001</v>
      </c>
      <c r="Y109" s="69">
        <v>195.98907500000001</v>
      </c>
      <c r="Z109" s="69">
        <v>195.342804</v>
      </c>
      <c r="AA109" s="69">
        <v>194.913635</v>
      </c>
      <c r="AB109" s="69">
        <v>194.54913300000001</v>
      </c>
      <c r="AC109" s="69">
        <v>193.90734900000001</v>
      </c>
      <c r="AD109" s="69">
        <v>193.25498999999999</v>
      </c>
      <c r="AE109" s="69">
        <v>192.858002</v>
      </c>
      <c r="AF109" s="69">
        <v>192.57214400000001</v>
      </c>
      <c r="AG109" s="72">
        <v>-2.0019999999999999E-3</v>
      </c>
    </row>
    <row r="110" spans="1:33">
      <c r="A110" s="39" t="s">
        <v>2296</v>
      </c>
      <c r="B110" s="67" t="s">
        <v>2297</v>
      </c>
      <c r="C110" s="68">
        <v>164.88896199999999</v>
      </c>
      <c r="D110" s="68">
        <v>167.62558000000001</v>
      </c>
      <c r="E110" s="68">
        <v>167.50697299999999</v>
      </c>
      <c r="F110" s="68">
        <v>167.73602299999999</v>
      </c>
      <c r="G110" s="68">
        <v>167.521973</v>
      </c>
      <c r="H110" s="68">
        <v>166.997345</v>
      </c>
      <c r="I110" s="68">
        <v>165.69532799999999</v>
      </c>
      <c r="J110" s="68">
        <v>164.42112700000001</v>
      </c>
      <c r="K110" s="68">
        <v>163.39518699999999</v>
      </c>
      <c r="L110" s="68">
        <v>162.601913</v>
      </c>
      <c r="M110" s="68">
        <v>161.64205899999999</v>
      </c>
      <c r="N110" s="68">
        <v>160.79272499999999</v>
      </c>
      <c r="O110" s="68">
        <v>160.06601000000001</v>
      </c>
      <c r="P110" s="68">
        <v>159.31068400000001</v>
      </c>
      <c r="Q110" s="68">
        <v>158.474121</v>
      </c>
      <c r="R110" s="68">
        <v>157.62510700000001</v>
      </c>
      <c r="S110" s="68">
        <v>157.00924699999999</v>
      </c>
      <c r="T110" s="68">
        <v>156.310104</v>
      </c>
      <c r="U110" s="68">
        <v>155.57217399999999</v>
      </c>
      <c r="V110" s="68">
        <v>154.94146699999999</v>
      </c>
      <c r="W110" s="68">
        <v>154.044006</v>
      </c>
      <c r="X110" s="68">
        <v>153.23336800000001</v>
      </c>
      <c r="Y110" s="68">
        <v>152.47070299999999</v>
      </c>
      <c r="Z110" s="68">
        <v>151.68722500000001</v>
      </c>
      <c r="AA110" s="68">
        <v>151.07257100000001</v>
      </c>
      <c r="AB110" s="68">
        <v>150.507904</v>
      </c>
      <c r="AC110" s="68">
        <v>149.72891200000001</v>
      </c>
      <c r="AD110" s="68">
        <v>148.942352</v>
      </c>
      <c r="AE110" s="68">
        <v>148.35287500000001</v>
      </c>
      <c r="AF110" s="68">
        <v>147.84863300000001</v>
      </c>
      <c r="AG110" s="71">
        <v>-3.754E-3</v>
      </c>
    </row>
    <row r="111" spans="1:33" ht="36.5">
      <c r="A111" s="39" t="s">
        <v>2298</v>
      </c>
      <c r="B111" s="67" t="s">
        <v>2181</v>
      </c>
      <c r="C111" s="68">
        <v>39.208072999999999</v>
      </c>
      <c r="D111" s="68">
        <v>40.191006000000002</v>
      </c>
      <c r="E111" s="68">
        <v>40.497298999999998</v>
      </c>
      <c r="F111" s="68">
        <v>40.890670999999998</v>
      </c>
      <c r="G111" s="68">
        <v>41.17886</v>
      </c>
      <c r="H111" s="68">
        <v>41.392029000000001</v>
      </c>
      <c r="I111" s="68">
        <v>41.411610000000003</v>
      </c>
      <c r="J111" s="68">
        <v>41.435642000000001</v>
      </c>
      <c r="K111" s="68">
        <v>41.520287000000003</v>
      </c>
      <c r="L111" s="68">
        <v>41.663086</v>
      </c>
      <c r="M111" s="68">
        <v>41.762337000000002</v>
      </c>
      <c r="N111" s="68">
        <v>41.889136999999998</v>
      </c>
      <c r="O111" s="68">
        <v>42.047367000000001</v>
      </c>
      <c r="P111" s="68">
        <v>42.197741999999998</v>
      </c>
      <c r="Q111" s="68">
        <v>42.326008000000002</v>
      </c>
      <c r="R111" s="68">
        <v>42.450127000000002</v>
      </c>
      <c r="S111" s="68">
        <v>42.636696000000001</v>
      </c>
      <c r="T111" s="68">
        <v>42.800617000000003</v>
      </c>
      <c r="U111" s="68">
        <v>42.953589999999998</v>
      </c>
      <c r="V111" s="68">
        <v>43.136001999999998</v>
      </c>
      <c r="W111" s="68">
        <v>43.243583999999998</v>
      </c>
      <c r="X111" s="68">
        <v>43.374530999999998</v>
      </c>
      <c r="Y111" s="68">
        <v>43.518363999999998</v>
      </c>
      <c r="Z111" s="68">
        <v>43.655586</v>
      </c>
      <c r="AA111" s="68">
        <v>43.841064000000003</v>
      </c>
      <c r="AB111" s="68">
        <v>44.041221999999998</v>
      </c>
      <c r="AC111" s="68">
        <v>44.178435999999998</v>
      </c>
      <c r="AD111" s="68">
        <v>44.312634000000003</v>
      </c>
      <c r="AE111" s="68">
        <v>44.505119000000001</v>
      </c>
      <c r="AF111" s="68">
        <v>44.723514999999999</v>
      </c>
      <c r="AG111" s="71">
        <v>4.5490000000000001E-3</v>
      </c>
    </row>
    <row r="112" spans="1:3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row>
    <row r="113" spans="1:33">
      <c r="A113" s="39" t="s">
        <v>2299</v>
      </c>
      <c r="B113" s="67" t="s">
        <v>181</v>
      </c>
      <c r="C113" s="68">
        <v>125.031578</v>
      </c>
      <c r="D113" s="68">
        <v>126.896736</v>
      </c>
      <c r="E113" s="68">
        <v>127.926041</v>
      </c>
      <c r="F113" s="68">
        <v>128.600266</v>
      </c>
      <c r="G113" s="68">
        <v>129.10189800000001</v>
      </c>
      <c r="H113" s="68">
        <v>129.64999399999999</v>
      </c>
      <c r="I113" s="68">
        <v>129.96121199999999</v>
      </c>
      <c r="J113" s="68">
        <v>130.19676200000001</v>
      </c>
      <c r="K113" s="68">
        <v>130.40360999999999</v>
      </c>
      <c r="L113" s="68">
        <v>130.57878099999999</v>
      </c>
      <c r="M113" s="68">
        <v>130.71516399999999</v>
      </c>
      <c r="N113" s="68">
        <v>130.83389299999999</v>
      </c>
      <c r="O113" s="68">
        <v>130.94082599999999</v>
      </c>
      <c r="P113" s="68">
        <v>131.026443</v>
      </c>
      <c r="Q113" s="68">
        <v>131.09085099999999</v>
      </c>
      <c r="R113" s="68">
        <v>131.16413900000001</v>
      </c>
      <c r="S113" s="68">
        <v>131.26132200000001</v>
      </c>
      <c r="T113" s="68">
        <v>131.36518899999999</v>
      </c>
      <c r="U113" s="68">
        <v>131.48391699999999</v>
      </c>
      <c r="V113" s="68">
        <v>131.63140899999999</v>
      </c>
      <c r="W113" s="68">
        <v>131.76234400000001</v>
      </c>
      <c r="X113" s="68">
        <v>131.87556499999999</v>
      </c>
      <c r="Y113" s="68">
        <v>131.992706</v>
      </c>
      <c r="Z113" s="68">
        <v>132.10150100000001</v>
      </c>
      <c r="AA113" s="68">
        <v>132.230469</v>
      </c>
      <c r="AB113" s="68">
        <v>132.369202</v>
      </c>
      <c r="AC113" s="68">
        <v>132.482193</v>
      </c>
      <c r="AD113" s="68">
        <v>132.585846</v>
      </c>
      <c r="AE113" s="68">
        <v>132.70448300000001</v>
      </c>
      <c r="AF113" s="68">
        <v>132.83111600000001</v>
      </c>
      <c r="AG113" s="71">
        <v>2.0890000000000001E-3</v>
      </c>
    </row>
    <row r="114" spans="1:33" ht="36.5">
      <c r="A114" s="39" t="s">
        <v>2300</v>
      </c>
      <c r="B114" s="67" t="s">
        <v>182</v>
      </c>
      <c r="C114" s="68">
        <v>748.06146200000001</v>
      </c>
      <c r="D114" s="68">
        <v>701.06182899999999</v>
      </c>
      <c r="E114" s="68">
        <v>682.70349099999999</v>
      </c>
      <c r="F114" s="68">
        <v>669.31573500000002</v>
      </c>
      <c r="G114" s="68">
        <v>657.777649</v>
      </c>
      <c r="H114" s="68">
        <v>646.21258499999999</v>
      </c>
      <c r="I114" s="68">
        <v>628.37182600000006</v>
      </c>
      <c r="J114" s="68">
        <v>632.31945800000005</v>
      </c>
      <c r="K114" s="68">
        <v>627.75476100000003</v>
      </c>
      <c r="L114" s="68">
        <v>619.43811000000005</v>
      </c>
      <c r="M114" s="68">
        <v>616.01281700000004</v>
      </c>
      <c r="N114" s="68">
        <v>619.79211399999997</v>
      </c>
      <c r="O114" s="68">
        <v>619.58685300000002</v>
      </c>
      <c r="P114" s="68">
        <v>616.83026099999995</v>
      </c>
      <c r="Q114" s="68">
        <v>618.30474900000002</v>
      </c>
      <c r="R114" s="68">
        <v>621.54339600000003</v>
      </c>
      <c r="S114" s="68">
        <v>629.67156999999997</v>
      </c>
      <c r="T114" s="68">
        <v>636.62567100000001</v>
      </c>
      <c r="U114" s="68">
        <v>641.26690699999995</v>
      </c>
      <c r="V114" s="68">
        <v>649.24737500000003</v>
      </c>
      <c r="W114" s="68">
        <v>656.71551499999998</v>
      </c>
      <c r="X114" s="68">
        <v>659.97137499999997</v>
      </c>
      <c r="Y114" s="68">
        <v>668.71801800000003</v>
      </c>
      <c r="Z114" s="68">
        <v>671.82458499999996</v>
      </c>
      <c r="AA114" s="68">
        <v>675.87640399999998</v>
      </c>
      <c r="AB114" s="68">
        <v>683.62017800000001</v>
      </c>
      <c r="AC114" s="68">
        <v>691.62048300000004</v>
      </c>
      <c r="AD114" s="68">
        <v>699.38653599999998</v>
      </c>
      <c r="AE114" s="68">
        <v>703.19329800000003</v>
      </c>
      <c r="AF114" s="68">
        <v>710.15020800000002</v>
      </c>
      <c r="AG114" s="71">
        <v>-1.792E-3</v>
      </c>
    </row>
    <row r="115" spans="1:3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row>
    <row r="116" spans="1:33" ht="36.5">
      <c r="A116" s="39" t="s">
        <v>2301</v>
      </c>
      <c r="B116" s="66" t="s">
        <v>143</v>
      </c>
      <c r="C116" s="69">
        <v>26324.886718999998</v>
      </c>
      <c r="D116" s="69">
        <v>27263.316406000002</v>
      </c>
      <c r="E116" s="69">
        <v>27692.980468999998</v>
      </c>
      <c r="F116" s="69">
        <v>27715.5</v>
      </c>
      <c r="G116" s="69">
        <v>27753.820312</v>
      </c>
      <c r="H116" s="69">
        <v>27727.53125</v>
      </c>
      <c r="I116" s="69">
        <v>27607.042968999998</v>
      </c>
      <c r="J116" s="69">
        <v>27503.935547000001</v>
      </c>
      <c r="K116" s="69">
        <v>27408.986327999999</v>
      </c>
      <c r="L116" s="69">
        <v>27340.705077999999</v>
      </c>
      <c r="M116" s="69">
        <v>27288.166015999999</v>
      </c>
      <c r="N116" s="69">
        <v>27213.582031000002</v>
      </c>
      <c r="O116" s="69">
        <v>27191.142577999999</v>
      </c>
      <c r="P116" s="69">
        <v>27165.730468999998</v>
      </c>
      <c r="Q116" s="69">
        <v>27154.113281000002</v>
      </c>
      <c r="R116" s="69">
        <v>27158.546875</v>
      </c>
      <c r="S116" s="69">
        <v>27206.796875</v>
      </c>
      <c r="T116" s="69">
        <v>27259.251952999999</v>
      </c>
      <c r="U116" s="69">
        <v>27333.582031000002</v>
      </c>
      <c r="V116" s="69">
        <v>27424.380859000001</v>
      </c>
      <c r="W116" s="69">
        <v>27521.037109000001</v>
      </c>
      <c r="X116" s="69">
        <v>27633.677734000001</v>
      </c>
      <c r="Y116" s="69">
        <v>27756.361327999999</v>
      </c>
      <c r="Z116" s="69">
        <v>27883.910156000002</v>
      </c>
      <c r="AA116" s="69">
        <v>28036.740234000001</v>
      </c>
      <c r="AB116" s="69">
        <v>28214.255859000001</v>
      </c>
      <c r="AC116" s="69">
        <v>28376.744140999999</v>
      </c>
      <c r="AD116" s="69">
        <v>28533.669922000001</v>
      </c>
      <c r="AE116" s="69">
        <v>28719.751952999999</v>
      </c>
      <c r="AF116" s="69">
        <v>28946.207031000002</v>
      </c>
      <c r="AG116" s="72">
        <v>3.2789999999999998E-3</v>
      </c>
    </row>
    <row r="117" spans="1:33" ht="15" thickBo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row>
    <row r="118" spans="1:33">
      <c r="A118" s="9"/>
      <c r="B118" s="105" t="s">
        <v>2302</v>
      </c>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106"/>
    </row>
    <row r="119" spans="1:33">
      <c r="A119" s="9"/>
      <c r="B119" s="21" t="s">
        <v>144</v>
      </c>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row>
    <row r="120" spans="1:33">
      <c r="A120" s="9"/>
      <c r="B120" s="21" t="s">
        <v>500</v>
      </c>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row>
    <row r="121" spans="1:33">
      <c r="A121" s="9"/>
      <c r="B121" s="21" t="s">
        <v>2303</v>
      </c>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row>
    <row r="122" spans="1:33">
      <c r="A122" s="9"/>
      <c r="B122" s="21" t="s">
        <v>2304</v>
      </c>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row>
    <row r="123" spans="1:33">
      <c r="A123" s="9"/>
      <c r="B123" s="21" t="s">
        <v>157</v>
      </c>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row>
    <row r="124" spans="1:33">
      <c r="A124" s="9"/>
      <c r="B124" s="21" t="s">
        <v>502</v>
      </c>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row>
    <row r="125" spans="1:33">
      <c r="A125" s="9"/>
      <c r="B125" s="21" t="s">
        <v>404</v>
      </c>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row>
    <row r="126" spans="1:33">
      <c r="A126" s="9"/>
      <c r="B126" s="21" t="s">
        <v>503</v>
      </c>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row>
    <row r="127" spans="1:33">
      <c r="A127" s="39"/>
      <c r="B127" s="67"/>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71"/>
    </row>
    <row r="128" spans="1:33">
      <c r="A128" s="39"/>
      <c r="B128" s="67"/>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71"/>
    </row>
    <row r="129" spans="1:33">
      <c r="A129" s="39"/>
      <c r="B129" s="67"/>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71"/>
    </row>
    <row r="130" spans="1:33">
      <c r="A130" s="39"/>
      <c r="B130" s="67"/>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71"/>
    </row>
    <row r="131" spans="1:33">
      <c r="A131" s="39"/>
      <c r="B131" s="67"/>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71"/>
    </row>
    <row r="132" spans="1:33">
      <c r="A132" s="39"/>
      <c r="B132" s="67"/>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71"/>
    </row>
    <row r="133" spans="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row>
    <row r="134" spans="1:33">
      <c r="A134" s="39"/>
      <c r="B134" s="66"/>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72"/>
    </row>
    <row r="135" spans="1:33">
      <c r="A135" s="39"/>
      <c r="B135" s="67"/>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71"/>
    </row>
    <row r="136" spans="1:33">
      <c r="A136" s="39"/>
      <c r="B136" s="67"/>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71"/>
    </row>
    <row r="137" spans="1:33">
      <c r="A137" s="39"/>
      <c r="B137" s="67"/>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71"/>
    </row>
    <row r="138" spans="1:33">
      <c r="A138" s="39"/>
      <c r="B138" s="67"/>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71"/>
    </row>
    <row r="139" spans="1:33">
      <c r="A139" s="39"/>
      <c r="B139" s="67"/>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71"/>
    </row>
    <row r="140" spans="1:33">
      <c r="A140" s="39"/>
      <c r="B140" s="67"/>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71"/>
    </row>
    <row r="141" spans="1:33">
      <c r="A141" s="39"/>
      <c r="B141" s="67"/>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71"/>
    </row>
    <row r="142" spans="1:33">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row>
    <row r="143" spans="1:33">
      <c r="A143" s="39"/>
      <c r="B143" s="66"/>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72"/>
    </row>
    <row r="144" spans="1:33">
      <c r="A144" s="39"/>
      <c r="B144" s="67"/>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71"/>
    </row>
    <row r="145" spans="1:33">
      <c r="A145" s="39"/>
      <c r="B145" s="67"/>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71"/>
    </row>
    <row r="146" spans="1:33">
      <c r="A146" s="39"/>
      <c r="B146" s="67"/>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71"/>
    </row>
    <row r="147" spans="1:33">
      <c r="A147" s="39"/>
      <c r="B147" s="67"/>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71"/>
    </row>
    <row r="148" spans="1:33">
      <c r="A148" s="39"/>
      <c r="B148" s="67"/>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71"/>
    </row>
    <row r="149" spans="1:33">
      <c r="A149" s="39"/>
      <c r="B149" s="67"/>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71"/>
    </row>
    <row r="150" spans="1:33">
      <c r="A150" s="39"/>
      <c r="B150" s="67"/>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71"/>
    </row>
    <row r="153" spans="1:33">
      <c r="A153" s="39"/>
      <c r="B153" s="66"/>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72"/>
    </row>
    <row r="154" spans="1:33">
      <c r="A154" s="39"/>
      <c r="B154" s="67"/>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71"/>
    </row>
    <row r="155" spans="1:33">
      <c r="A155" s="39"/>
      <c r="B155" s="67"/>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71"/>
    </row>
    <row r="156" spans="1:33">
      <c r="A156" s="39"/>
      <c r="B156" s="67"/>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71"/>
    </row>
    <row r="157" spans="1:33">
      <c r="A157" s="39"/>
      <c r="B157" s="67"/>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71"/>
    </row>
    <row r="159" spans="1:33">
      <c r="A159" s="39"/>
      <c r="B159" s="66"/>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72"/>
    </row>
    <row r="160" spans="1:33">
      <c r="A160" s="39"/>
      <c r="B160" s="67"/>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71"/>
    </row>
    <row r="161" spans="1:33">
      <c r="A161" s="39"/>
      <c r="B161" s="67"/>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71"/>
    </row>
    <row r="162" spans="1:33">
      <c r="A162" s="39"/>
      <c r="B162" s="67"/>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71"/>
    </row>
    <row r="163" spans="1:33">
      <c r="A163" s="39"/>
      <c r="B163" s="67"/>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71"/>
    </row>
    <row r="165" spans="1:33">
      <c r="A165" s="39"/>
      <c r="B165" s="66"/>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72"/>
    </row>
    <row r="166" spans="1:33">
      <c r="A166" s="39"/>
      <c r="B166" s="67"/>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71"/>
    </row>
    <row r="167" spans="1:33">
      <c r="A167" s="39"/>
      <c r="B167" s="67"/>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71"/>
    </row>
    <row r="168" spans="1:33">
      <c r="A168" s="39"/>
      <c r="B168" s="67"/>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71"/>
    </row>
    <row r="169" spans="1:33">
      <c r="A169" s="39"/>
      <c r="B169" s="67"/>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71"/>
    </row>
    <row r="171" spans="1:33">
      <c r="A171" s="39"/>
      <c r="B171" s="66"/>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72"/>
    </row>
    <row r="172" spans="1:33">
      <c r="A172" s="39"/>
      <c r="B172" s="67"/>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71"/>
    </row>
    <row r="173" spans="1:33">
      <c r="A173" s="39"/>
      <c r="B173" s="67"/>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71"/>
    </row>
    <row r="175" spans="1:33">
      <c r="A175" s="39"/>
      <c r="B175" s="66"/>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72"/>
    </row>
    <row r="176" spans="1:33">
      <c r="A176" s="39"/>
      <c r="B176" s="67"/>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71"/>
    </row>
    <row r="177" spans="1:33">
      <c r="A177" s="39"/>
      <c r="B177" s="67"/>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71"/>
    </row>
    <row r="178" spans="1:33">
      <c r="A178" s="39"/>
      <c r="B178" s="67"/>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71"/>
    </row>
    <row r="180" spans="1:33">
      <c r="A180" s="39"/>
      <c r="B180" s="66"/>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72"/>
    </row>
    <row r="181" spans="1:33">
      <c r="A181" s="39"/>
      <c r="B181" s="67"/>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71"/>
    </row>
    <row r="182" spans="1:33">
      <c r="A182" s="39"/>
      <c r="B182" s="67"/>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71"/>
    </row>
    <row r="183" spans="1:33">
      <c r="A183" s="39"/>
      <c r="B183" s="67"/>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71"/>
    </row>
    <row r="184" spans="1:33">
      <c r="A184" s="39"/>
      <c r="B184" s="67"/>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71"/>
    </row>
    <row r="185" spans="1:33">
      <c r="A185" s="39"/>
      <c r="B185" s="67"/>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71"/>
    </row>
    <row r="186" spans="1:33">
      <c r="A186" s="39"/>
      <c r="B186" s="67"/>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71"/>
    </row>
    <row r="187" spans="1:33">
      <c r="A187" s="39"/>
      <c r="B187" s="67"/>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71"/>
    </row>
    <row r="188" spans="1:33">
      <c r="A188" s="39"/>
      <c r="B188" s="67"/>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71"/>
    </row>
    <row r="189" spans="1:33">
      <c r="A189" s="39"/>
      <c r="B189" s="67"/>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71"/>
    </row>
    <row r="190" spans="1:33">
      <c r="A190" s="39"/>
      <c r="B190" s="67"/>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71"/>
    </row>
    <row r="191" spans="1:33">
      <c r="A191" s="39"/>
      <c r="B191" s="67"/>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71"/>
    </row>
    <row r="192" spans="1:33">
      <c r="A192" s="39"/>
      <c r="B192" s="67"/>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71"/>
    </row>
    <row r="193" spans="1:33">
      <c r="A193" s="39"/>
      <c r="B193" s="67"/>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71"/>
    </row>
    <row r="194" spans="1:33">
      <c r="A194" s="39"/>
      <c r="B194" s="67"/>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71"/>
    </row>
    <row r="195" spans="1:33">
      <c r="A195" s="39"/>
      <c r="B195" s="67"/>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71"/>
    </row>
    <row r="196" spans="1:33">
      <c r="A196" s="39"/>
      <c r="B196" s="67"/>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71"/>
    </row>
    <row r="197" spans="1:33">
      <c r="A197" s="39"/>
      <c r="B197" s="67"/>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71"/>
    </row>
    <row r="198" spans="1:33">
      <c r="A198" s="39"/>
      <c r="B198" s="67"/>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71"/>
    </row>
    <row r="199" spans="1:33">
      <c r="A199" s="39"/>
      <c r="B199" s="67"/>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71"/>
    </row>
    <row r="200" spans="1:33">
      <c r="A200" s="39"/>
      <c r="B200" s="67"/>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71"/>
    </row>
    <row r="201" spans="1:33">
      <c r="A201" s="39"/>
      <c r="B201" s="67"/>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71"/>
    </row>
    <row r="202" spans="1:33">
      <c r="A202" s="39"/>
      <c r="B202" s="67"/>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71"/>
    </row>
    <row r="203" spans="1:33">
      <c r="A203" s="39"/>
      <c r="B203" s="67"/>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71"/>
    </row>
    <row r="204" spans="1:33">
      <c r="A204" s="39"/>
      <c r="B204" s="67"/>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71"/>
    </row>
    <row r="205" spans="1:33">
      <c r="A205" s="39"/>
      <c r="B205" s="66"/>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72"/>
    </row>
    <row r="206" spans="1:33">
      <c r="A206" s="39"/>
      <c r="B206" s="67"/>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71"/>
    </row>
    <row r="207" spans="1:33">
      <c r="A207" s="39"/>
      <c r="B207" s="67"/>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71"/>
    </row>
    <row r="208" spans="1:33">
      <c r="A208" s="39"/>
      <c r="B208" s="67"/>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71"/>
    </row>
    <row r="209" spans="1:33">
      <c r="A209" s="39"/>
      <c r="B209" s="67"/>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71"/>
    </row>
    <row r="210" spans="1:33">
      <c r="A210" s="39"/>
      <c r="B210" s="67"/>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71"/>
    </row>
    <row r="211" spans="1:33">
      <c r="A211" s="39"/>
      <c r="B211" s="67"/>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71"/>
    </row>
    <row r="212" spans="1:33">
      <c r="A212" s="39"/>
      <c r="B212" s="67"/>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71"/>
    </row>
    <row r="213" spans="1:33">
      <c r="A213" s="39"/>
      <c r="B213" s="67"/>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71"/>
    </row>
    <row r="214" spans="1:33">
      <c r="A214" s="39"/>
      <c r="B214" s="67"/>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71"/>
    </row>
    <row r="215" spans="1:33">
      <c r="A215" s="39"/>
      <c r="B215" s="67"/>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71"/>
    </row>
    <row r="216" spans="1:33">
      <c r="A216" s="39"/>
      <c r="B216" s="67"/>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71"/>
    </row>
    <row r="217" spans="1:33">
      <c r="A217" s="39"/>
      <c r="B217" s="67"/>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71"/>
    </row>
    <row r="219" spans="1:33">
      <c r="A219" s="39"/>
      <c r="B219" s="66"/>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72"/>
    </row>
    <row r="220" spans="1:33">
      <c r="A220" s="39"/>
      <c r="B220" s="67"/>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71"/>
    </row>
    <row r="221" spans="1:33">
      <c r="A221" s="39"/>
      <c r="B221" s="67"/>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71"/>
    </row>
    <row r="223" spans="1:33">
      <c r="A223" s="39"/>
      <c r="B223" s="67"/>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71"/>
    </row>
    <row r="224" spans="1:33">
      <c r="A224" s="39"/>
      <c r="B224" s="67"/>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71"/>
    </row>
    <row r="226" spans="1:33">
      <c r="A226" s="39"/>
      <c r="B226" s="75"/>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7"/>
    </row>
    <row r="228" spans="1:33">
      <c r="A228" s="9"/>
      <c r="B228" s="78"/>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row>
    <row r="229" spans="1:33">
      <c r="A229" s="9"/>
      <c r="B229" s="21"/>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row>
    <row r="230" spans="1:33">
      <c r="A230" s="9"/>
      <c r="B230" s="21"/>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row>
    <row r="231" spans="1:33">
      <c r="A231" s="9"/>
      <c r="B231" s="21"/>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row>
    <row r="232" spans="1:33">
      <c r="A232" s="9"/>
      <c r="B232" s="21"/>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row>
    <row r="233" spans="1:33">
      <c r="A233" s="9"/>
      <c r="B233" s="21"/>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row>
    <row r="234" spans="1:33">
      <c r="A234" s="9"/>
      <c r="B234" s="21"/>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row>
    <row r="235" spans="1:33">
      <c r="A235" s="9"/>
      <c r="B235" s="21"/>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row>
    <row r="236" spans="1:33">
      <c r="A236" s="9"/>
      <c r="B236" s="21"/>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row>
    <row r="257" spans="2:33">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row>
    <row r="258" spans="2:33">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row>
    <row r="267" spans="2:33">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row>
    <row r="268" spans="2:33">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row>
    <row r="269" spans="2:33">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row>
    <row r="270" spans="2:33">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row>
    <row r="271" spans="2:33">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row>
    <row r="272" spans="2:33">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row>
    <row r="339" spans="2:33">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row>
    <row r="340" spans="2:33">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c r="AG340" s="107"/>
    </row>
    <row r="346" spans="2:33">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row>
    <row r="347" spans="2:33">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row>
    <row r="348" spans="2:33">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row>
    <row r="349" spans="2:33">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row>
    <row r="350" spans="2:33">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row>
    <row r="351" spans="2:33">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row>
    <row r="352" spans="2:33">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row>
    <row r="449" spans="2:33">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row>
    <row r="451" spans="2:33">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row>
    <row r="452" spans="2:33">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c r="AG452" s="107"/>
    </row>
    <row r="460" spans="2:33">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row>
    <row r="461" spans="2:33">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row>
    <row r="462" spans="2:33">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row>
    <row r="463" spans="2:33">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row>
    <row r="464" spans="2:33">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row>
    <row r="552" spans="2:33">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row>
    <row r="554" spans="2:33">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row>
    <row r="556" spans="2:33">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row>
    <row r="557" spans="2:33">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c r="AG557" s="107"/>
    </row>
    <row r="625" spans="2:33">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row>
    <row r="627" spans="2:33">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row>
    <row r="630" spans="2:33">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row>
    <row r="632" spans="2:33">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row>
    <row r="633" spans="2:33">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row>
    <row r="635" spans="2:33">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row>
    <row r="637" spans="2:33">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row>
    <row r="638" spans="2:33">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c r="AG638" s="107"/>
    </row>
    <row r="709" spans="2:33">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row>
    <row r="710" spans="2:33">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c r="AG710" s="107"/>
    </row>
    <row r="716" spans="2:33">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row>
    <row r="717" spans="2:33">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row>
    <row r="718" spans="2:33">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row>
    <row r="719" spans="2:33">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row>
    <row r="720" spans="2:33">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row>
    <row r="881" spans="2:33">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row>
    <row r="885" spans="2:33">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row>
    <row r="886" spans="2:33">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c r="AG886" s="107"/>
    </row>
    <row r="889" spans="2:33">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row>
    <row r="890" spans="2:33">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row>
    <row r="891" spans="2:33">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row>
    <row r="892" spans="2:33">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row>
    <row r="893" spans="2:33">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row>
    <row r="894" spans="2:33">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row>
    <row r="895" spans="2:33">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row>
    <row r="896" spans="2:33">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row>
    <row r="968" spans="2:33">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row>
    <row r="969" spans="2:33">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c r="AG969" s="107"/>
    </row>
    <row r="975" spans="2:33">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row>
    <row r="976" spans="2:33">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row>
    <row r="1058" spans="2:33">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row>
    <row r="1070" spans="2:33">
      <c r="B1070" s="9"/>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c r="AA1070" s="9"/>
      <c r="AB1070" s="9"/>
      <c r="AC1070" s="9"/>
      <c r="AD1070" s="9"/>
      <c r="AE1070" s="9"/>
      <c r="AF1070" s="9"/>
      <c r="AG1070" s="9"/>
    </row>
    <row r="1071" spans="2:33">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c r="AG1071" s="107"/>
    </row>
    <row r="1169" spans="2:33">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c r="AG1169" s="107"/>
    </row>
    <row r="1175" spans="2:33">
      <c r="B1175" s="9"/>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c r="AA1175" s="9"/>
      <c r="AB1175" s="9"/>
      <c r="AC1175" s="9"/>
      <c r="AD1175" s="9"/>
      <c r="AE1175" s="9"/>
      <c r="AF1175" s="9"/>
      <c r="AG1175" s="9"/>
    </row>
    <row r="1176" spans="2:33">
      <c r="B1176" s="9"/>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c r="AA1176" s="9"/>
      <c r="AB1176" s="9"/>
      <c r="AC1176" s="9"/>
      <c r="AD1176" s="9"/>
      <c r="AE1176" s="9"/>
      <c r="AF1176" s="9"/>
      <c r="AG1176" s="9"/>
    </row>
    <row r="1177" spans="2:33">
      <c r="B1177" s="9"/>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c r="AA1177" s="9"/>
      <c r="AB1177" s="9"/>
      <c r="AC1177" s="9"/>
      <c r="AD1177" s="9"/>
      <c r="AE1177" s="9"/>
      <c r="AF1177" s="9"/>
      <c r="AG1177" s="9"/>
    </row>
    <row r="1178" spans="2:33">
      <c r="B1178" s="9"/>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c r="AA1178" s="9"/>
      <c r="AB1178" s="9"/>
      <c r="AC1178" s="9"/>
      <c r="AD1178" s="9"/>
      <c r="AE1178" s="9"/>
      <c r="AF1178" s="9"/>
      <c r="AG1178" s="9"/>
    </row>
    <row r="1179" spans="2:33">
      <c r="B1179" s="9"/>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c r="AA1179" s="9"/>
      <c r="AB1179" s="9"/>
      <c r="AC1179" s="9"/>
      <c r="AD1179" s="9"/>
      <c r="AE1179" s="9"/>
      <c r="AF1179" s="9"/>
      <c r="AG1179" s="9"/>
    </row>
    <row r="1180" spans="2:33">
      <c r="B1180" s="9"/>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c r="AA1180" s="9"/>
      <c r="AB1180" s="9"/>
      <c r="AC1180" s="9"/>
      <c r="AD1180" s="9"/>
      <c r="AE1180" s="9"/>
      <c r="AF1180" s="9"/>
      <c r="AG1180" s="9"/>
    </row>
    <row r="1181" spans="2:33">
      <c r="B1181" s="9"/>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c r="AA1181" s="9"/>
      <c r="AB1181" s="9"/>
      <c r="AC1181" s="9"/>
      <c r="AD1181" s="9"/>
      <c r="AE1181" s="9"/>
      <c r="AF1181" s="9"/>
      <c r="AG1181" s="9"/>
    </row>
    <row r="1182" spans="2:33">
      <c r="B1182" s="9"/>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c r="AA1182" s="9"/>
      <c r="AB1182" s="9"/>
      <c r="AC1182" s="9"/>
      <c r="AD1182" s="9"/>
      <c r="AE1182" s="9"/>
      <c r="AF1182" s="9"/>
      <c r="AG1182" s="9"/>
    </row>
    <row r="1183" spans="2:33">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row>
    <row r="1184" spans="2:33">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row>
    <row r="1268" spans="2:33">
      <c r="B1268" s="9"/>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c r="AA1268" s="9"/>
      <c r="AB1268" s="9"/>
      <c r="AC1268" s="9"/>
      <c r="AD1268" s="9"/>
      <c r="AE1268" s="9"/>
      <c r="AF1268" s="9"/>
      <c r="AG1268" s="9"/>
    </row>
    <row r="1269" spans="2:33">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c r="AG1269" s="107"/>
    </row>
    <row r="1275" spans="2:33">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row>
    <row r="1276" spans="2:33">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row>
    <row r="1277" spans="2:33">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row>
    <row r="1278" spans="2:33">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row>
    <row r="1279" spans="2:33">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row>
    <row r="1280" spans="2:33">
      <c r="B1280" s="9"/>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c r="AA1280" s="9"/>
      <c r="AB1280" s="9"/>
      <c r="AC1280" s="9"/>
      <c r="AD1280" s="9"/>
      <c r="AE1280" s="9"/>
      <c r="AF1280" s="9"/>
      <c r="AG1280" s="9"/>
    </row>
    <row r="1483" spans="2:33">
      <c r="B1483" s="9"/>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c r="AA1483" s="9"/>
      <c r="AB1483" s="9"/>
      <c r="AC1483" s="9"/>
      <c r="AD1483" s="9"/>
      <c r="AE1483" s="9"/>
      <c r="AF1483" s="9"/>
      <c r="AG1483" s="9"/>
    </row>
    <row r="1484" spans="2:33">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c r="AG1484" s="107"/>
    </row>
    <row r="1713" spans="2:33">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c r="AG1713" s="107"/>
    </row>
    <row r="1714" spans="2:33">
      <c r="B1714" s="9"/>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row>
    <row r="1715" spans="2:33">
      <c r="B1715" s="9"/>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row>
    <row r="1716" spans="2:33">
      <c r="B1716" s="9"/>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row>
    <row r="1717" spans="2:33">
      <c r="B1717" s="9"/>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row>
    <row r="1718" spans="2:33">
      <c r="B1718" s="9"/>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row>
    <row r="1719" spans="2:33">
      <c r="B1719" s="9"/>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row>
    <row r="1720" spans="2:33">
      <c r="B1720" s="9"/>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c r="AA1720" s="9"/>
      <c r="AB1720" s="9"/>
      <c r="AC1720" s="9"/>
      <c r="AD1720" s="9"/>
      <c r="AE1720" s="9"/>
      <c r="AF1720" s="9"/>
      <c r="AG1720" s="9"/>
    </row>
    <row r="1721" spans="2:33">
      <c r="B1721" s="9"/>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c r="AA1721" s="9"/>
      <c r="AB1721" s="9"/>
      <c r="AC1721" s="9"/>
      <c r="AD1721" s="9"/>
      <c r="AE1721" s="9"/>
      <c r="AF1721" s="9"/>
      <c r="AG1721" s="9"/>
    </row>
    <row r="1722" spans="2:33">
      <c r="B1722" s="9"/>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c r="AA1722" s="9"/>
      <c r="AB1722" s="9"/>
      <c r="AC1722" s="9"/>
      <c r="AD1722" s="9"/>
      <c r="AE1722" s="9"/>
      <c r="AF1722" s="9"/>
      <c r="AG1722" s="9"/>
    </row>
    <row r="1723" spans="2:33">
      <c r="B1723" s="9"/>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c r="AA1723" s="9"/>
      <c r="AB1723" s="9"/>
      <c r="AC1723" s="9"/>
      <c r="AD1723" s="9"/>
      <c r="AE1723" s="9"/>
      <c r="AF1723" s="9"/>
      <c r="AG1723" s="9"/>
    </row>
    <row r="1724" spans="2:33">
      <c r="B1724" s="9"/>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c r="AA1724" s="9"/>
      <c r="AB1724" s="9"/>
      <c r="AC1724" s="9"/>
      <c r="AD1724" s="9"/>
      <c r="AE1724" s="9"/>
      <c r="AF1724" s="9"/>
      <c r="AG1724" s="9"/>
    </row>
    <row r="1728" spans="2:33">
      <c r="B1728" s="9"/>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c r="AA1728" s="9"/>
      <c r="AB1728" s="9"/>
      <c r="AC1728" s="9"/>
      <c r="AD1728" s="9"/>
      <c r="AE1728" s="9"/>
      <c r="AF1728" s="9"/>
      <c r="AG1728" s="9"/>
    </row>
    <row r="1989" spans="2:33">
      <c r="B1989" s="9"/>
      <c r="C1989" s="9"/>
      <c r="D1989" s="9"/>
      <c r="E1989" s="9"/>
      <c r="F1989" s="9"/>
      <c r="G1989" s="9"/>
      <c r="H1989" s="9"/>
      <c r="I1989" s="9"/>
      <c r="J1989" s="9"/>
      <c r="K1989" s="9"/>
      <c r="L1989" s="9"/>
      <c r="M1989" s="9"/>
      <c r="N1989" s="9"/>
      <c r="O1989" s="9"/>
      <c r="P1989" s="9"/>
      <c r="Q1989" s="9"/>
      <c r="R1989" s="9"/>
      <c r="S1989" s="9"/>
      <c r="T1989" s="9"/>
      <c r="U1989" s="9"/>
      <c r="V1989" s="9"/>
      <c r="W1989" s="9"/>
      <c r="X1989" s="9"/>
      <c r="Y1989" s="9"/>
      <c r="Z1989" s="9"/>
      <c r="AA1989" s="9"/>
      <c r="AB1989" s="9"/>
      <c r="AC1989" s="9"/>
      <c r="AD1989" s="9"/>
      <c r="AE1989" s="9"/>
      <c r="AF1989" s="9"/>
      <c r="AG1989" s="9"/>
    </row>
    <row r="1990" spans="2:33">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c r="AG1990" s="107"/>
    </row>
    <row r="1998" spans="2:33">
      <c r="B1998" s="9"/>
      <c r="C1998" s="9"/>
      <c r="D1998" s="9"/>
      <c r="E1998" s="9"/>
      <c r="F1998" s="9"/>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row>
    <row r="1999" spans="2:33">
      <c r="B1999" s="9"/>
      <c r="C1999" s="9"/>
      <c r="D1999" s="9"/>
      <c r="E1999" s="9"/>
      <c r="F1999" s="9"/>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row>
    <row r="2000" spans="2:33">
      <c r="B2000" s="9"/>
      <c r="C2000" s="9"/>
      <c r="D2000" s="9"/>
      <c r="E2000" s="9"/>
      <c r="F2000" s="9"/>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row>
    <row r="2324" spans="2:33">
      <c r="B2324" s="9"/>
      <c r="C2324" s="9"/>
      <c r="D2324" s="9"/>
      <c r="E2324" s="9"/>
      <c r="F2324" s="9"/>
      <c r="G2324" s="9"/>
      <c r="H2324" s="9"/>
      <c r="I2324" s="9"/>
      <c r="J2324" s="9"/>
      <c r="K2324" s="9"/>
      <c r="L2324" s="9"/>
      <c r="M2324" s="9"/>
      <c r="N2324" s="9"/>
      <c r="O2324" s="9"/>
      <c r="P2324" s="9"/>
      <c r="Q2324" s="9"/>
      <c r="R2324" s="9"/>
      <c r="S2324" s="9"/>
      <c r="T2324" s="9"/>
      <c r="U2324" s="9"/>
      <c r="V2324" s="9"/>
      <c r="W2324" s="9"/>
      <c r="X2324" s="9"/>
      <c r="Y2324" s="9"/>
      <c r="Z2324" s="9"/>
      <c r="AA2324" s="9"/>
      <c r="AB2324" s="9"/>
      <c r="AC2324" s="9"/>
      <c r="AD2324" s="9"/>
      <c r="AE2324" s="9"/>
      <c r="AF2324" s="9"/>
      <c r="AG2324" s="9"/>
    </row>
    <row r="2325" spans="2:33">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c r="AG2325" s="107"/>
    </row>
    <row r="2327" spans="2:33">
      <c r="B2327" s="9"/>
      <c r="C2327" s="9"/>
      <c r="D2327" s="9"/>
      <c r="E2327" s="9"/>
      <c r="F2327" s="9"/>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row>
    <row r="2328" spans="2:33">
      <c r="B2328" s="9"/>
      <c r="C2328" s="9"/>
      <c r="D2328" s="9"/>
      <c r="E2328" s="9"/>
      <c r="F2328" s="9"/>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row>
    <row r="2329" spans="2:33">
      <c r="B2329" s="9"/>
      <c r="C2329" s="9"/>
      <c r="D2329" s="9"/>
      <c r="E2329" s="9"/>
      <c r="F2329" s="9"/>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row>
    <row r="2330" spans="2:33">
      <c r="B2330" s="9"/>
      <c r="C2330" s="9"/>
      <c r="D2330" s="9"/>
      <c r="E2330" s="9"/>
      <c r="F2330" s="9"/>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row>
    <row r="2331" spans="2:33">
      <c r="B2331" s="9"/>
      <c r="C2331" s="9"/>
      <c r="D2331" s="9"/>
      <c r="E2331" s="9"/>
      <c r="F2331" s="9"/>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row>
    <row r="2332" spans="2:33">
      <c r="B2332" s="9"/>
      <c r="C2332" s="9"/>
      <c r="D2332" s="9"/>
      <c r="E2332" s="9"/>
      <c r="F2332" s="9"/>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row>
    <row r="2333" spans="2:33">
      <c r="B2333" s="9"/>
      <c r="C2333" s="9"/>
      <c r="D2333" s="9"/>
      <c r="E2333" s="9"/>
      <c r="F2333" s="9"/>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row>
    <row r="2334" spans="2:33">
      <c r="B2334" s="9"/>
      <c r="C2334" s="9"/>
      <c r="D2334" s="9"/>
      <c r="E2334" s="9"/>
      <c r="F2334" s="9"/>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row>
    <row r="2335" spans="2:33">
      <c r="B2335" s="9"/>
      <c r="C2335" s="9"/>
      <c r="D2335" s="9"/>
      <c r="E2335" s="9"/>
      <c r="F2335" s="9"/>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row>
    <row r="2336" spans="2:33">
      <c r="B2336" s="9"/>
      <c r="C2336" s="9"/>
      <c r="D2336" s="9"/>
      <c r="E2336" s="9"/>
      <c r="F2336" s="9"/>
      <c r="G2336" s="9"/>
      <c r="H2336" s="9"/>
      <c r="I2336" s="9"/>
      <c r="J2336" s="9"/>
      <c r="K2336" s="9"/>
      <c r="L2336" s="9"/>
      <c r="M2336" s="9"/>
      <c r="N2336" s="9"/>
      <c r="O2336" s="9"/>
      <c r="P2336" s="9"/>
      <c r="Q2336" s="9"/>
      <c r="R2336" s="9"/>
      <c r="S2336" s="9"/>
      <c r="T2336" s="9"/>
      <c r="U2336" s="9"/>
      <c r="V2336" s="9"/>
      <c r="W2336" s="9"/>
      <c r="X2336" s="9"/>
      <c r="Y2336" s="9"/>
      <c r="Z2336" s="9"/>
      <c r="AA2336" s="9"/>
      <c r="AB2336" s="9"/>
      <c r="AC2336" s="9"/>
      <c r="AD2336" s="9"/>
      <c r="AE2336" s="9"/>
      <c r="AF2336" s="9"/>
      <c r="AG2336" s="9"/>
    </row>
    <row r="2644" spans="2:33">
      <c r="B2644" s="9"/>
      <c r="C2644" s="9"/>
      <c r="D2644" s="9"/>
      <c r="E2644" s="9"/>
      <c r="F2644" s="9"/>
      <c r="G2644" s="9"/>
      <c r="H2644" s="9"/>
      <c r="I2644" s="9"/>
      <c r="J2644" s="9"/>
      <c r="K2644" s="9"/>
      <c r="L2644" s="9"/>
      <c r="M2644" s="9"/>
      <c r="N2644" s="9"/>
      <c r="O2644" s="9"/>
      <c r="P2644" s="9"/>
      <c r="Q2644" s="9"/>
      <c r="R2644" s="9"/>
      <c r="S2644" s="9"/>
      <c r="T2644" s="9"/>
      <c r="U2644" s="9"/>
      <c r="V2644" s="9"/>
      <c r="W2644" s="9"/>
      <c r="X2644" s="9"/>
      <c r="Y2644" s="9"/>
      <c r="Z2644" s="9"/>
      <c r="AA2644" s="9"/>
      <c r="AB2644" s="9"/>
      <c r="AC2644" s="9"/>
      <c r="AD2644" s="9"/>
      <c r="AE2644" s="9"/>
      <c r="AF2644" s="9"/>
      <c r="AG2644" s="9"/>
    </row>
    <row r="2645" spans="2:33">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c r="AG2645" s="107"/>
    </row>
    <row r="2647" spans="2:33">
      <c r="B2647" s="9"/>
      <c r="C2647" s="9"/>
      <c r="D2647" s="9"/>
      <c r="E2647" s="9"/>
      <c r="F2647" s="9"/>
      <c r="G2647" s="9"/>
      <c r="H2647" s="9"/>
      <c r="I2647" s="9"/>
      <c r="J2647" s="9"/>
      <c r="K2647" s="9"/>
      <c r="L2647" s="9"/>
      <c r="M2647" s="9"/>
      <c r="N2647" s="9"/>
      <c r="O2647" s="9"/>
      <c r="P2647" s="9"/>
      <c r="Q2647" s="9"/>
      <c r="R2647" s="9"/>
      <c r="S2647" s="9"/>
      <c r="T2647" s="9"/>
      <c r="U2647" s="9"/>
      <c r="V2647" s="9"/>
      <c r="W2647" s="9"/>
      <c r="X2647" s="9"/>
      <c r="Y2647" s="9"/>
      <c r="Z2647" s="9"/>
      <c r="AA2647" s="9"/>
      <c r="AB2647" s="9"/>
      <c r="AC2647" s="9"/>
      <c r="AD2647" s="9"/>
      <c r="AE2647" s="9"/>
      <c r="AF2647" s="9"/>
      <c r="AG2647" s="9"/>
    </row>
    <row r="2648" spans="2:33">
      <c r="B2648" s="9"/>
      <c r="C2648" s="9"/>
      <c r="D2648" s="9"/>
      <c r="E2648" s="9"/>
      <c r="F2648" s="9"/>
      <c r="G2648" s="9"/>
      <c r="H2648" s="9"/>
      <c r="I2648" s="9"/>
      <c r="J2648" s="9"/>
      <c r="K2648" s="9"/>
      <c r="L2648" s="9"/>
      <c r="M2648" s="9"/>
      <c r="N2648" s="9"/>
      <c r="O2648" s="9"/>
      <c r="P2648" s="9"/>
      <c r="Q2648" s="9"/>
      <c r="R2648" s="9"/>
      <c r="S2648" s="9"/>
      <c r="T2648" s="9"/>
      <c r="U2648" s="9"/>
      <c r="V2648" s="9"/>
      <c r="W2648" s="9"/>
      <c r="X2648" s="9"/>
      <c r="Y2648" s="9"/>
      <c r="Z2648" s="9"/>
      <c r="AA2648" s="9"/>
      <c r="AB2648" s="9"/>
      <c r="AC2648" s="9"/>
      <c r="AD2648" s="9"/>
      <c r="AE2648" s="9"/>
      <c r="AF2648" s="9"/>
      <c r="AG2648" s="9"/>
    </row>
    <row r="2649" spans="2:33">
      <c r="B2649" s="9"/>
      <c r="C2649" s="9"/>
      <c r="D2649" s="9"/>
      <c r="E2649" s="9"/>
      <c r="F2649" s="9"/>
      <c r="G2649" s="9"/>
      <c r="H2649" s="9"/>
      <c r="I2649" s="9"/>
      <c r="J2649" s="9"/>
      <c r="K2649" s="9"/>
      <c r="L2649" s="9"/>
      <c r="M2649" s="9"/>
      <c r="N2649" s="9"/>
      <c r="O2649" s="9"/>
      <c r="P2649" s="9"/>
      <c r="Q2649" s="9"/>
      <c r="R2649" s="9"/>
      <c r="S2649" s="9"/>
      <c r="T2649" s="9"/>
      <c r="U2649" s="9"/>
      <c r="V2649" s="9"/>
      <c r="W2649" s="9"/>
      <c r="X2649" s="9"/>
      <c r="Y2649" s="9"/>
      <c r="Z2649" s="9"/>
      <c r="AA2649" s="9"/>
      <c r="AB2649" s="9"/>
      <c r="AC2649" s="9"/>
      <c r="AD2649" s="9"/>
      <c r="AE2649" s="9"/>
      <c r="AF2649" s="9"/>
      <c r="AG2649" s="9"/>
    </row>
    <row r="2650" spans="2:33">
      <c r="B2650" s="9"/>
      <c r="C2650" s="9"/>
      <c r="D2650" s="9"/>
      <c r="E2650" s="9"/>
      <c r="F2650" s="9"/>
      <c r="G2650" s="9"/>
      <c r="H2650" s="9"/>
      <c r="I2650" s="9"/>
      <c r="J2650" s="9"/>
      <c r="K2650" s="9"/>
      <c r="L2650" s="9"/>
      <c r="M2650" s="9"/>
      <c r="N2650" s="9"/>
      <c r="O2650" s="9"/>
      <c r="P2650" s="9"/>
      <c r="Q2650" s="9"/>
      <c r="R2650" s="9"/>
      <c r="S2650" s="9"/>
      <c r="T2650" s="9"/>
      <c r="U2650" s="9"/>
      <c r="V2650" s="9"/>
      <c r="W2650" s="9"/>
      <c r="X2650" s="9"/>
      <c r="Y2650" s="9"/>
      <c r="Z2650" s="9"/>
      <c r="AA2650" s="9"/>
      <c r="AB2650" s="9"/>
      <c r="AC2650" s="9"/>
      <c r="AD2650" s="9"/>
      <c r="AE2650" s="9"/>
      <c r="AF2650" s="9"/>
      <c r="AG2650" s="9"/>
    </row>
    <row r="2651" spans="2:33">
      <c r="B2651" s="9"/>
      <c r="C2651" s="9"/>
      <c r="D2651" s="9"/>
      <c r="E2651" s="9"/>
      <c r="F2651" s="9"/>
      <c r="G2651" s="9"/>
      <c r="H2651" s="9"/>
      <c r="I2651" s="9"/>
      <c r="J2651" s="9"/>
      <c r="K2651" s="9"/>
      <c r="L2651" s="9"/>
      <c r="M2651" s="9"/>
      <c r="N2651" s="9"/>
      <c r="O2651" s="9"/>
      <c r="P2651" s="9"/>
      <c r="Q2651" s="9"/>
      <c r="R2651" s="9"/>
      <c r="S2651" s="9"/>
      <c r="T2651" s="9"/>
      <c r="U2651" s="9"/>
      <c r="V2651" s="9"/>
      <c r="W2651" s="9"/>
      <c r="X2651" s="9"/>
      <c r="Y2651" s="9"/>
      <c r="Z2651" s="9"/>
      <c r="AA2651" s="9"/>
      <c r="AB2651" s="9"/>
      <c r="AC2651" s="9"/>
      <c r="AD2651" s="9"/>
      <c r="AE2651" s="9"/>
      <c r="AF2651" s="9"/>
      <c r="AG2651" s="9"/>
    </row>
    <row r="2652" spans="2:33">
      <c r="B2652" s="9"/>
      <c r="C2652" s="9"/>
      <c r="D2652" s="9"/>
      <c r="E2652" s="9"/>
      <c r="F2652" s="9"/>
      <c r="G2652" s="9"/>
      <c r="H2652" s="9"/>
      <c r="I2652" s="9"/>
      <c r="J2652" s="9"/>
      <c r="K2652" s="9"/>
      <c r="L2652" s="9"/>
      <c r="M2652" s="9"/>
      <c r="N2652" s="9"/>
      <c r="O2652" s="9"/>
      <c r="P2652" s="9"/>
      <c r="Q2652" s="9"/>
      <c r="R2652" s="9"/>
      <c r="S2652" s="9"/>
      <c r="T2652" s="9"/>
      <c r="U2652" s="9"/>
      <c r="V2652" s="9"/>
      <c r="W2652" s="9"/>
      <c r="X2652" s="9"/>
      <c r="Y2652" s="9"/>
      <c r="Z2652" s="9"/>
      <c r="AA2652" s="9"/>
      <c r="AB2652" s="9"/>
      <c r="AC2652" s="9"/>
      <c r="AD2652" s="9"/>
      <c r="AE2652" s="9"/>
      <c r="AF2652" s="9"/>
      <c r="AG2652" s="9"/>
    </row>
    <row r="2653" spans="2:33">
      <c r="B2653" s="9"/>
      <c r="C2653" s="9"/>
      <c r="D2653" s="9"/>
      <c r="E2653" s="9"/>
      <c r="F2653" s="9"/>
      <c r="G2653" s="9"/>
      <c r="H2653" s="9"/>
      <c r="I2653" s="9"/>
      <c r="J2653" s="9"/>
      <c r="K2653" s="9"/>
      <c r="L2653" s="9"/>
      <c r="M2653" s="9"/>
      <c r="N2653" s="9"/>
      <c r="O2653" s="9"/>
      <c r="P2653" s="9"/>
      <c r="Q2653" s="9"/>
      <c r="R2653" s="9"/>
      <c r="S2653" s="9"/>
      <c r="T2653" s="9"/>
      <c r="U2653" s="9"/>
      <c r="V2653" s="9"/>
      <c r="W2653" s="9"/>
      <c r="X2653" s="9"/>
      <c r="Y2653" s="9"/>
      <c r="Z2653" s="9"/>
      <c r="AA2653" s="9"/>
      <c r="AB2653" s="9"/>
      <c r="AC2653" s="9"/>
      <c r="AD2653" s="9"/>
      <c r="AE2653" s="9"/>
      <c r="AF2653" s="9"/>
      <c r="AG2653" s="9"/>
    </row>
    <row r="2654" spans="2:33">
      <c r="B2654" s="9"/>
      <c r="C2654" s="9"/>
      <c r="D2654" s="9"/>
      <c r="E2654" s="9"/>
      <c r="F2654" s="9"/>
      <c r="G2654" s="9"/>
      <c r="H2654" s="9"/>
      <c r="I2654" s="9"/>
      <c r="J2654" s="9"/>
      <c r="K2654" s="9"/>
      <c r="L2654" s="9"/>
      <c r="M2654" s="9"/>
      <c r="N2654" s="9"/>
      <c r="O2654" s="9"/>
      <c r="P2654" s="9"/>
      <c r="Q2654" s="9"/>
      <c r="R2654" s="9"/>
      <c r="S2654" s="9"/>
      <c r="T2654" s="9"/>
      <c r="U2654" s="9"/>
      <c r="V2654" s="9"/>
      <c r="W2654" s="9"/>
      <c r="X2654" s="9"/>
      <c r="Y2654" s="9"/>
      <c r="Z2654" s="9"/>
      <c r="AA2654" s="9"/>
      <c r="AB2654" s="9"/>
      <c r="AC2654" s="9"/>
      <c r="AD2654" s="9"/>
      <c r="AE2654" s="9"/>
      <c r="AF2654" s="9"/>
      <c r="AG2654" s="9"/>
    </row>
    <row r="2655" spans="2:33">
      <c r="B2655" s="9"/>
      <c r="C2655" s="9"/>
      <c r="D2655" s="9"/>
      <c r="E2655" s="9"/>
      <c r="F2655" s="9"/>
      <c r="G2655" s="9"/>
      <c r="H2655" s="9"/>
      <c r="I2655" s="9"/>
      <c r="J2655" s="9"/>
      <c r="K2655" s="9"/>
      <c r="L2655" s="9"/>
      <c r="M2655" s="9"/>
      <c r="N2655" s="9"/>
      <c r="O2655" s="9"/>
      <c r="P2655" s="9"/>
      <c r="Q2655" s="9"/>
      <c r="R2655" s="9"/>
      <c r="S2655" s="9"/>
      <c r="T2655" s="9"/>
      <c r="U2655" s="9"/>
      <c r="V2655" s="9"/>
      <c r="W2655" s="9"/>
      <c r="X2655" s="9"/>
      <c r="Y2655" s="9"/>
      <c r="Z2655" s="9"/>
      <c r="AA2655" s="9"/>
      <c r="AB2655" s="9"/>
      <c r="AC2655" s="9"/>
      <c r="AD2655" s="9"/>
      <c r="AE2655" s="9"/>
      <c r="AF2655" s="9"/>
      <c r="AG2655" s="9"/>
    </row>
    <row r="2656" spans="2:33">
      <c r="B2656" s="9"/>
      <c r="C2656" s="9"/>
      <c r="D2656" s="9"/>
      <c r="E2656" s="9"/>
      <c r="F2656" s="9"/>
      <c r="G2656" s="9"/>
      <c r="H2656" s="9"/>
      <c r="I2656" s="9"/>
      <c r="J2656" s="9"/>
      <c r="K2656" s="9"/>
      <c r="L2656" s="9"/>
      <c r="M2656" s="9"/>
      <c r="N2656" s="9"/>
      <c r="O2656" s="9"/>
      <c r="P2656" s="9"/>
      <c r="Q2656" s="9"/>
      <c r="R2656" s="9"/>
      <c r="S2656" s="9"/>
      <c r="T2656" s="9"/>
      <c r="U2656" s="9"/>
      <c r="V2656" s="9"/>
      <c r="W2656" s="9"/>
      <c r="X2656" s="9"/>
      <c r="Y2656" s="9"/>
      <c r="Z2656" s="9"/>
      <c r="AA2656" s="9"/>
      <c r="AB2656" s="9"/>
      <c r="AC2656" s="9"/>
      <c r="AD2656" s="9"/>
      <c r="AE2656" s="9"/>
      <c r="AF2656" s="9"/>
      <c r="AG2656" s="9"/>
    </row>
    <row r="2965" spans="2:33">
      <c r="B2965" s="9"/>
      <c r="C2965" s="9"/>
      <c r="D2965" s="9"/>
      <c r="E2965" s="9"/>
      <c r="F2965" s="9"/>
      <c r="G2965" s="9"/>
      <c r="H2965" s="9"/>
      <c r="I2965" s="9"/>
      <c r="J2965" s="9"/>
      <c r="K2965" s="9"/>
      <c r="L2965" s="9"/>
      <c r="M2965" s="9"/>
      <c r="N2965" s="9"/>
      <c r="O2965" s="9"/>
      <c r="P2965" s="9"/>
      <c r="Q2965" s="9"/>
      <c r="R2965" s="9"/>
      <c r="S2965" s="9"/>
      <c r="T2965" s="9"/>
      <c r="U2965" s="9"/>
      <c r="V2965" s="9"/>
      <c r="W2965" s="9"/>
      <c r="X2965" s="9"/>
      <c r="Y2965" s="9"/>
      <c r="Z2965" s="9"/>
      <c r="AA2965" s="9"/>
      <c r="AB2965" s="9"/>
      <c r="AC2965" s="9"/>
      <c r="AD2965" s="9"/>
      <c r="AE2965" s="9"/>
      <c r="AF2965" s="9"/>
      <c r="AG2965" s="9"/>
    </row>
    <row r="2970" spans="2:33">
      <c r="B2970" s="9"/>
      <c r="C2970" s="9"/>
      <c r="D2970" s="9"/>
      <c r="E2970" s="9"/>
      <c r="F2970" s="9"/>
      <c r="G2970" s="9"/>
      <c r="H2970" s="9"/>
      <c r="I2970" s="9"/>
      <c r="J2970" s="9"/>
      <c r="K2970" s="9"/>
      <c r="L2970" s="9"/>
      <c r="M2970" s="9"/>
      <c r="N2970" s="9"/>
      <c r="O2970" s="9"/>
      <c r="P2970" s="9"/>
      <c r="Q2970" s="9"/>
      <c r="R2970" s="9"/>
      <c r="S2970" s="9"/>
      <c r="T2970" s="9"/>
      <c r="U2970" s="9"/>
      <c r="V2970" s="9"/>
      <c r="W2970" s="9"/>
      <c r="X2970" s="9"/>
      <c r="Y2970" s="9"/>
      <c r="Z2970" s="9"/>
      <c r="AA2970" s="9"/>
      <c r="AB2970" s="9"/>
      <c r="AC2970" s="9"/>
      <c r="AD2970" s="9"/>
      <c r="AE2970" s="9"/>
      <c r="AF2970" s="9"/>
      <c r="AG2970" s="9"/>
    </row>
    <row r="2971" spans="2:33">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c r="AG2971" s="107"/>
    </row>
    <row r="2973" spans="2:33">
      <c r="B2973" s="9"/>
      <c r="C2973" s="9"/>
      <c r="D2973" s="9"/>
      <c r="E2973" s="9"/>
      <c r="F2973" s="9"/>
      <c r="G2973" s="9"/>
      <c r="H2973" s="9"/>
      <c r="I2973" s="9"/>
      <c r="J2973" s="9"/>
      <c r="K2973" s="9"/>
      <c r="L2973" s="9"/>
      <c r="M2973" s="9"/>
      <c r="N2973" s="9"/>
      <c r="O2973" s="9"/>
      <c r="P2973" s="9"/>
      <c r="Q2973" s="9"/>
      <c r="R2973" s="9"/>
      <c r="S2973" s="9"/>
      <c r="T2973" s="9"/>
      <c r="U2973" s="9"/>
      <c r="V2973" s="9"/>
      <c r="W2973" s="9"/>
      <c r="X2973" s="9"/>
      <c r="Y2973" s="9"/>
      <c r="Z2973" s="9"/>
      <c r="AA2973" s="9"/>
      <c r="AB2973" s="9"/>
      <c r="AC2973" s="9"/>
      <c r="AD2973" s="9"/>
      <c r="AE2973" s="9"/>
      <c r="AF2973" s="9"/>
      <c r="AG2973" s="9"/>
    </row>
    <row r="2974" spans="2:33">
      <c r="B2974" s="9"/>
      <c r="C2974" s="9"/>
      <c r="D2974" s="9"/>
      <c r="E2974" s="9"/>
      <c r="F2974" s="9"/>
      <c r="G2974" s="9"/>
      <c r="H2974" s="9"/>
      <c r="I2974" s="9"/>
      <c r="J2974" s="9"/>
      <c r="K2974" s="9"/>
      <c r="L2974" s="9"/>
      <c r="M2974" s="9"/>
      <c r="N2974" s="9"/>
      <c r="O2974" s="9"/>
      <c r="P2974" s="9"/>
      <c r="Q2974" s="9"/>
      <c r="R2974" s="9"/>
      <c r="S2974" s="9"/>
      <c r="T2974" s="9"/>
      <c r="U2974" s="9"/>
      <c r="V2974" s="9"/>
      <c r="W2974" s="9"/>
      <c r="X2974" s="9"/>
      <c r="Y2974" s="9"/>
      <c r="Z2974" s="9"/>
      <c r="AA2974" s="9"/>
      <c r="AB2974" s="9"/>
      <c r="AC2974" s="9"/>
      <c r="AD2974" s="9"/>
      <c r="AE2974" s="9"/>
      <c r="AF2974" s="9"/>
      <c r="AG2974" s="9"/>
    </row>
    <row r="2975" spans="2:33">
      <c r="B2975" s="9"/>
      <c r="C2975" s="9"/>
      <c r="D2975" s="9"/>
      <c r="E2975" s="9"/>
      <c r="F2975" s="9"/>
      <c r="G2975" s="9"/>
      <c r="H2975" s="9"/>
      <c r="I2975" s="9"/>
      <c r="J2975" s="9"/>
      <c r="K2975" s="9"/>
      <c r="L2975" s="9"/>
      <c r="M2975" s="9"/>
      <c r="N2975" s="9"/>
      <c r="O2975" s="9"/>
      <c r="P2975" s="9"/>
      <c r="Q2975" s="9"/>
      <c r="R2975" s="9"/>
      <c r="S2975" s="9"/>
      <c r="T2975" s="9"/>
      <c r="U2975" s="9"/>
      <c r="V2975" s="9"/>
      <c r="W2975" s="9"/>
      <c r="X2975" s="9"/>
      <c r="Y2975" s="9"/>
      <c r="Z2975" s="9"/>
      <c r="AA2975" s="9"/>
      <c r="AB2975" s="9"/>
      <c r="AC2975" s="9"/>
      <c r="AD2975" s="9"/>
      <c r="AE2975" s="9"/>
      <c r="AF2975" s="9"/>
      <c r="AG2975" s="9"/>
    </row>
    <row r="2976" spans="2:33">
      <c r="B2976" s="9"/>
      <c r="C2976" s="9"/>
      <c r="D2976" s="9"/>
      <c r="E2976" s="9"/>
      <c r="F2976" s="9"/>
      <c r="G2976" s="9"/>
      <c r="H2976" s="9"/>
      <c r="I2976" s="9"/>
      <c r="J2976" s="9"/>
      <c r="K2976" s="9"/>
      <c r="L2976" s="9"/>
      <c r="M2976" s="9"/>
      <c r="N2976" s="9"/>
      <c r="O2976" s="9"/>
      <c r="P2976" s="9"/>
      <c r="Q2976" s="9"/>
      <c r="R2976" s="9"/>
      <c r="S2976" s="9"/>
      <c r="T2976" s="9"/>
      <c r="U2976" s="9"/>
      <c r="V2976" s="9"/>
      <c r="W2976" s="9"/>
      <c r="X2976" s="9"/>
      <c r="Y2976" s="9"/>
      <c r="Z2976" s="9"/>
      <c r="AA2976" s="9"/>
      <c r="AB2976" s="9"/>
      <c r="AC2976" s="9"/>
      <c r="AD2976" s="9"/>
      <c r="AE2976" s="9"/>
      <c r="AF2976" s="9"/>
      <c r="AG2976" s="9"/>
    </row>
    <row r="3292" spans="2:33">
      <c r="B3292" s="9"/>
      <c r="C3292" s="9"/>
      <c r="D3292" s="9"/>
      <c r="E3292" s="9"/>
      <c r="F3292" s="9"/>
      <c r="G3292" s="9"/>
      <c r="H3292" s="9"/>
      <c r="I3292" s="9"/>
      <c r="J3292" s="9"/>
      <c r="K3292" s="9"/>
      <c r="L3292" s="9"/>
      <c r="M3292" s="9"/>
      <c r="N3292" s="9"/>
      <c r="O3292" s="9"/>
      <c r="P3292" s="9"/>
      <c r="Q3292" s="9"/>
      <c r="R3292" s="9"/>
      <c r="S3292" s="9"/>
      <c r="T3292" s="9"/>
      <c r="U3292" s="9"/>
      <c r="V3292" s="9"/>
      <c r="W3292" s="9"/>
      <c r="X3292" s="9"/>
      <c r="Y3292" s="9"/>
      <c r="Z3292" s="9"/>
      <c r="AA3292" s="9"/>
      <c r="AB3292" s="9"/>
      <c r="AC3292" s="9"/>
      <c r="AD3292" s="9"/>
      <c r="AE3292" s="9"/>
      <c r="AF3292" s="9"/>
      <c r="AG3292" s="9"/>
    </row>
    <row r="3293" spans="2:33">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c r="AG3293" s="107"/>
    </row>
    <row r="3294" spans="2:33">
      <c r="B3294" s="9"/>
      <c r="C3294" s="9"/>
      <c r="D3294" s="9"/>
      <c r="E3294" s="9"/>
      <c r="F3294" s="9"/>
      <c r="G3294" s="9"/>
      <c r="H3294" s="9"/>
      <c r="I3294" s="9"/>
      <c r="J3294" s="9"/>
      <c r="K3294" s="9"/>
      <c r="L3294" s="9"/>
      <c r="M3294" s="9"/>
      <c r="N3294" s="9"/>
      <c r="O3294" s="9"/>
      <c r="P3294" s="9"/>
      <c r="Q3294" s="9"/>
      <c r="R3294" s="9"/>
      <c r="S3294" s="9"/>
      <c r="T3294" s="9"/>
      <c r="U3294" s="9"/>
      <c r="V3294" s="9"/>
      <c r="W3294" s="9"/>
      <c r="X3294" s="9"/>
      <c r="Y3294" s="9"/>
      <c r="Z3294" s="9"/>
      <c r="AA3294" s="9"/>
      <c r="AB3294" s="9"/>
      <c r="AC3294" s="9"/>
      <c r="AD3294" s="9"/>
      <c r="AE3294" s="9"/>
      <c r="AF3294" s="9"/>
      <c r="AG3294" s="9"/>
    </row>
    <row r="3295" spans="2:33">
      <c r="B3295" s="9"/>
      <c r="C3295" s="9"/>
      <c r="D3295" s="9"/>
      <c r="E3295" s="9"/>
      <c r="F3295" s="9"/>
      <c r="G3295" s="9"/>
      <c r="H3295" s="9"/>
      <c r="I3295" s="9"/>
      <c r="J3295" s="9"/>
      <c r="K3295" s="9"/>
      <c r="L3295" s="9"/>
      <c r="M3295" s="9"/>
      <c r="N3295" s="9"/>
      <c r="O3295" s="9"/>
      <c r="P3295" s="9"/>
      <c r="Q3295" s="9"/>
      <c r="R3295" s="9"/>
      <c r="S3295" s="9"/>
      <c r="T3295" s="9"/>
      <c r="U3295" s="9"/>
      <c r="V3295" s="9"/>
      <c r="W3295" s="9"/>
      <c r="X3295" s="9"/>
      <c r="Y3295" s="9"/>
      <c r="Z3295" s="9"/>
      <c r="AA3295" s="9"/>
      <c r="AB3295" s="9"/>
      <c r="AC3295" s="9"/>
      <c r="AD3295" s="9"/>
      <c r="AE3295" s="9"/>
      <c r="AF3295" s="9"/>
      <c r="AG3295" s="9"/>
    </row>
    <row r="3296" spans="2:33">
      <c r="B3296" s="9"/>
      <c r="C3296" s="9"/>
      <c r="D3296" s="9"/>
      <c r="E3296" s="9"/>
      <c r="F3296" s="9"/>
      <c r="G3296" s="9"/>
      <c r="H3296" s="9"/>
      <c r="I3296" s="9"/>
      <c r="J3296" s="9"/>
      <c r="K3296" s="9"/>
      <c r="L3296" s="9"/>
      <c r="M3296" s="9"/>
      <c r="N3296" s="9"/>
      <c r="O3296" s="9"/>
      <c r="P3296" s="9"/>
      <c r="Q3296" s="9"/>
      <c r="R3296" s="9"/>
      <c r="S3296" s="9"/>
      <c r="T3296" s="9"/>
      <c r="U3296" s="9"/>
      <c r="V3296" s="9"/>
      <c r="W3296" s="9"/>
      <c r="X3296" s="9"/>
      <c r="Y3296" s="9"/>
      <c r="Z3296" s="9"/>
      <c r="AA3296" s="9"/>
      <c r="AB3296" s="9"/>
      <c r="AC3296" s="9"/>
      <c r="AD3296" s="9"/>
      <c r="AE3296" s="9"/>
      <c r="AF3296" s="9"/>
      <c r="AG3296" s="9"/>
    </row>
    <row r="3396" spans="2:33">
      <c r="B3396" s="9"/>
      <c r="C3396" s="9"/>
      <c r="D3396" s="9"/>
      <c r="E3396" s="9"/>
      <c r="F3396" s="9"/>
      <c r="G3396" s="9"/>
      <c r="H3396" s="9"/>
      <c r="I3396" s="9"/>
      <c r="J3396" s="9"/>
      <c r="K3396" s="9"/>
      <c r="L3396" s="9"/>
      <c r="M3396" s="9"/>
      <c r="N3396" s="9"/>
      <c r="O3396" s="9"/>
      <c r="P3396" s="9"/>
      <c r="Q3396" s="9"/>
      <c r="R3396" s="9"/>
      <c r="S3396" s="9"/>
      <c r="T3396" s="9"/>
      <c r="U3396" s="9"/>
      <c r="V3396" s="9"/>
      <c r="W3396" s="9"/>
      <c r="X3396" s="9"/>
      <c r="Y3396" s="9"/>
      <c r="Z3396" s="9"/>
      <c r="AA3396" s="9"/>
      <c r="AB3396" s="9"/>
      <c r="AC3396" s="9"/>
      <c r="AD3396" s="9"/>
      <c r="AE3396" s="9"/>
      <c r="AF3396" s="9"/>
      <c r="AG3396" s="9"/>
    </row>
    <row r="3399" spans="2:33">
      <c r="B3399" s="9"/>
      <c r="C3399" s="9"/>
      <c r="D3399" s="9"/>
      <c r="E3399" s="9"/>
      <c r="F3399" s="9"/>
      <c r="G3399" s="9"/>
      <c r="H3399" s="9"/>
      <c r="I3399" s="9"/>
      <c r="J3399" s="9"/>
      <c r="K3399" s="9"/>
      <c r="L3399" s="9"/>
      <c r="M3399" s="9"/>
      <c r="N3399" s="9"/>
      <c r="O3399" s="9"/>
      <c r="P3399" s="9"/>
      <c r="Q3399" s="9"/>
      <c r="R3399" s="9"/>
      <c r="S3399" s="9"/>
      <c r="T3399" s="9"/>
      <c r="U3399" s="9"/>
      <c r="V3399" s="9"/>
      <c r="W3399" s="9"/>
      <c r="X3399" s="9"/>
      <c r="Y3399" s="9"/>
      <c r="Z3399" s="9"/>
      <c r="AA3399" s="9"/>
      <c r="AB3399" s="9"/>
      <c r="AC3399" s="9"/>
      <c r="AD3399" s="9"/>
      <c r="AE3399" s="9"/>
      <c r="AF3399" s="9"/>
      <c r="AG3399" s="9"/>
    </row>
    <row r="3401" spans="2:33">
      <c r="B3401" s="9"/>
      <c r="C3401" s="9"/>
      <c r="D3401" s="9"/>
      <c r="E3401" s="9"/>
      <c r="F3401" s="9"/>
      <c r="G3401" s="9"/>
      <c r="H3401" s="9"/>
      <c r="I3401" s="9"/>
      <c r="J3401" s="9"/>
      <c r="K3401" s="9"/>
      <c r="L3401" s="9"/>
      <c r="M3401" s="9"/>
      <c r="N3401" s="9"/>
      <c r="O3401" s="9"/>
      <c r="P3401" s="9"/>
      <c r="Q3401" s="9"/>
      <c r="R3401" s="9"/>
      <c r="S3401" s="9"/>
      <c r="T3401" s="9"/>
      <c r="U3401" s="9"/>
      <c r="V3401" s="9"/>
      <c r="W3401" s="9"/>
      <c r="X3401" s="9"/>
      <c r="Y3401" s="9"/>
      <c r="Z3401" s="9"/>
      <c r="AA3401" s="9"/>
      <c r="AB3401" s="9"/>
      <c r="AC3401" s="9"/>
      <c r="AD3401" s="9"/>
      <c r="AE3401" s="9"/>
      <c r="AF3401" s="9"/>
      <c r="AG3401" s="9"/>
    </row>
    <row r="3402" spans="2:33">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c r="AG3402" s="107"/>
    </row>
    <row r="3521" spans="2:33">
      <c r="B3521" s="9"/>
      <c r="C3521" s="9"/>
      <c r="D3521" s="9"/>
      <c r="E3521" s="9"/>
      <c r="F3521" s="9"/>
      <c r="G3521" s="9"/>
      <c r="H3521" s="9"/>
      <c r="I3521" s="9"/>
      <c r="J3521" s="9"/>
      <c r="K3521" s="9"/>
      <c r="L3521" s="9"/>
      <c r="M3521" s="9"/>
      <c r="N3521" s="9"/>
      <c r="O3521" s="9"/>
      <c r="P3521" s="9"/>
      <c r="Q3521" s="9"/>
      <c r="R3521" s="9"/>
      <c r="S3521" s="9"/>
      <c r="T3521" s="9"/>
      <c r="U3521" s="9"/>
      <c r="V3521" s="9"/>
      <c r="W3521" s="9"/>
      <c r="X3521" s="9"/>
      <c r="Y3521" s="9"/>
      <c r="Z3521" s="9"/>
      <c r="AA3521" s="9"/>
      <c r="AB3521" s="9"/>
      <c r="AC3521" s="9"/>
      <c r="AD3521" s="9"/>
      <c r="AE3521" s="9"/>
      <c r="AF3521" s="9"/>
      <c r="AG3521" s="9"/>
    </row>
    <row r="3524" spans="2:33">
      <c r="B3524" s="9"/>
      <c r="C3524" s="9"/>
      <c r="D3524" s="9"/>
      <c r="E3524" s="9"/>
      <c r="F3524" s="9"/>
      <c r="G3524" s="9"/>
      <c r="H3524" s="9"/>
      <c r="I3524" s="9"/>
      <c r="J3524" s="9"/>
      <c r="K3524" s="9"/>
      <c r="L3524" s="9"/>
      <c r="M3524" s="9"/>
      <c r="N3524" s="9"/>
      <c r="O3524" s="9"/>
      <c r="P3524" s="9"/>
      <c r="Q3524" s="9"/>
      <c r="R3524" s="9"/>
      <c r="S3524" s="9"/>
      <c r="T3524" s="9"/>
      <c r="U3524" s="9"/>
      <c r="V3524" s="9"/>
      <c r="W3524" s="9"/>
      <c r="X3524" s="9"/>
      <c r="Y3524" s="9"/>
      <c r="Z3524" s="9"/>
      <c r="AA3524" s="9"/>
      <c r="AB3524" s="9"/>
      <c r="AC3524" s="9"/>
      <c r="AD3524" s="9"/>
      <c r="AE3524" s="9"/>
      <c r="AF3524" s="9"/>
      <c r="AG3524" s="9"/>
    </row>
    <row r="3526" spans="2:33">
      <c r="B3526" s="9"/>
      <c r="C3526" s="9"/>
      <c r="D3526" s="9"/>
      <c r="E3526" s="9"/>
      <c r="F3526" s="9"/>
      <c r="G3526" s="9"/>
      <c r="H3526" s="9"/>
      <c r="I3526" s="9"/>
      <c r="J3526" s="9"/>
      <c r="K3526" s="9"/>
      <c r="L3526" s="9"/>
      <c r="M3526" s="9"/>
      <c r="N3526" s="9"/>
      <c r="O3526" s="9"/>
      <c r="P3526" s="9"/>
      <c r="Q3526" s="9"/>
      <c r="R3526" s="9"/>
      <c r="S3526" s="9"/>
      <c r="T3526" s="9"/>
      <c r="U3526" s="9"/>
      <c r="V3526" s="9"/>
      <c r="W3526" s="9"/>
      <c r="X3526" s="9"/>
      <c r="Y3526" s="9"/>
      <c r="Z3526" s="9"/>
      <c r="AA3526" s="9"/>
      <c r="AB3526" s="9"/>
      <c r="AC3526" s="9"/>
      <c r="AD3526" s="9"/>
      <c r="AE3526" s="9"/>
      <c r="AF3526" s="9"/>
      <c r="AG3526" s="9"/>
    </row>
    <row r="3527" spans="2:33">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c r="AG3527" s="107"/>
    </row>
    <row r="3535" spans="2:33">
      <c r="B3535" s="9"/>
      <c r="C3535" s="9"/>
      <c r="D3535" s="9"/>
      <c r="E3535" s="9"/>
      <c r="F3535" s="9"/>
      <c r="G3535" s="9"/>
      <c r="H3535" s="9"/>
      <c r="I3535" s="9"/>
      <c r="J3535" s="9"/>
      <c r="K3535" s="9"/>
      <c r="L3535" s="9"/>
      <c r="M3535" s="9"/>
      <c r="N3535" s="9"/>
      <c r="O3535" s="9"/>
      <c r="P3535" s="9"/>
      <c r="Q3535" s="9"/>
      <c r="R3535" s="9"/>
      <c r="S3535" s="9"/>
      <c r="T3535" s="9"/>
      <c r="U3535" s="9"/>
      <c r="V3535" s="9"/>
      <c r="W3535" s="9"/>
      <c r="X3535" s="9"/>
      <c r="Y3535" s="9"/>
      <c r="Z3535" s="9"/>
      <c r="AA3535" s="9"/>
      <c r="AB3535" s="9"/>
      <c r="AC3535" s="9"/>
      <c r="AD3535" s="9"/>
      <c r="AE3535" s="9"/>
      <c r="AF3535" s="9"/>
      <c r="AG3535" s="9"/>
    </row>
    <row r="3536" spans="2:33">
      <c r="B3536" s="9"/>
      <c r="C3536" s="9"/>
      <c r="D3536" s="9"/>
      <c r="E3536" s="9"/>
      <c r="F3536" s="9"/>
      <c r="G3536" s="9"/>
      <c r="H3536" s="9"/>
      <c r="I3536" s="9"/>
      <c r="J3536" s="9"/>
      <c r="K3536" s="9"/>
      <c r="L3536" s="9"/>
      <c r="M3536" s="9"/>
      <c r="N3536" s="9"/>
      <c r="O3536" s="9"/>
      <c r="P3536" s="9"/>
      <c r="Q3536" s="9"/>
      <c r="R3536" s="9"/>
      <c r="S3536" s="9"/>
      <c r="T3536" s="9"/>
      <c r="U3536" s="9"/>
      <c r="V3536" s="9"/>
      <c r="W3536" s="9"/>
      <c r="X3536" s="9"/>
      <c r="Y3536" s="9"/>
      <c r="Z3536" s="9"/>
      <c r="AA3536" s="9"/>
      <c r="AB3536" s="9"/>
      <c r="AC3536" s="9"/>
      <c r="AD3536" s="9"/>
      <c r="AE3536" s="9"/>
      <c r="AF3536" s="9"/>
      <c r="AG3536" s="9"/>
    </row>
    <row r="3649" spans="2:33">
      <c r="B3649" s="9"/>
      <c r="C3649" s="9"/>
      <c r="D3649" s="9"/>
      <c r="E3649" s="9"/>
      <c r="F3649" s="9"/>
      <c r="G3649" s="9"/>
      <c r="H3649" s="9"/>
      <c r="I3649" s="9"/>
      <c r="J3649" s="9"/>
      <c r="K3649" s="9"/>
      <c r="L3649" s="9"/>
      <c r="M3649" s="9"/>
      <c r="N3649" s="9"/>
      <c r="O3649" s="9"/>
      <c r="P3649" s="9"/>
      <c r="Q3649" s="9"/>
      <c r="R3649" s="9"/>
      <c r="S3649" s="9"/>
      <c r="T3649" s="9"/>
      <c r="U3649" s="9"/>
      <c r="V3649" s="9"/>
      <c r="W3649" s="9"/>
      <c r="X3649" s="9"/>
      <c r="Y3649" s="9"/>
      <c r="Z3649" s="9"/>
      <c r="AA3649" s="9"/>
      <c r="AB3649" s="9"/>
      <c r="AC3649" s="9"/>
      <c r="AD3649" s="9"/>
      <c r="AE3649" s="9"/>
      <c r="AF3649" s="9"/>
      <c r="AG3649" s="9"/>
    </row>
    <row r="3651" spans="2:33">
      <c r="B3651" s="9"/>
      <c r="C3651" s="9"/>
      <c r="D3651" s="9"/>
      <c r="E3651" s="9"/>
      <c r="F3651" s="9"/>
      <c r="G3651" s="9"/>
      <c r="H3651" s="9"/>
      <c r="I3651" s="9"/>
      <c r="J3651" s="9"/>
      <c r="K3651" s="9"/>
      <c r="L3651" s="9"/>
      <c r="M3651" s="9"/>
      <c r="N3651" s="9"/>
      <c r="O3651" s="9"/>
      <c r="P3651" s="9"/>
      <c r="Q3651" s="9"/>
      <c r="R3651" s="9"/>
      <c r="S3651" s="9"/>
      <c r="T3651" s="9"/>
      <c r="U3651" s="9"/>
      <c r="V3651" s="9"/>
      <c r="W3651" s="9"/>
      <c r="X3651" s="9"/>
      <c r="Y3651" s="9"/>
      <c r="Z3651" s="9"/>
      <c r="AA3651" s="9"/>
      <c r="AB3651" s="9"/>
      <c r="AC3651" s="9"/>
      <c r="AD3651" s="9"/>
      <c r="AE3651" s="9"/>
      <c r="AF3651" s="9"/>
      <c r="AG3651" s="9"/>
    </row>
    <row r="3652" spans="2:33">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c r="AG3652" s="107"/>
    </row>
    <row r="3660" spans="2:33">
      <c r="B3660" s="9"/>
      <c r="C3660" s="9"/>
      <c r="D3660" s="9"/>
      <c r="E3660" s="9"/>
      <c r="F3660" s="9"/>
      <c r="G3660" s="9"/>
      <c r="H3660" s="9"/>
      <c r="I3660" s="9"/>
      <c r="J3660" s="9"/>
      <c r="K3660" s="9"/>
      <c r="L3660" s="9"/>
      <c r="M3660" s="9"/>
      <c r="N3660" s="9"/>
      <c r="O3660" s="9"/>
      <c r="P3660" s="9"/>
      <c r="Q3660" s="9"/>
      <c r="R3660" s="9"/>
      <c r="S3660" s="9"/>
      <c r="T3660" s="9"/>
      <c r="U3660" s="9"/>
      <c r="V3660" s="9"/>
      <c r="W3660" s="9"/>
      <c r="X3660" s="9"/>
      <c r="Y3660" s="9"/>
      <c r="Z3660" s="9"/>
      <c r="AA3660" s="9"/>
      <c r="AB3660" s="9"/>
      <c r="AC3660" s="9"/>
      <c r="AD3660" s="9"/>
      <c r="AE3660" s="9"/>
      <c r="AF3660" s="9"/>
      <c r="AG3660" s="9"/>
    </row>
    <row r="3661" spans="2:33">
      <c r="B3661" s="9"/>
      <c r="C3661" s="9"/>
      <c r="D3661" s="9"/>
      <c r="E3661" s="9"/>
      <c r="F3661" s="9"/>
      <c r="G3661" s="9"/>
      <c r="H3661" s="9"/>
      <c r="I3661" s="9"/>
      <c r="J3661" s="9"/>
      <c r="K3661" s="9"/>
      <c r="L3661" s="9"/>
      <c r="M3661" s="9"/>
      <c r="N3661" s="9"/>
      <c r="O3661" s="9"/>
      <c r="P3661" s="9"/>
      <c r="Q3661" s="9"/>
      <c r="R3661" s="9"/>
      <c r="S3661" s="9"/>
      <c r="T3661" s="9"/>
      <c r="U3661" s="9"/>
      <c r="V3661" s="9"/>
      <c r="W3661" s="9"/>
      <c r="X3661" s="9"/>
      <c r="Y3661" s="9"/>
      <c r="Z3661" s="9"/>
      <c r="AA3661" s="9"/>
      <c r="AB3661" s="9"/>
      <c r="AC3661" s="9"/>
      <c r="AD3661" s="9"/>
      <c r="AE3661" s="9"/>
      <c r="AF3661" s="9"/>
      <c r="AG3661" s="9"/>
    </row>
    <row r="3662" spans="2:33">
      <c r="B3662" s="9"/>
      <c r="C3662" s="9"/>
      <c r="D3662" s="9"/>
      <c r="E3662" s="9"/>
      <c r="F3662" s="9"/>
      <c r="G3662" s="9"/>
      <c r="H3662" s="9"/>
      <c r="I3662" s="9"/>
      <c r="J3662" s="9"/>
      <c r="K3662" s="9"/>
      <c r="L3662" s="9"/>
      <c r="M3662" s="9"/>
      <c r="N3662" s="9"/>
      <c r="O3662" s="9"/>
      <c r="P3662" s="9"/>
      <c r="Q3662" s="9"/>
      <c r="R3662" s="9"/>
      <c r="S3662" s="9"/>
      <c r="T3662" s="9"/>
      <c r="U3662" s="9"/>
      <c r="V3662" s="9"/>
      <c r="W3662" s="9"/>
      <c r="X3662" s="9"/>
      <c r="Y3662" s="9"/>
      <c r="Z3662" s="9"/>
      <c r="AA3662" s="9"/>
      <c r="AB3662" s="9"/>
      <c r="AC3662" s="9"/>
      <c r="AD3662" s="9"/>
      <c r="AE3662" s="9"/>
      <c r="AF3662" s="9"/>
      <c r="AG3662" s="9"/>
    </row>
    <row r="3663" spans="2:33">
      <c r="B3663" s="9"/>
      <c r="C3663" s="9"/>
      <c r="D3663" s="9"/>
      <c r="E3663" s="9"/>
      <c r="F3663" s="9"/>
      <c r="G3663" s="9"/>
      <c r="H3663" s="9"/>
      <c r="I3663" s="9"/>
      <c r="J3663" s="9"/>
      <c r="K3663" s="9"/>
      <c r="L3663" s="9"/>
      <c r="M3663" s="9"/>
      <c r="N3663" s="9"/>
      <c r="O3663" s="9"/>
      <c r="P3663" s="9"/>
      <c r="Q3663" s="9"/>
      <c r="R3663" s="9"/>
      <c r="S3663" s="9"/>
      <c r="T3663" s="9"/>
      <c r="U3663" s="9"/>
      <c r="V3663" s="9"/>
      <c r="W3663" s="9"/>
      <c r="X3663" s="9"/>
      <c r="Y3663" s="9"/>
      <c r="Z3663" s="9"/>
      <c r="AA3663" s="9"/>
      <c r="AB3663" s="9"/>
      <c r="AC3663" s="9"/>
      <c r="AD3663" s="9"/>
      <c r="AE3663" s="9"/>
      <c r="AF3663" s="9"/>
      <c r="AG3663" s="9"/>
    </row>
    <row r="3664" spans="2:33">
      <c r="B3664" s="9"/>
      <c r="C3664" s="9"/>
      <c r="D3664" s="9"/>
      <c r="E3664" s="9"/>
      <c r="F3664" s="9"/>
      <c r="G3664" s="9"/>
      <c r="H3664" s="9"/>
      <c r="I3664" s="9"/>
      <c r="J3664" s="9"/>
      <c r="K3664" s="9"/>
      <c r="L3664" s="9"/>
      <c r="M3664" s="9"/>
      <c r="N3664" s="9"/>
      <c r="O3664" s="9"/>
      <c r="P3664" s="9"/>
      <c r="Q3664" s="9"/>
      <c r="R3664" s="9"/>
      <c r="S3664" s="9"/>
      <c r="T3664" s="9"/>
      <c r="U3664" s="9"/>
      <c r="V3664" s="9"/>
      <c r="W3664" s="9"/>
      <c r="X3664" s="9"/>
      <c r="Y3664" s="9"/>
      <c r="Z3664" s="9"/>
      <c r="AA3664" s="9"/>
      <c r="AB3664" s="9"/>
      <c r="AC3664" s="9"/>
      <c r="AD3664" s="9"/>
      <c r="AE3664" s="9"/>
      <c r="AF3664" s="9"/>
      <c r="AG3664" s="9"/>
    </row>
    <row r="3777" spans="2:33">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c r="AG3777" s="107"/>
    </row>
    <row r="3785" spans="2:33">
      <c r="B3785" s="9"/>
      <c r="C3785" s="9"/>
      <c r="D3785" s="9"/>
      <c r="E3785" s="9"/>
      <c r="F3785" s="9"/>
      <c r="G3785" s="9"/>
      <c r="H3785" s="9"/>
      <c r="I3785" s="9"/>
      <c r="J3785" s="9"/>
      <c r="K3785" s="9"/>
      <c r="L3785" s="9"/>
      <c r="M3785" s="9"/>
      <c r="N3785" s="9"/>
      <c r="O3785" s="9"/>
      <c r="P3785" s="9"/>
      <c r="Q3785" s="9"/>
      <c r="R3785" s="9"/>
      <c r="S3785" s="9"/>
      <c r="T3785" s="9"/>
      <c r="U3785" s="9"/>
      <c r="V3785" s="9"/>
      <c r="W3785" s="9"/>
      <c r="X3785" s="9"/>
      <c r="Y3785" s="9"/>
      <c r="Z3785" s="9"/>
      <c r="AA3785" s="9"/>
      <c r="AB3785" s="9"/>
      <c r="AC3785" s="9"/>
      <c r="AD3785" s="9"/>
      <c r="AE3785" s="9"/>
      <c r="AF3785" s="9"/>
      <c r="AG3785" s="9"/>
    </row>
    <row r="3786" spans="2:33">
      <c r="B3786" s="9"/>
      <c r="C3786" s="9"/>
      <c r="D3786" s="9"/>
      <c r="E3786" s="9"/>
      <c r="F3786" s="9"/>
      <c r="G3786" s="9"/>
      <c r="H3786" s="9"/>
      <c r="I3786" s="9"/>
      <c r="J3786" s="9"/>
      <c r="K3786" s="9"/>
      <c r="L3786" s="9"/>
      <c r="M3786" s="9"/>
      <c r="N3786" s="9"/>
      <c r="O3786" s="9"/>
      <c r="P3786" s="9"/>
      <c r="Q3786" s="9"/>
      <c r="R3786" s="9"/>
      <c r="S3786" s="9"/>
      <c r="T3786" s="9"/>
      <c r="U3786" s="9"/>
      <c r="V3786" s="9"/>
      <c r="W3786" s="9"/>
      <c r="X3786" s="9"/>
      <c r="Y3786" s="9"/>
      <c r="Z3786" s="9"/>
      <c r="AA3786" s="9"/>
      <c r="AB3786" s="9"/>
      <c r="AC3786" s="9"/>
      <c r="AD3786" s="9"/>
      <c r="AE3786" s="9"/>
      <c r="AF3786" s="9"/>
      <c r="AG3786" s="9"/>
    </row>
    <row r="3787" spans="2:33">
      <c r="B3787" s="9"/>
      <c r="C3787" s="9"/>
      <c r="D3787" s="9"/>
      <c r="E3787" s="9"/>
      <c r="F3787" s="9"/>
      <c r="G3787" s="9"/>
      <c r="H3787" s="9"/>
      <c r="I3787" s="9"/>
      <c r="J3787" s="9"/>
      <c r="K3787" s="9"/>
      <c r="L3787" s="9"/>
      <c r="M3787" s="9"/>
      <c r="N3787" s="9"/>
      <c r="O3787" s="9"/>
      <c r="P3787" s="9"/>
      <c r="Q3787" s="9"/>
      <c r="R3787" s="9"/>
      <c r="S3787" s="9"/>
      <c r="T3787" s="9"/>
      <c r="U3787" s="9"/>
      <c r="V3787" s="9"/>
      <c r="W3787" s="9"/>
      <c r="X3787" s="9"/>
      <c r="Y3787" s="9"/>
      <c r="Z3787" s="9"/>
      <c r="AA3787" s="9"/>
      <c r="AB3787" s="9"/>
      <c r="AC3787" s="9"/>
      <c r="AD3787" s="9"/>
      <c r="AE3787" s="9"/>
      <c r="AF3787" s="9"/>
      <c r="AG3787" s="9"/>
    </row>
    <row r="3788" spans="2:33">
      <c r="B3788" s="9"/>
      <c r="C3788" s="9"/>
      <c r="D3788" s="9"/>
      <c r="E3788" s="9"/>
      <c r="F3788" s="9"/>
      <c r="G3788" s="9"/>
      <c r="H3788" s="9"/>
      <c r="I3788" s="9"/>
      <c r="J3788" s="9"/>
      <c r="K3788" s="9"/>
      <c r="L3788" s="9"/>
      <c r="M3788" s="9"/>
      <c r="N3788" s="9"/>
      <c r="O3788" s="9"/>
      <c r="P3788" s="9"/>
      <c r="Q3788" s="9"/>
      <c r="R3788" s="9"/>
      <c r="S3788" s="9"/>
      <c r="T3788" s="9"/>
      <c r="U3788" s="9"/>
      <c r="V3788" s="9"/>
      <c r="W3788" s="9"/>
      <c r="X3788" s="9"/>
      <c r="Y3788" s="9"/>
      <c r="Z3788" s="9"/>
      <c r="AA3788" s="9"/>
      <c r="AB3788" s="9"/>
      <c r="AC3788" s="9"/>
      <c r="AD3788" s="9"/>
      <c r="AE3788" s="9"/>
      <c r="AF3788" s="9"/>
      <c r="AG3788" s="9"/>
    </row>
    <row r="3789" spans="2:33">
      <c r="B3789" s="9"/>
      <c r="C3789" s="9"/>
      <c r="D3789" s="9"/>
      <c r="E3789" s="9"/>
      <c r="F3789" s="9"/>
      <c r="G3789" s="9"/>
      <c r="H3789" s="9"/>
      <c r="I3789" s="9"/>
      <c r="J3789" s="9"/>
      <c r="K3789" s="9"/>
      <c r="L3789" s="9"/>
      <c r="M3789" s="9"/>
      <c r="N3789" s="9"/>
      <c r="O3789" s="9"/>
      <c r="P3789" s="9"/>
      <c r="Q3789" s="9"/>
      <c r="R3789" s="9"/>
      <c r="S3789" s="9"/>
      <c r="T3789" s="9"/>
      <c r="U3789" s="9"/>
      <c r="V3789" s="9"/>
      <c r="W3789" s="9"/>
      <c r="X3789" s="9"/>
      <c r="Y3789" s="9"/>
      <c r="Z3789" s="9"/>
      <c r="AA3789" s="9"/>
      <c r="AB3789" s="9"/>
      <c r="AC3789" s="9"/>
      <c r="AD3789" s="9"/>
      <c r="AE3789" s="9"/>
      <c r="AF3789" s="9"/>
      <c r="AG3789" s="9"/>
    </row>
    <row r="3790" spans="2:33">
      <c r="B3790" s="9"/>
      <c r="C3790" s="9"/>
      <c r="D3790" s="9"/>
      <c r="E3790" s="9"/>
      <c r="F3790" s="9"/>
      <c r="G3790" s="9"/>
      <c r="H3790" s="9"/>
      <c r="I3790" s="9"/>
      <c r="J3790" s="9"/>
      <c r="K3790" s="9"/>
      <c r="L3790" s="9"/>
      <c r="M3790" s="9"/>
      <c r="N3790" s="9"/>
      <c r="O3790" s="9"/>
      <c r="P3790" s="9"/>
      <c r="Q3790" s="9"/>
      <c r="R3790" s="9"/>
      <c r="S3790" s="9"/>
      <c r="T3790" s="9"/>
      <c r="U3790" s="9"/>
      <c r="V3790" s="9"/>
      <c r="W3790" s="9"/>
      <c r="X3790" s="9"/>
      <c r="Y3790" s="9"/>
      <c r="Z3790" s="9"/>
      <c r="AA3790" s="9"/>
      <c r="AB3790" s="9"/>
      <c r="AC3790" s="9"/>
      <c r="AD3790" s="9"/>
      <c r="AE3790" s="9"/>
      <c r="AF3790" s="9"/>
      <c r="AG3790" s="9"/>
    </row>
    <row r="3791" spans="2:33">
      <c r="B3791" s="9"/>
      <c r="C3791" s="9"/>
      <c r="D3791" s="9"/>
      <c r="E3791" s="9"/>
      <c r="F3791" s="9"/>
      <c r="G3791" s="9"/>
      <c r="H3791" s="9"/>
      <c r="I3791" s="9"/>
      <c r="J3791" s="9"/>
      <c r="K3791" s="9"/>
      <c r="L3791" s="9"/>
      <c r="M3791" s="9"/>
      <c r="N3791" s="9"/>
      <c r="O3791" s="9"/>
      <c r="P3791" s="9"/>
      <c r="Q3791" s="9"/>
      <c r="R3791" s="9"/>
      <c r="S3791" s="9"/>
      <c r="T3791" s="9"/>
      <c r="U3791" s="9"/>
      <c r="V3791" s="9"/>
      <c r="W3791" s="9"/>
      <c r="X3791" s="9"/>
      <c r="Y3791" s="9"/>
      <c r="Z3791" s="9"/>
      <c r="AA3791" s="9"/>
      <c r="AB3791" s="9"/>
      <c r="AC3791" s="9"/>
      <c r="AD3791" s="9"/>
      <c r="AE3791" s="9"/>
      <c r="AF3791" s="9"/>
      <c r="AG3791" s="9"/>
    </row>
    <row r="3792" spans="2:33">
      <c r="B3792" s="9"/>
      <c r="C3792" s="9"/>
      <c r="D3792" s="9"/>
      <c r="E3792" s="9"/>
      <c r="F3792" s="9"/>
      <c r="G3792" s="9"/>
      <c r="H3792" s="9"/>
      <c r="I3792" s="9"/>
      <c r="J3792" s="9"/>
      <c r="K3792" s="9"/>
      <c r="L3792" s="9"/>
      <c r="M3792" s="9"/>
      <c r="N3792" s="9"/>
      <c r="O3792" s="9"/>
      <c r="P3792" s="9"/>
      <c r="Q3792" s="9"/>
      <c r="R3792" s="9"/>
      <c r="S3792" s="9"/>
      <c r="T3792" s="9"/>
      <c r="U3792" s="9"/>
      <c r="V3792" s="9"/>
      <c r="W3792" s="9"/>
      <c r="X3792" s="9"/>
      <c r="Y3792" s="9"/>
      <c r="Z3792" s="9"/>
      <c r="AA3792" s="9"/>
      <c r="AB3792" s="9"/>
      <c r="AC3792" s="9"/>
      <c r="AD3792" s="9"/>
      <c r="AE3792" s="9"/>
      <c r="AF3792" s="9"/>
      <c r="AG3792" s="9"/>
    </row>
    <row r="3896" spans="2:33">
      <c r="B3896" s="9"/>
      <c r="C3896" s="9"/>
      <c r="D3896" s="9"/>
      <c r="E3896" s="9"/>
      <c r="F3896" s="9"/>
      <c r="G3896" s="9"/>
      <c r="H3896" s="9"/>
      <c r="I3896" s="9"/>
      <c r="J3896" s="9"/>
      <c r="K3896" s="9"/>
      <c r="L3896" s="9"/>
      <c r="M3896" s="9"/>
      <c r="N3896" s="9"/>
      <c r="O3896" s="9"/>
      <c r="P3896" s="9"/>
      <c r="Q3896" s="9"/>
      <c r="R3896" s="9"/>
      <c r="S3896" s="9"/>
      <c r="T3896" s="9"/>
      <c r="U3896" s="9"/>
      <c r="V3896" s="9"/>
      <c r="W3896" s="9"/>
      <c r="X3896" s="9"/>
      <c r="Y3896" s="9"/>
      <c r="Z3896" s="9"/>
      <c r="AA3896" s="9"/>
      <c r="AB3896" s="9"/>
      <c r="AC3896" s="9"/>
      <c r="AD3896" s="9"/>
      <c r="AE3896" s="9"/>
      <c r="AF3896" s="9"/>
      <c r="AG3896" s="9"/>
    </row>
    <row r="3899" spans="2:33">
      <c r="B3899" s="9"/>
      <c r="C3899" s="9"/>
      <c r="D3899" s="9"/>
      <c r="E3899" s="9"/>
      <c r="F3899" s="9"/>
      <c r="G3899" s="9"/>
      <c r="H3899" s="9"/>
      <c r="I3899" s="9"/>
      <c r="J3899" s="9"/>
      <c r="K3899" s="9"/>
      <c r="L3899" s="9"/>
      <c r="M3899" s="9"/>
      <c r="N3899" s="9"/>
      <c r="O3899" s="9"/>
      <c r="P3899" s="9"/>
      <c r="Q3899" s="9"/>
      <c r="R3899" s="9"/>
      <c r="S3899" s="9"/>
      <c r="T3899" s="9"/>
      <c r="U3899" s="9"/>
      <c r="V3899" s="9"/>
      <c r="W3899" s="9"/>
      <c r="X3899" s="9"/>
      <c r="Y3899" s="9"/>
      <c r="Z3899" s="9"/>
      <c r="AA3899" s="9"/>
      <c r="AB3899" s="9"/>
      <c r="AC3899" s="9"/>
      <c r="AD3899" s="9"/>
      <c r="AE3899" s="9"/>
      <c r="AF3899" s="9"/>
      <c r="AG3899" s="9"/>
    </row>
    <row r="3901" spans="2:33">
      <c r="B3901" s="9"/>
      <c r="C3901" s="9"/>
      <c r="D3901" s="9"/>
      <c r="E3901" s="9"/>
      <c r="F3901" s="9"/>
      <c r="G3901" s="9"/>
      <c r="H3901" s="9"/>
      <c r="I3901" s="9"/>
      <c r="J3901" s="9"/>
      <c r="K3901" s="9"/>
      <c r="L3901" s="9"/>
      <c r="M3901" s="9"/>
      <c r="N3901" s="9"/>
      <c r="O3901" s="9"/>
      <c r="P3901" s="9"/>
      <c r="Q3901" s="9"/>
      <c r="R3901" s="9"/>
      <c r="S3901" s="9"/>
      <c r="T3901" s="9"/>
      <c r="U3901" s="9"/>
      <c r="V3901" s="9"/>
      <c r="W3901" s="9"/>
      <c r="X3901" s="9"/>
      <c r="Y3901" s="9"/>
      <c r="Z3901" s="9"/>
      <c r="AA3901" s="9"/>
      <c r="AB3901" s="9"/>
      <c r="AC3901" s="9"/>
      <c r="AD3901" s="9"/>
      <c r="AE3901" s="9"/>
      <c r="AF3901" s="9"/>
      <c r="AG3901" s="9"/>
    </row>
    <row r="3902" spans="2:33">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c r="AG3902" s="107"/>
    </row>
    <row r="4021" spans="2:33">
      <c r="B4021" s="9"/>
      <c r="C4021" s="9"/>
      <c r="D4021" s="9"/>
      <c r="E4021" s="9"/>
      <c r="F4021" s="9"/>
      <c r="G4021" s="9"/>
      <c r="H4021" s="9"/>
      <c r="I4021" s="9"/>
      <c r="J4021" s="9"/>
      <c r="K4021" s="9"/>
      <c r="L4021" s="9"/>
      <c r="M4021" s="9"/>
      <c r="N4021" s="9"/>
      <c r="O4021" s="9"/>
      <c r="P4021" s="9"/>
      <c r="Q4021" s="9"/>
      <c r="R4021" s="9"/>
      <c r="S4021" s="9"/>
      <c r="T4021" s="9"/>
      <c r="U4021" s="9"/>
      <c r="V4021" s="9"/>
      <c r="W4021" s="9"/>
      <c r="X4021" s="9"/>
      <c r="Y4021" s="9"/>
      <c r="Z4021" s="9"/>
      <c r="AA4021" s="9"/>
      <c r="AB4021" s="9"/>
      <c r="AC4021" s="9"/>
      <c r="AD4021" s="9"/>
      <c r="AE4021" s="9"/>
      <c r="AF4021" s="9"/>
      <c r="AG4021" s="9"/>
    </row>
    <row r="4024" spans="2:33">
      <c r="B4024" s="9"/>
      <c r="C4024" s="9"/>
      <c r="D4024" s="9"/>
      <c r="E4024" s="9"/>
      <c r="F4024" s="9"/>
      <c r="G4024" s="9"/>
      <c r="H4024" s="9"/>
      <c r="I4024" s="9"/>
      <c r="J4024" s="9"/>
      <c r="K4024" s="9"/>
      <c r="L4024" s="9"/>
      <c r="M4024" s="9"/>
      <c r="N4024" s="9"/>
      <c r="O4024" s="9"/>
      <c r="P4024" s="9"/>
      <c r="Q4024" s="9"/>
      <c r="R4024" s="9"/>
      <c r="S4024" s="9"/>
      <c r="T4024" s="9"/>
      <c r="U4024" s="9"/>
      <c r="V4024" s="9"/>
      <c r="W4024" s="9"/>
      <c r="X4024" s="9"/>
      <c r="Y4024" s="9"/>
      <c r="Z4024" s="9"/>
      <c r="AA4024" s="9"/>
      <c r="AB4024" s="9"/>
      <c r="AC4024" s="9"/>
      <c r="AD4024" s="9"/>
      <c r="AE4024" s="9"/>
      <c r="AF4024" s="9"/>
      <c r="AG4024" s="9"/>
    </row>
    <row r="4026" spans="2:33">
      <c r="B4026" s="9"/>
      <c r="C4026" s="9"/>
      <c r="D4026" s="9"/>
      <c r="E4026" s="9"/>
      <c r="F4026" s="9"/>
      <c r="G4026" s="9"/>
      <c r="H4026" s="9"/>
      <c r="I4026" s="9"/>
      <c r="J4026" s="9"/>
      <c r="K4026" s="9"/>
      <c r="L4026" s="9"/>
      <c r="M4026" s="9"/>
      <c r="N4026" s="9"/>
      <c r="O4026" s="9"/>
      <c r="P4026" s="9"/>
      <c r="Q4026" s="9"/>
      <c r="R4026" s="9"/>
      <c r="S4026" s="9"/>
      <c r="T4026" s="9"/>
      <c r="U4026" s="9"/>
      <c r="V4026" s="9"/>
      <c r="W4026" s="9"/>
      <c r="X4026" s="9"/>
      <c r="Y4026" s="9"/>
      <c r="Z4026" s="9"/>
      <c r="AA4026" s="9"/>
      <c r="AB4026" s="9"/>
      <c r="AC4026" s="9"/>
      <c r="AD4026" s="9"/>
      <c r="AE4026" s="9"/>
      <c r="AF4026" s="9"/>
      <c r="AG4026" s="9"/>
    </row>
    <row r="4027" spans="2:33">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c r="AG4027" s="107"/>
    </row>
    <row r="4146" spans="2:33">
      <c r="B4146" s="9"/>
      <c r="C4146" s="9"/>
      <c r="D4146" s="9"/>
      <c r="E4146" s="9"/>
      <c r="F4146" s="9"/>
      <c r="G4146" s="9"/>
      <c r="H4146" s="9"/>
      <c r="I4146" s="9"/>
      <c r="J4146" s="9"/>
      <c r="K4146" s="9"/>
      <c r="L4146" s="9"/>
      <c r="M4146" s="9"/>
      <c r="N4146" s="9"/>
      <c r="O4146" s="9"/>
      <c r="P4146" s="9"/>
      <c r="Q4146" s="9"/>
      <c r="R4146" s="9"/>
      <c r="S4146" s="9"/>
      <c r="T4146" s="9"/>
      <c r="U4146" s="9"/>
      <c r="V4146" s="9"/>
      <c r="W4146" s="9"/>
      <c r="X4146" s="9"/>
      <c r="Y4146" s="9"/>
      <c r="Z4146" s="9"/>
      <c r="AA4146" s="9"/>
      <c r="AB4146" s="9"/>
      <c r="AC4146" s="9"/>
      <c r="AD4146" s="9"/>
      <c r="AE4146" s="9"/>
      <c r="AF4146" s="9"/>
      <c r="AG4146" s="9"/>
    </row>
    <row r="4149" spans="2:33">
      <c r="B4149" s="9"/>
      <c r="C4149" s="9"/>
      <c r="D4149" s="9"/>
      <c r="E4149" s="9"/>
      <c r="F4149" s="9"/>
      <c r="G4149" s="9"/>
      <c r="H4149" s="9"/>
      <c r="I4149" s="9"/>
      <c r="J4149" s="9"/>
      <c r="K4149" s="9"/>
      <c r="L4149" s="9"/>
      <c r="M4149" s="9"/>
      <c r="N4149" s="9"/>
      <c r="O4149" s="9"/>
      <c r="P4149" s="9"/>
      <c r="Q4149" s="9"/>
      <c r="R4149" s="9"/>
      <c r="S4149" s="9"/>
      <c r="T4149" s="9"/>
      <c r="U4149" s="9"/>
      <c r="V4149" s="9"/>
      <c r="W4149" s="9"/>
      <c r="X4149" s="9"/>
      <c r="Y4149" s="9"/>
      <c r="Z4149" s="9"/>
      <c r="AA4149" s="9"/>
      <c r="AB4149" s="9"/>
      <c r="AC4149" s="9"/>
      <c r="AD4149" s="9"/>
      <c r="AE4149" s="9"/>
      <c r="AF4149" s="9"/>
      <c r="AG4149" s="9"/>
    </row>
    <row r="4151" spans="2:33">
      <c r="B4151" s="9"/>
      <c r="C4151" s="9"/>
      <c r="D4151" s="9"/>
      <c r="E4151" s="9"/>
      <c r="F4151" s="9"/>
      <c r="G4151" s="9"/>
      <c r="H4151" s="9"/>
      <c r="I4151" s="9"/>
      <c r="J4151" s="9"/>
      <c r="K4151" s="9"/>
      <c r="L4151" s="9"/>
      <c r="M4151" s="9"/>
      <c r="N4151" s="9"/>
      <c r="O4151" s="9"/>
      <c r="P4151" s="9"/>
      <c r="Q4151" s="9"/>
      <c r="R4151" s="9"/>
      <c r="S4151" s="9"/>
      <c r="T4151" s="9"/>
      <c r="U4151" s="9"/>
      <c r="V4151" s="9"/>
      <c r="W4151" s="9"/>
      <c r="X4151" s="9"/>
      <c r="Y4151" s="9"/>
      <c r="Z4151" s="9"/>
      <c r="AA4151" s="9"/>
      <c r="AB4151" s="9"/>
      <c r="AC4151" s="9"/>
      <c r="AD4151" s="9"/>
      <c r="AE4151" s="9"/>
      <c r="AF4151" s="9"/>
      <c r="AG4151" s="9"/>
    </row>
    <row r="4152" spans="2:33">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c r="AG4152" s="107"/>
    </row>
    <row r="4160" spans="2:33">
      <c r="B4160" s="9"/>
      <c r="C4160" s="9"/>
      <c r="D4160" s="9"/>
      <c r="E4160" s="9"/>
      <c r="F4160" s="9"/>
      <c r="G4160" s="9"/>
      <c r="H4160" s="9"/>
      <c r="I4160" s="9"/>
      <c r="J4160" s="9"/>
      <c r="K4160" s="9"/>
      <c r="L4160" s="9"/>
      <c r="M4160" s="9"/>
      <c r="N4160" s="9"/>
      <c r="O4160" s="9"/>
      <c r="P4160" s="9"/>
      <c r="Q4160" s="9"/>
      <c r="R4160" s="9"/>
      <c r="S4160" s="9"/>
      <c r="T4160" s="9"/>
      <c r="U4160" s="9"/>
      <c r="V4160" s="9"/>
      <c r="W4160" s="9"/>
      <c r="X4160" s="9"/>
      <c r="Y4160" s="9"/>
      <c r="Z4160" s="9"/>
      <c r="AA4160" s="9"/>
      <c r="AB4160" s="9"/>
      <c r="AC4160" s="9"/>
      <c r="AD4160" s="9"/>
      <c r="AE4160" s="9"/>
      <c r="AF4160" s="9"/>
      <c r="AG4160" s="9"/>
    </row>
    <row r="4274" spans="2:33">
      <c r="B4274" s="9"/>
      <c r="C4274" s="9"/>
      <c r="D4274" s="9"/>
      <c r="E4274" s="9"/>
      <c r="F4274" s="9"/>
      <c r="G4274" s="9"/>
      <c r="H4274" s="9"/>
      <c r="I4274" s="9"/>
      <c r="J4274" s="9"/>
      <c r="K4274" s="9"/>
      <c r="L4274" s="9"/>
      <c r="M4274" s="9"/>
      <c r="N4274" s="9"/>
      <c r="O4274" s="9"/>
      <c r="P4274" s="9"/>
      <c r="Q4274" s="9"/>
      <c r="R4274" s="9"/>
      <c r="S4274" s="9"/>
      <c r="T4274" s="9"/>
      <c r="U4274" s="9"/>
      <c r="V4274" s="9"/>
      <c r="W4274" s="9"/>
      <c r="X4274" s="9"/>
      <c r="Y4274" s="9"/>
      <c r="Z4274" s="9"/>
      <c r="AA4274" s="9"/>
      <c r="AB4274" s="9"/>
      <c r="AC4274" s="9"/>
      <c r="AD4274" s="9"/>
      <c r="AE4274" s="9"/>
      <c r="AF4274" s="9"/>
      <c r="AG4274" s="9"/>
    </row>
    <row r="4276" spans="2:33">
      <c r="B4276" s="9"/>
      <c r="C4276" s="9"/>
      <c r="D4276" s="9"/>
      <c r="E4276" s="9"/>
      <c r="F4276" s="9"/>
      <c r="G4276" s="9"/>
      <c r="H4276" s="9"/>
      <c r="I4276" s="9"/>
      <c r="J4276" s="9"/>
      <c r="K4276" s="9"/>
      <c r="L4276" s="9"/>
      <c r="M4276" s="9"/>
      <c r="N4276" s="9"/>
      <c r="O4276" s="9"/>
      <c r="P4276" s="9"/>
      <c r="Q4276" s="9"/>
      <c r="R4276" s="9"/>
      <c r="S4276" s="9"/>
      <c r="T4276" s="9"/>
      <c r="U4276" s="9"/>
      <c r="V4276" s="9"/>
      <c r="W4276" s="9"/>
      <c r="X4276" s="9"/>
      <c r="Y4276" s="9"/>
      <c r="Z4276" s="9"/>
      <c r="AA4276" s="9"/>
      <c r="AB4276" s="9"/>
      <c r="AC4276" s="9"/>
      <c r="AD4276" s="9"/>
      <c r="AE4276" s="9"/>
      <c r="AF4276" s="9"/>
      <c r="AG4276" s="9"/>
    </row>
    <row r="4277" spans="2:33">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c r="AG4277" s="107"/>
    </row>
    <row r="4285" spans="2:33">
      <c r="B4285" s="9"/>
      <c r="C4285" s="9"/>
      <c r="D4285" s="9"/>
      <c r="E4285" s="9"/>
      <c r="F4285" s="9"/>
      <c r="G4285" s="9"/>
      <c r="H4285" s="9"/>
      <c r="I4285" s="9"/>
      <c r="J4285" s="9"/>
      <c r="K4285" s="9"/>
      <c r="L4285" s="9"/>
      <c r="M4285" s="9"/>
      <c r="N4285" s="9"/>
      <c r="O4285" s="9"/>
      <c r="P4285" s="9"/>
      <c r="Q4285" s="9"/>
      <c r="R4285" s="9"/>
      <c r="S4285" s="9"/>
      <c r="T4285" s="9"/>
      <c r="U4285" s="9"/>
      <c r="V4285" s="9"/>
      <c r="W4285" s="9"/>
      <c r="X4285" s="9"/>
      <c r="Y4285" s="9"/>
      <c r="Z4285" s="9"/>
      <c r="AA4285" s="9"/>
      <c r="AB4285" s="9"/>
      <c r="AC4285" s="9"/>
      <c r="AD4285" s="9"/>
      <c r="AE4285" s="9"/>
      <c r="AF4285" s="9"/>
      <c r="AG4285" s="9"/>
    </row>
    <row r="4286" spans="2:33">
      <c r="B4286" s="9"/>
      <c r="C4286" s="9"/>
      <c r="D4286" s="9"/>
      <c r="E4286" s="9"/>
      <c r="F4286" s="9"/>
      <c r="G4286" s="9"/>
      <c r="H4286" s="9"/>
      <c r="I4286" s="9"/>
      <c r="J4286" s="9"/>
      <c r="K4286" s="9"/>
      <c r="L4286" s="9"/>
      <c r="M4286" s="9"/>
      <c r="N4286" s="9"/>
      <c r="O4286" s="9"/>
      <c r="P4286" s="9"/>
      <c r="Q4286" s="9"/>
      <c r="R4286" s="9"/>
      <c r="S4286" s="9"/>
      <c r="T4286" s="9"/>
      <c r="U4286" s="9"/>
      <c r="V4286" s="9"/>
      <c r="W4286" s="9"/>
      <c r="X4286" s="9"/>
      <c r="Y4286" s="9"/>
      <c r="Z4286" s="9"/>
      <c r="AA4286" s="9"/>
      <c r="AB4286" s="9"/>
      <c r="AC4286" s="9"/>
      <c r="AD4286" s="9"/>
      <c r="AE4286" s="9"/>
      <c r="AF4286" s="9"/>
      <c r="AG4286" s="9"/>
    </row>
    <row r="4287" spans="2:33">
      <c r="B4287" s="9"/>
      <c r="C4287" s="9"/>
      <c r="D4287" s="9"/>
      <c r="E4287" s="9"/>
      <c r="F4287" s="9"/>
      <c r="G4287" s="9"/>
      <c r="H4287" s="9"/>
      <c r="I4287" s="9"/>
      <c r="J4287" s="9"/>
      <c r="K4287" s="9"/>
      <c r="L4287" s="9"/>
      <c r="M4287" s="9"/>
      <c r="N4287" s="9"/>
      <c r="O4287" s="9"/>
      <c r="P4287" s="9"/>
      <c r="Q4287" s="9"/>
      <c r="R4287" s="9"/>
      <c r="S4287" s="9"/>
      <c r="T4287" s="9"/>
      <c r="U4287" s="9"/>
      <c r="V4287" s="9"/>
      <c r="W4287" s="9"/>
      <c r="X4287" s="9"/>
      <c r="Y4287" s="9"/>
      <c r="Z4287" s="9"/>
      <c r="AA4287" s="9"/>
      <c r="AB4287" s="9"/>
      <c r="AC4287" s="9"/>
      <c r="AD4287" s="9"/>
      <c r="AE4287" s="9"/>
      <c r="AF4287" s="9"/>
      <c r="AG4287" s="9"/>
    </row>
    <row r="4288" spans="2:33">
      <c r="B4288" s="9"/>
      <c r="C4288" s="9"/>
      <c r="D4288" s="9"/>
      <c r="E4288" s="9"/>
      <c r="F4288" s="9"/>
      <c r="G4288" s="9"/>
      <c r="H4288" s="9"/>
      <c r="I4288" s="9"/>
      <c r="J4288" s="9"/>
      <c r="K4288" s="9"/>
      <c r="L4288" s="9"/>
      <c r="M4288" s="9"/>
      <c r="N4288" s="9"/>
      <c r="O4288" s="9"/>
      <c r="P4288" s="9"/>
      <c r="Q4288" s="9"/>
      <c r="R4288" s="9"/>
      <c r="S4288" s="9"/>
      <c r="T4288" s="9"/>
      <c r="U4288" s="9"/>
      <c r="V4288" s="9"/>
      <c r="W4288" s="9"/>
      <c r="X4288" s="9"/>
      <c r="Y4288" s="9"/>
      <c r="Z4288" s="9"/>
      <c r="AA4288" s="9"/>
      <c r="AB4288" s="9"/>
      <c r="AC4288" s="9"/>
      <c r="AD4288" s="9"/>
      <c r="AE4288" s="9"/>
      <c r="AF4288" s="9"/>
      <c r="AG4288" s="9"/>
    </row>
    <row r="4401" spans="2:33">
      <c r="B4401" s="9"/>
      <c r="C4401" s="9"/>
      <c r="D4401" s="9"/>
      <c r="E4401" s="9"/>
      <c r="F4401" s="9"/>
      <c r="G4401" s="9"/>
      <c r="H4401" s="9"/>
      <c r="I4401" s="9"/>
      <c r="J4401" s="9"/>
      <c r="K4401" s="9"/>
      <c r="L4401" s="9"/>
      <c r="M4401" s="9"/>
      <c r="N4401" s="9"/>
      <c r="O4401" s="9"/>
      <c r="P4401" s="9"/>
      <c r="Q4401" s="9"/>
      <c r="R4401" s="9"/>
      <c r="S4401" s="9"/>
      <c r="T4401" s="9"/>
      <c r="U4401" s="9"/>
      <c r="V4401" s="9"/>
      <c r="W4401" s="9"/>
      <c r="X4401" s="9"/>
      <c r="Y4401" s="9"/>
      <c r="Z4401" s="9"/>
      <c r="AA4401" s="9"/>
      <c r="AB4401" s="9"/>
      <c r="AC4401" s="9"/>
      <c r="AD4401" s="9"/>
      <c r="AE4401" s="9"/>
      <c r="AF4401" s="9"/>
      <c r="AG4401" s="9"/>
    </row>
    <row r="4402" spans="2:33">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c r="AG4402" s="107"/>
    </row>
  </sheetData>
  <mergeCells count="28">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17"/>
  <sheetViews>
    <sheetView workbookViewId="0">
      <selection activeCell="D3" sqref="D3:AD8"/>
    </sheetView>
  </sheetViews>
  <sheetFormatPr defaultColWidth="9.1796875" defaultRowHeight="14.5"/>
  <sheetData>
    <row r="1" spans="1:30" s="81" customFormat="1">
      <c r="A1" s="81" t="s">
        <v>3773</v>
      </c>
    </row>
    <row r="2" spans="1:30">
      <c r="B2" s="1" t="s">
        <v>145</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123</v>
      </c>
      <c r="C3">
        <v>1</v>
      </c>
      <c r="D3">
        <f>INDEX('AEO 2025 Table 7'!9:9,MATCH(D2,'AEO 2025 Table 7'!5:5,0))/INDEX('AEO 2023 Table 7'!18:18,MATCH($C$2,'AEO 2023 Table 7'!1:1,0))</f>
        <v>1.0387304202535905</v>
      </c>
      <c r="E3">
        <f>INDEX('AEO 2025 Table 7'!9:9,MATCH(E2,'AEO 2025 Table 7'!5:5,0))/INDEX('AEO 2023 Table 7'!18:18,MATCH($C$2,'AEO 2023 Table 7'!1:1,0))</f>
        <v>1.0541169504067631</v>
      </c>
      <c r="F3">
        <f>INDEX('AEO 2025 Table 7'!9:9,MATCH(F2,'AEO 2025 Table 7'!5:5,0))/INDEX('AEO 2023 Table 7'!18:18,MATCH($C$2,'AEO 2023 Table 7'!1:1,0))</f>
        <v>1.0627610344297265</v>
      </c>
      <c r="G3">
        <f>INDEX('AEO 2025 Table 7'!9:9,MATCH(G2,'AEO 2025 Table 7'!5:5,0))/INDEX('AEO 2023 Table 7'!18:18,MATCH($C$2,'AEO 2023 Table 7'!1:1,0))</f>
        <v>1.0684707444811876</v>
      </c>
      <c r="H3">
        <f>INDEX('AEO 2025 Table 7'!9:9,MATCH(H2,'AEO 2025 Table 7'!5:5,0))/INDEX('AEO 2023 Table 7'!18:18,MATCH($C$2,'AEO 2023 Table 7'!1:1,0))</f>
        <v>1.0726800293286158</v>
      </c>
      <c r="I3">
        <f>INDEX('AEO 2025 Table 7'!9:9,MATCH(I2,'AEO 2025 Table 7'!5:5,0))/INDEX('AEO 2023 Table 7'!18:18,MATCH($C$2,'AEO 2023 Table 7'!1:1,0))</f>
        <v>1.0772800931331319</v>
      </c>
      <c r="J3">
        <f>INDEX('AEO 2025 Table 7'!9:9,MATCH(J2,'AEO 2025 Table 7'!5:5,0))/INDEX('AEO 2023 Table 7'!18:18,MATCH($C$2,'AEO 2023 Table 7'!1:1,0))</f>
        <v>1.0823090538954068</v>
      </c>
      <c r="K3">
        <f>INDEX('AEO 2025 Table 7'!9:9,MATCH(K2,'AEO 2025 Table 7'!5:5,0))/INDEX('AEO 2023 Table 7'!18:18,MATCH($C$2,'AEO 2023 Table 7'!1:1,0))</f>
        <v>1.0870793468991484</v>
      </c>
      <c r="L3">
        <f>INDEX('AEO 2025 Table 7'!9:9,MATCH(L2,'AEO 2025 Table 7'!5:5,0))/INDEX('AEO 2023 Table 7'!18:18,MATCH($C$2,'AEO 2023 Table 7'!1:1,0))</f>
        <v>1.0896394352195837</v>
      </c>
      <c r="M3">
        <f>INDEX('AEO 2025 Table 7'!9:9,MATCH(M2,'AEO 2025 Table 7'!5:5,0))/INDEX('AEO 2023 Table 7'!18:18,MATCH($C$2,'AEO 2023 Table 7'!1:1,0))</f>
        <v>1.0916079696968561</v>
      </c>
      <c r="N3">
        <f>INDEX('AEO 2025 Table 7'!9:9,MATCH(N2,'AEO 2025 Table 7'!5:5,0))/INDEX('AEO 2023 Table 7'!18:18,MATCH($C$2,'AEO 2023 Table 7'!1:1,0))</f>
        <v>1.09325220199827</v>
      </c>
      <c r="O3">
        <f>INDEX('AEO 2025 Table 7'!9:9,MATCH(O2,'AEO 2025 Table 7'!5:5,0))/INDEX('AEO 2023 Table 7'!18:18,MATCH($C$2,'AEO 2023 Table 7'!1:1,0))</f>
        <v>1.0940930828044784</v>
      </c>
      <c r="P3">
        <f>INDEX('AEO 2025 Table 7'!9:9,MATCH(P2,'AEO 2025 Table 7'!5:5,0))/INDEX('AEO 2023 Table 7'!18:18,MATCH($C$2,'AEO 2023 Table 7'!1:1,0))</f>
        <v>1.0958369453175478</v>
      </c>
      <c r="Q3">
        <f>INDEX('AEO 2025 Table 7'!9:9,MATCH(Q2,'AEO 2025 Table 7'!5:5,0))/INDEX('AEO 2023 Table 7'!18:18,MATCH($C$2,'AEO 2023 Table 7'!1:1,0))</f>
        <v>1.0993151610064846</v>
      </c>
      <c r="R3">
        <f>INDEX('AEO 2025 Table 7'!9:9,MATCH(R2,'AEO 2025 Table 7'!5:5,0))/INDEX('AEO 2023 Table 7'!18:18,MATCH($C$2,'AEO 2023 Table 7'!1:1,0))</f>
        <v>1.1039519127920971</v>
      </c>
      <c r="S3">
        <f>INDEX('AEO 2025 Table 7'!9:9,MATCH(S2,'AEO 2025 Table 7'!5:5,0))/INDEX('AEO 2023 Table 7'!18:18,MATCH($C$2,'AEO 2023 Table 7'!1:1,0))</f>
        <v>1.1084870149674801</v>
      </c>
      <c r="T3">
        <f>INDEX('AEO 2025 Table 7'!9:9,MATCH(T2,'AEO 2025 Table 7'!5:5,0))/INDEX('AEO 2023 Table 7'!18:18,MATCH($C$2,'AEO 2023 Table 7'!1:1,0))</f>
        <v>1.1134482374706649</v>
      </c>
      <c r="U3">
        <f>INDEX('AEO 2025 Table 7'!9:9,MATCH(U2,'AEO 2025 Table 7'!5:5,0))/INDEX('AEO 2023 Table 7'!18:18,MATCH($C$2,'AEO 2023 Table 7'!1:1,0))</f>
        <v>1.1181766252828274</v>
      </c>
      <c r="V3">
        <f>INDEX('AEO 2025 Table 7'!9:9,MATCH(V2,'AEO 2025 Table 7'!5:5,0))/INDEX('AEO 2023 Table 7'!18:18,MATCH($C$2,'AEO 2023 Table 7'!1:1,0))</f>
        <v>1.1226719261083953</v>
      </c>
      <c r="W3">
        <f>INDEX('AEO 2025 Table 7'!9:9,MATCH(W2,'AEO 2025 Table 7'!5:5,0))/INDEX('AEO 2023 Table 7'!18:18,MATCH($C$2,'AEO 2023 Table 7'!1:1,0))</f>
        <v>1.1266571276812887</v>
      </c>
      <c r="X3">
        <f>INDEX('AEO 2025 Table 7'!9:9,MATCH(X2,'AEO 2025 Table 7'!5:5,0))/INDEX('AEO 2023 Table 7'!18:18,MATCH($C$2,'AEO 2023 Table 7'!1:1,0))</f>
        <v>1.1302778886450804</v>
      </c>
      <c r="Y3">
        <f>INDEX('AEO 2025 Table 7'!9:9,MATCH(Y2,'AEO 2025 Table 7'!5:5,0))/INDEX('AEO 2023 Table 7'!18:18,MATCH($C$2,'AEO 2023 Table 7'!1:1,0))</f>
        <v>1.1334141311281358</v>
      </c>
      <c r="Z3">
        <f>INDEX('AEO 2025 Table 7'!9:9,MATCH(Z2,'AEO 2025 Table 7'!5:5,0))/INDEX('AEO 2023 Table 7'!18:18,MATCH($C$2,'AEO 2023 Table 7'!1:1,0))</f>
        <v>1.1365423797707519</v>
      </c>
      <c r="AA3">
        <f>INDEX('AEO 2025 Table 7'!9:9,MATCH(AA2,'AEO 2025 Table 7'!5:5,0))/INDEX('AEO 2023 Table 7'!18:18,MATCH($C$2,'AEO 2023 Table 7'!1:1,0))</f>
        <v>1.1403519663922224</v>
      </c>
      <c r="AB3">
        <f>INDEX('AEO 2025 Table 7'!9:9,MATCH(AB2,'AEO 2025 Table 7'!5:5,0))/INDEX('AEO 2023 Table 7'!18:18,MATCH($C$2,'AEO 2023 Table 7'!1:1,0))</f>
        <v>1.1447554629941925</v>
      </c>
      <c r="AC3">
        <f>INDEX('AEO 2025 Table 7'!9:9,MATCH(AC2,'AEO 2025 Table 7'!5:5,0))/INDEX('AEO 2023 Table 7'!18:18,MATCH($C$2,'AEO 2023 Table 7'!1:1,0))</f>
        <v>1.1494775396257277</v>
      </c>
      <c r="AD3">
        <f>INDEX('AEO 2025 Table 7'!9:9,MATCH(AD2,'AEO 2025 Table 7'!5:5,0))/INDEX('AEO 2023 Table 7'!18:18,MATCH($C$2,'AEO 2023 Table 7'!1:1,0))</f>
        <v>1.1545845048710102</v>
      </c>
    </row>
    <row r="4" spans="1:30">
      <c r="B4" t="s">
        <v>121</v>
      </c>
      <c r="C4">
        <v>1</v>
      </c>
      <c r="D4">
        <f>INDEX('AEO 2025 Table 7'!13:13,MATCH(D2,'AEO 2025 Table 7'!5:5,0))/INDEX('AEO 2023 Table 7'!22:22,MATCH($C$2,'AEO 2023 Table 7'!1:1,0))</f>
        <v>1.0208521911370929</v>
      </c>
      <c r="E4">
        <f>INDEX('AEO 2025 Table 7'!13:13,MATCH(E2,'AEO 2025 Table 7'!5:5,0))/INDEX('AEO 2023 Table 7'!22:22,MATCH($C$2,'AEO 2023 Table 7'!1:1,0))</f>
        <v>1.0521947853592428</v>
      </c>
      <c r="F4">
        <f>INDEX('AEO 2025 Table 7'!13:13,MATCH(F2,'AEO 2025 Table 7'!5:5,0))/INDEX('AEO 2023 Table 7'!22:22,MATCH($C$2,'AEO 2023 Table 7'!1:1,0))</f>
        <v>1.0722309003064083</v>
      </c>
      <c r="G4">
        <f>INDEX('AEO 2025 Table 7'!13:13,MATCH(G2,'AEO 2025 Table 7'!5:5,0))/INDEX('AEO 2023 Table 7'!22:22,MATCH($C$2,'AEO 2023 Table 7'!1:1,0))</f>
        <v>1.0849818265716924</v>
      </c>
      <c r="H4">
        <f>INDEX('AEO 2025 Table 7'!13:13,MATCH(H2,'AEO 2025 Table 7'!5:5,0))/INDEX('AEO 2023 Table 7'!22:22,MATCH($C$2,'AEO 2023 Table 7'!1:1,0))</f>
        <v>1.0942894593580723</v>
      </c>
      <c r="I4">
        <f>INDEX('AEO 2025 Table 7'!13:13,MATCH(I2,'AEO 2025 Table 7'!5:5,0))/INDEX('AEO 2023 Table 7'!22:22,MATCH($C$2,'AEO 2023 Table 7'!1:1,0))</f>
        <v>1.1010413205170204</v>
      </c>
      <c r="J4">
        <f>INDEX('AEO 2025 Table 7'!13:13,MATCH(J2,'AEO 2025 Table 7'!5:5,0))/INDEX('AEO 2023 Table 7'!22:22,MATCH($C$2,'AEO 2023 Table 7'!1:1,0))</f>
        <v>1.1057953197590928</v>
      </c>
      <c r="K4">
        <f>INDEX('AEO 2025 Table 7'!13:13,MATCH(K2,'AEO 2025 Table 7'!5:5,0))/INDEX('AEO 2023 Table 7'!22:22,MATCH($C$2,'AEO 2023 Table 7'!1:1,0))</f>
        <v>1.1084655639028094</v>
      </c>
      <c r="L4">
        <f>INDEX('AEO 2025 Table 7'!13:13,MATCH(L2,'AEO 2025 Table 7'!5:5,0))/INDEX('AEO 2023 Table 7'!22:22,MATCH($C$2,'AEO 2023 Table 7'!1:1,0))</f>
        <v>1.1097957845197564</v>
      </c>
      <c r="M4">
        <f>INDEX('AEO 2025 Table 7'!13:13,MATCH(M2,'AEO 2025 Table 7'!5:5,0))/INDEX('AEO 2023 Table 7'!22:22,MATCH($C$2,'AEO 2023 Table 7'!1:1,0))</f>
        <v>1.1105589560320552</v>
      </c>
      <c r="N4">
        <f>INDEX('AEO 2025 Table 7'!13:13,MATCH(N2,'AEO 2025 Table 7'!5:5,0))/INDEX('AEO 2023 Table 7'!22:22,MATCH($C$2,'AEO 2023 Table 7'!1:1,0))</f>
        <v>1.1113564163249998</v>
      </c>
      <c r="O4">
        <f>INDEX('AEO 2025 Table 7'!13:13,MATCH(O2,'AEO 2025 Table 7'!5:5,0))/INDEX('AEO 2023 Table 7'!22:22,MATCH($C$2,'AEO 2023 Table 7'!1:1,0))</f>
        <v>1.1114749716033996</v>
      </c>
      <c r="P4">
        <f>INDEX('AEO 2025 Table 7'!13:13,MATCH(P2,'AEO 2025 Table 7'!5:5,0))/INDEX('AEO 2023 Table 7'!22:22,MATCH($C$2,'AEO 2023 Table 7'!1:1,0))</f>
        <v>1.1112326385356901</v>
      </c>
      <c r="Q4">
        <f>INDEX('AEO 2025 Table 7'!13:13,MATCH(Q2,'AEO 2025 Table 7'!5:5,0))/INDEX('AEO 2023 Table 7'!22:22,MATCH($C$2,'AEO 2023 Table 7'!1:1,0))</f>
        <v>1.1109101270832749</v>
      </c>
      <c r="R4">
        <f>INDEX('AEO 2025 Table 7'!13:13,MATCH(R2,'AEO 2025 Table 7'!5:5,0))/INDEX('AEO 2023 Table 7'!22:22,MATCH($C$2,'AEO 2023 Table 7'!1:1,0))</f>
        <v>1.1099389968988451</v>
      </c>
      <c r="S4">
        <f>INDEX('AEO 2025 Table 7'!13:13,MATCH(S2,'AEO 2025 Table 7'!5:5,0))/INDEX('AEO 2023 Table 7'!22:22,MATCH($C$2,'AEO 2023 Table 7'!1:1,0))</f>
        <v>1.1086612742885953</v>
      </c>
      <c r="T4">
        <f>INDEX('AEO 2025 Table 7'!13:13,MATCH(T2,'AEO 2025 Table 7'!5:5,0))/INDEX('AEO 2023 Table 7'!22:22,MATCH($C$2,'AEO 2023 Table 7'!1:1,0))</f>
        <v>1.1070372820820371</v>
      </c>
      <c r="U4">
        <f>INDEX('AEO 2025 Table 7'!13:13,MATCH(U2,'AEO 2025 Table 7'!5:5,0))/INDEX('AEO 2023 Table 7'!22:22,MATCH($C$2,'AEO 2023 Table 7'!1:1,0))</f>
        <v>1.1051065315707258</v>
      </c>
      <c r="V4">
        <f>INDEX('AEO 2025 Table 7'!13:13,MATCH(V2,'AEO 2025 Table 7'!5:5,0))/INDEX('AEO 2023 Table 7'!22:22,MATCH($C$2,'AEO 2023 Table 7'!1:1,0))</f>
        <v>1.1028397959569269</v>
      </c>
      <c r="W4">
        <f>INDEX('AEO 2025 Table 7'!13:13,MATCH(W2,'AEO 2025 Table 7'!5:5,0))/INDEX('AEO 2023 Table 7'!22:22,MATCH($C$2,'AEO 2023 Table 7'!1:1,0))</f>
        <v>1.100461043905232</v>
      </c>
      <c r="X4">
        <f>INDEX('AEO 2025 Table 7'!13:13,MATCH(X2,'AEO 2025 Table 7'!5:5,0))/INDEX('AEO 2023 Table 7'!22:22,MATCH($C$2,'AEO 2023 Table 7'!1:1,0))</f>
        <v>1.0977960276233585</v>
      </c>
      <c r="Y4">
        <f>INDEX('AEO 2025 Table 7'!13:13,MATCH(Y2,'AEO 2025 Table 7'!5:5,0))/INDEX('AEO 2023 Table 7'!22:22,MATCH($C$2,'AEO 2023 Table 7'!1:1,0))</f>
        <v>1.0951023517426808</v>
      </c>
      <c r="Z4">
        <f>INDEX('AEO 2025 Table 7'!13:13,MATCH(Z2,'AEO 2025 Table 7'!5:5,0))/INDEX('AEO 2023 Table 7'!22:22,MATCH($C$2,'AEO 2023 Table 7'!1:1,0))</f>
        <v>1.0920772658074944</v>
      </c>
      <c r="AA4">
        <f>INDEX('AEO 2025 Table 7'!13:13,MATCH(AA2,'AEO 2025 Table 7'!5:5,0))/INDEX('AEO 2023 Table 7'!22:22,MATCH($C$2,'AEO 2023 Table 7'!1:1,0))</f>
        <v>1.0888764712752323</v>
      </c>
      <c r="AB4">
        <f>INDEX('AEO 2025 Table 7'!13:13,MATCH(AB2,'AEO 2025 Table 7'!5:5,0))/INDEX('AEO 2023 Table 7'!22:22,MATCH($C$2,'AEO 2023 Table 7'!1:1,0))</f>
        <v>1.0856981292591354</v>
      </c>
      <c r="AC4">
        <f>INDEX('AEO 2025 Table 7'!13:13,MATCH(AC2,'AEO 2025 Table 7'!5:5,0))/INDEX('AEO 2023 Table 7'!22:22,MATCH($C$2,'AEO 2023 Table 7'!1:1,0))</f>
        <v>1.0825256679187458</v>
      </c>
      <c r="AD4">
        <f>INDEX('AEO 2025 Table 7'!13:13,MATCH(AD2,'AEO 2025 Table 7'!5:5,0))/INDEX('AEO 2023 Table 7'!22:22,MATCH($C$2,'AEO 2023 Table 7'!1:1,0))</f>
        <v>1.079654897549265</v>
      </c>
    </row>
    <row r="5" spans="1:30">
      <c r="B5" t="s">
        <v>119</v>
      </c>
      <c r="C5">
        <v>1</v>
      </c>
      <c r="D5">
        <f>INDEX('AEO 2025 Table 7'!16:16,MATCH(D2,'AEO 2025 Table 7'!5:5,0))/INDEX('AEO 2023 Table 7'!25:25,MATCH($C$2,'AEO 2023 Table 7'!1:1,0))</f>
        <v>1.0716178093338335</v>
      </c>
      <c r="E5">
        <f>INDEX('AEO 2025 Table 7'!16:16,MATCH(E2,'AEO 2025 Table 7'!5:5,0))/INDEX('AEO 2023 Table 7'!25:25,MATCH($C$2,'AEO 2023 Table 7'!1:1,0))</f>
        <v>1.0817527323119809</v>
      </c>
      <c r="F5">
        <f>INDEX('AEO 2025 Table 7'!16:16,MATCH(F2,'AEO 2025 Table 7'!5:5,0))/INDEX('AEO 2023 Table 7'!25:25,MATCH($C$2,'AEO 2023 Table 7'!1:1,0))</f>
        <v>1.1085945185275576</v>
      </c>
      <c r="G5">
        <f>INDEX('AEO 2025 Table 7'!16:16,MATCH(G2,'AEO 2025 Table 7'!5:5,0))/INDEX('AEO 2023 Table 7'!25:25,MATCH($C$2,'AEO 2023 Table 7'!1:1,0))</f>
        <v>1.1335366025391564</v>
      </c>
      <c r="H5">
        <f>INDEX('AEO 2025 Table 7'!16:16,MATCH(H2,'AEO 2025 Table 7'!5:5,0))/INDEX('AEO 2023 Table 7'!25:25,MATCH($C$2,'AEO 2023 Table 7'!1:1,0))</f>
        <v>1.1542477258077453</v>
      </c>
      <c r="I5">
        <f>INDEX('AEO 2025 Table 7'!16:16,MATCH(I2,'AEO 2025 Table 7'!5:5,0))/INDEX('AEO 2023 Table 7'!25:25,MATCH($C$2,'AEO 2023 Table 7'!1:1,0))</f>
        <v>1.1766334225776525</v>
      </c>
      <c r="J5">
        <f>INDEX('AEO 2025 Table 7'!16:16,MATCH(J2,'AEO 2025 Table 7'!5:5,0))/INDEX('AEO 2023 Table 7'!25:25,MATCH($C$2,'AEO 2023 Table 7'!1:1,0))</f>
        <v>1.1971558895767964</v>
      </c>
      <c r="K5">
        <f>INDEX('AEO 2025 Table 7'!16:16,MATCH(K2,'AEO 2025 Table 7'!5:5,0))/INDEX('AEO 2023 Table 7'!25:25,MATCH($C$2,'AEO 2023 Table 7'!1:1,0))</f>
        <v>1.2142171078006554</v>
      </c>
      <c r="L5">
        <f>INDEX('AEO 2025 Table 7'!16:16,MATCH(L2,'AEO 2025 Table 7'!5:5,0))/INDEX('AEO 2023 Table 7'!25:25,MATCH($C$2,'AEO 2023 Table 7'!1:1,0))</f>
        <v>1.2339069157317686</v>
      </c>
      <c r="M5">
        <f>INDEX('AEO 2025 Table 7'!16:16,MATCH(M2,'AEO 2025 Table 7'!5:5,0))/INDEX('AEO 2023 Table 7'!25:25,MATCH($C$2,'AEO 2023 Table 7'!1:1,0))</f>
        <v>1.2549473070557398</v>
      </c>
      <c r="N5">
        <f>INDEX('AEO 2025 Table 7'!16:16,MATCH(N2,'AEO 2025 Table 7'!5:5,0))/INDEX('AEO 2023 Table 7'!25:25,MATCH($C$2,'AEO 2023 Table 7'!1:1,0))</f>
        <v>1.2752167829490888</v>
      </c>
      <c r="O5">
        <f>INDEX('AEO 2025 Table 7'!16:16,MATCH(O2,'AEO 2025 Table 7'!5:5,0))/INDEX('AEO 2023 Table 7'!25:25,MATCH($C$2,'AEO 2023 Table 7'!1:1,0))</f>
        <v>1.2975086149212807</v>
      </c>
      <c r="P5">
        <f>INDEX('AEO 2025 Table 7'!16:16,MATCH(P2,'AEO 2025 Table 7'!5:5,0))/INDEX('AEO 2023 Table 7'!25:25,MATCH($C$2,'AEO 2023 Table 7'!1:1,0))</f>
        <v>1.3202152487803505</v>
      </c>
      <c r="Q5">
        <f>INDEX('AEO 2025 Table 7'!16:16,MATCH(Q2,'AEO 2025 Table 7'!5:5,0))/INDEX('AEO 2023 Table 7'!25:25,MATCH($C$2,'AEO 2023 Table 7'!1:1,0))</f>
        <v>1.344338467668533</v>
      </c>
      <c r="R5">
        <f>INDEX('AEO 2025 Table 7'!16:16,MATCH(R2,'AEO 2025 Table 7'!5:5,0))/INDEX('AEO 2023 Table 7'!25:25,MATCH($C$2,'AEO 2023 Table 7'!1:1,0))</f>
        <v>1.3702463242095071</v>
      </c>
      <c r="S5">
        <f>INDEX('AEO 2025 Table 7'!16:16,MATCH(S2,'AEO 2025 Table 7'!5:5,0))/INDEX('AEO 2023 Table 7'!25:25,MATCH($C$2,'AEO 2023 Table 7'!1:1,0))</f>
        <v>1.3962054648014097</v>
      </c>
      <c r="T5">
        <f>INDEX('AEO 2025 Table 7'!16:16,MATCH(T2,'AEO 2025 Table 7'!5:5,0))/INDEX('AEO 2023 Table 7'!25:25,MATCH($C$2,'AEO 2023 Table 7'!1:1,0))</f>
        <v>1.4221940420806158</v>
      </c>
      <c r="U5">
        <f>INDEX('AEO 2025 Table 7'!16:16,MATCH(U2,'AEO 2025 Table 7'!5:5,0))/INDEX('AEO 2023 Table 7'!25:25,MATCH($C$2,'AEO 2023 Table 7'!1:1,0))</f>
        <v>1.4477388433643217</v>
      </c>
      <c r="V5">
        <f>INDEX('AEO 2025 Table 7'!16:16,MATCH(V2,'AEO 2025 Table 7'!5:5,0))/INDEX('AEO 2023 Table 7'!25:25,MATCH($C$2,'AEO 2023 Table 7'!1:1,0))</f>
        <v>1.4754125477637132</v>
      </c>
      <c r="W5">
        <f>INDEX('AEO 2025 Table 7'!16:16,MATCH(W2,'AEO 2025 Table 7'!5:5,0))/INDEX('AEO 2023 Table 7'!25:25,MATCH($C$2,'AEO 2023 Table 7'!1:1,0))</f>
        <v>1.5025063999277224</v>
      </c>
      <c r="X5">
        <f>INDEX('AEO 2025 Table 7'!16:16,MATCH(X2,'AEO 2025 Table 7'!5:5,0))/INDEX('AEO 2023 Table 7'!25:25,MATCH($C$2,'AEO 2023 Table 7'!1:1,0))</f>
        <v>1.5278095030920653</v>
      </c>
      <c r="Y5">
        <f>INDEX('AEO 2025 Table 7'!16:16,MATCH(Y2,'AEO 2025 Table 7'!5:5,0))/INDEX('AEO 2023 Table 7'!25:25,MATCH($C$2,'AEO 2023 Table 7'!1:1,0))</f>
        <v>1.5526372649533449</v>
      </c>
      <c r="Z5">
        <f>INDEX('AEO 2025 Table 7'!16:16,MATCH(Z2,'AEO 2025 Table 7'!5:5,0))/INDEX('AEO 2023 Table 7'!25:25,MATCH($C$2,'AEO 2023 Table 7'!1:1,0))</f>
        <v>1.5770499466222119</v>
      </c>
      <c r="AA5">
        <f>INDEX('AEO 2025 Table 7'!16:16,MATCH(AA2,'AEO 2025 Table 7'!5:5,0))/INDEX('AEO 2023 Table 7'!25:25,MATCH($C$2,'AEO 2023 Table 7'!1:1,0))</f>
        <v>1.6056317536392695</v>
      </c>
      <c r="AB5">
        <f>INDEX('AEO 2025 Table 7'!16:16,MATCH(AB2,'AEO 2025 Table 7'!5:5,0))/INDEX('AEO 2023 Table 7'!25:25,MATCH($C$2,'AEO 2023 Table 7'!1:1,0))</f>
        <v>1.6361132621019796</v>
      </c>
      <c r="AC5">
        <f>INDEX('AEO 2025 Table 7'!16:16,MATCH(AC2,'AEO 2025 Table 7'!5:5,0))/INDEX('AEO 2023 Table 7'!25:25,MATCH($C$2,'AEO 2023 Table 7'!1:1,0))</f>
        <v>1.6653360173816742</v>
      </c>
      <c r="AD5">
        <f>INDEX('AEO 2025 Table 7'!16:16,MATCH(AD2,'AEO 2025 Table 7'!5:5,0))/INDEX('AEO 2023 Table 7'!25:25,MATCH($C$2,'AEO 2023 Table 7'!1:1,0))</f>
        <v>1.6941697970731022</v>
      </c>
    </row>
    <row r="6" spans="1:30">
      <c r="B6" t="s">
        <v>124</v>
      </c>
      <c r="C6">
        <v>1</v>
      </c>
      <c r="D6">
        <f>INDEX('AEO 2025 Table 7'!14:14,MATCH(D2,'AEO 2025 Table 7'!5:5,0))/INDEX('AEO 2023 Table 7'!23:23,MATCH($C$2,'AEO 2023 Table 7'!1:1,0))</f>
        <v>0.80792495689462862</v>
      </c>
      <c r="E6">
        <f>INDEX('AEO 2025 Table 7'!14:14,MATCH(E2,'AEO 2025 Table 7'!5:5,0))/INDEX('AEO 2023 Table 7'!23:23,MATCH($C$2,'AEO 2023 Table 7'!1:1,0))</f>
        <v>0.89831674957323904</v>
      </c>
      <c r="F6">
        <f>INDEX('AEO 2025 Table 7'!14:14,MATCH(F2,'AEO 2025 Table 7'!5:5,0))/INDEX('AEO 2023 Table 7'!23:23,MATCH($C$2,'AEO 2023 Table 7'!1:1,0))</f>
        <v>0.96752433661811554</v>
      </c>
      <c r="G6">
        <f>INDEX('AEO 2025 Table 7'!14:14,MATCH(G2,'AEO 2025 Table 7'!5:5,0))/INDEX('AEO 2023 Table 7'!23:23,MATCH($C$2,'AEO 2023 Table 7'!1:1,0))</f>
        <v>1.0206335383594329</v>
      </c>
      <c r="H6">
        <f>INDEX('AEO 2025 Table 7'!14:14,MATCH(H2,'AEO 2025 Table 7'!5:5,0))/INDEX('AEO 2023 Table 7'!23:23,MATCH($C$2,'AEO 2023 Table 7'!1:1,0))</f>
        <v>1.0620807573944753</v>
      </c>
      <c r="I6">
        <f>INDEX('AEO 2025 Table 7'!14:14,MATCH(I2,'AEO 2025 Table 7'!5:5,0))/INDEX('AEO 2023 Table 7'!23:23,MATCH($C$2,'AEO 2023 Table 7'!1:1,0))</f>
        <v>1.0977480930437247</v>
      </c>
      <c r="J6">
        <f>INDEX('AEO 2025 Table 7'!14:14,MATCH(J2,'AEO 2025 Table 7'!5:5,0))/INDEX('AEO 2023 Table 7'!23:23,MATCH($C$2,'AEO 2023 Table 7'!1:1,0))</f>
        <v>1.1273412608232516</v>
      </c>
      <c r="K6">
        <f>INDEX('AEO 2025 Table 7'!14:14,MATCH(K2,'AEO 2025 Table 7'!5:5,0))/INDEX('AEO 2023 Table 7'!23:23,MATCH($C$2,'AEO 2023 Table 7'!1:1,0))</f>
        <v>1.1505648835314364</v>
      </c>
      <c r="L6">
        <f>INDEX('AEO 2025 Table 7'!14:14,MATCH(L2,'AEO 2025 Table 7'!5:5,0))/INDEX('AEO 2023 Table 7'!23:23,MATCH($C$2,'AEO 2023 Table 7'!1:1,0))</f>
        <v>1.1696240654649042</v>
      </c>
      <c r="M6">
        <f>INDEX('AEO 2025 Table 7'!14:14,MATCH(M2,'AEO 2025 Table 7'!5:5,0))/INDEX('AEO 2023 Table 7'!23:23,MATCH($C$2,'AEO 2023 Table 7'!1:1,0))</f>
        <v>1.1852708773783118</v>
      </c>
      <c r="N6">
        <f>INDEX('AEO 2025 Table 7'!14:14,MATCH(N2,'AEO 2025 Table 7'!5:5,0))/INDEX('AEO 2023 Table 7'!23:23,MATCH($C$2,'AEO 2023 Table 7'!1:1,0))</f>
        <v>1.200691527950579</v>
      </c>
      <c r="O6">
        <f>INDEX('AEO 2025 Table 7'!14:14,MATCH(O2,'AEO 2025 Table 7'!5:5,0))/INDEX('AEO 2023 Table 7'!23:23,MATCH($C$2,'AEO 2023 Table 7'!1:1,0))</f>
        <v>1.2130533182854659</v>
      </c>
      <c r="P6">
        <f>INDEX('AEO 2025 Table 7'!14:14,MATCH(P2,'AEO 2025 Table 7'!5:5,0))/INDEX('AEO 2023 Table 7'!23:23,MATCH($C$2,'AEO 2023 Table 7'!1:1,0))</f>
        <v>1.2248989087840172</v>
      </c>
      <c r="Q6">
        <f>INDEX('AEO 2025 Table 7'!14:14,MATCH(Q2,'AEO 2025 Table 7'!5:5,0))/INDEX('AEO 2023 Table 7'!23:23,MATCH($C$2,'AEO 2023 Table 7'!1:1,0))</f>
        <v>1.2376897937451652</v>
      </c>
      <c r="R6">
        <f>INDEX('AEO 2025 Table 7'!14:14,MATCH(R2,'AEO 2025 Table 7'!5:5,0))/INDEX('AEO 2023 Table 7'!23:23,MATCH($C$2,'AEO 2023 Table 7'!1:1,0))</f>
        <v>1.2510775835491166</v>
      </c>
      <c r="S6">
        <f>INDEX('AEO 2025 Table 7'!14:14,MATCH(S2,'AEO 2025 Table 7'!5:5,0))/INDEX('AEO 2023 Table 7'!23:23,MATCH($C$2,'AEO 2023 Table 7'!1:1,0))</f>
        <v>1.2630079689403426</v>
      </c>
      <c r="T6">
        <f>INDEX('AEO 2025 Table 7'!14:14,MATCH(T2,'AEO 2025 Table 7'!5:5,0))/INDEX('AEO 2023 Table 7'!23:23,MATCH($C$2,'AEO 2023 Table 7'!1:1,0))</f>
        <v>1.2741617442596651</v>
      </c>
      <c r="U6">
        <f>INDEX('AEO 2025 Table 7'!14:14,MATCH(U2,'AEO 2025 Table 7'!5:5,0))/INDEX('AEO 2023 Table 7'!23:23,MATCH($C$2,'AEO 2023 Table 7'!1:1,0))</f>
        <v>1.2840505895820731</v>
      </c>
      <c r="V6">
        <f>INDEX('AEO 2025 Table 7'!14:14,MATCH(V2,'AEO 2025 Table 7'!5:5,0))/INDEX('AEO 2023 Table 7'!23:23,MATCH($C$2,'AEO 2023 Table 7'!1:1,0))</f>
        <v>1.2934001631146526</v>
      </c>
      <c r="W6">
        <f>INDEX('AEO 2025 Table 7'!14:14,MATCH(W2,'AEO 2025 Table 7'!5:5,0))/INDEX('AEO 2023 Table 7'!23:23,MATCH($C$2,'AEO 2023 Table 7'!1:1,0))</f>
        <v>1.3024455552630889</v>
      </c>
      <c r="X6">
        <f>INDEX('AEO 2025 Table 7'!14:14,MATCH(X2,'AEO 2025 Table 7'!5:5,0))/INDEX('AEO 2023 Table 7'!23:23,MATCH($C$2,'AEO 2023 Table 7'!1:1,0))</f>
        <v>1.3097385716637509</v>
      </c>
      <c r="Y6">
        <f>INDEX('AEO 2025 Table 7'!14:14,MATCH(Y2,'AEO 2025 Table 7'!5:5,0))/INDEX('AEO 2023 Table 7'!23:23,MATCH($C$2,'AEO 2023 Table 7'!1:1,0))</f>
        <v>1.3175027367114522</v>
      </c>
      <c r="Z6">
        <f>INDEX('AEO 2025 Table 7'!14:14,MATCH(Z2,'AEO 2025 Table 7'!5:5,0))/INDEX('AEO 2023 Table 7'!23:23,MATCH($C$2,'AEO 2023 Table 7'!1:1,0))</f>
        <v>1.3234150574811652</v>
      </c>
      <c r="AA6">
        <f>INDEX('AEO 2025 Table 7'!14:14,MATCH(AA2,'AEO 2025 Table 7'!5:5,0))/INDEX('AEO 2023 Table 7'!23:23,MATCH($C$2,'AEO 2023 Table 7'!1:1,0))</f>
        <v>1.3304293684300934</v>
      </c>
      <c r="AB6">
        <f>INDEX('AEO 2025 Table 7'!14:14,MATCH(AB2,'AEO 2025 Table 7'!5:5,0))/INDEX('AEO 2023 Table 7'!23:23,MATCH($C$2,'AEO 2023 Table 7'!1:1,0))</f>
        <v>1.3391519093321556</v>
      </c>
      <c r="AC6">
        <f>INDEX('AEO 2025 Table 7'!14:14,MATCH(AC2,'AEO 2025 Table 7'!5:5,0))/INDEX('AEO 2023 Table 7'!23:23,MATCH($C$2,'AEO 2023 Table 7'!1:1,0))</f>
        <v>1.3478963358085054</v>
      </c>
      <c r="AD6">
        <f>INDEX('AEO 2025 Table 7'!14:14,MATCH(AD2,'AEO 2025 Table 7'!5:5,0))/INDEX('AEO 2023 Table 7'!23:23,MATCH($C$2,'AEO 2023 Table 7'!1:1,0))</f>
        <v>1.359593191819316</v>
      </c>
    </row>
    <row r="7" spans="1:30">
      <c r="B7" t="s">
        <v>125</v>
      </c>
      <c r="C7">
        <v>1</v>
      </c>
      <c r="D7">
        <f>INDEX('AEO 2025 Table 7'!53:53,MATCH(D2,'AEO 2025 Table 7'!5:5,0))/INDEX('AEO 2023 Table 7'!64:64,MATCH($C$2,'AEO 2023 Table 7'!1:1,0))</f>
        <v>1.0423873912323072</v>
      </c>
      <c r="E7">
        <f>INDEX('AEO 2025 Table 7'!53:53,MATCH(E2,'AEO 2025 Table 7'!5:5,0))/INDEX('AEO 2023 Table 7'!64:64,MATCH($C$2,'AEO 2023 Table 7'!1:1,0))</f>
        <v>1.0345546110472326</v>
      </c>
      <c r="F7">
        <f>INDEX('AEO 2025 Table 7'!53:53,MATCH(F2,'AEO 2025 Table 7'!5:5,0))/INDEX('AEO 2023 Table 7'!64:64,MATCH($C$2,'AEO 2023 Table 7'!1:1,0))</f>
        <v>1.0305729477864864</v>
      </c>
      <c r="G7">
        <f>INDEX('AEO 2025 Table 7'!53:53,MATCH(G2,'AEO 2025 Table 7'!5:5,0))/INDEX('AEO 2023 Table 7'!64:64,MATCH($C$2,'AEO 2023 Table 7'!1:1,0))</f>
        <v>1.0264657592022615</v>
      </c>
      <c r="H7">
        <f>INDEX('AEO 2025 Table 7'!53:53,MATCH(H2,'AEO 2025 Table 7'!5:5,0))/INDEX('AEO 2023 Table 7'!64:64,MATCH($C$2,'AEO 2023 Table 7'!1:1,0))</f>
        <v>1.0199936735236965</v>
      </c>
      <c r="I7">
        <f>INDEX('AEO 2025 Table 7'!53:53,MATCH(I2,'AEO 2025 Table 7'!5:5,0))/INDEX('AEO 2023 Table 7'!64:64,MATCH($C$2,'AEO 2023 Table 7'!1:1,0))</f>
        <v>1.0146713998081973</v>
      </c>
      <c r="J7">
        <f>INDEX('AEO 2025 Table 7'!53:53,MATCH(J2,'AEO 2025 Table 7'!5:5,0))/INDEX('AEO 2023 Table 7'!64:64,MATCH($C$2,'AEO 2023 Table 7'!1:1,0))</f>
        <v>1.007983410573249</v>
      </c>
      <c r="K7">
        <f>INDEX('AEO 2025 Table 7'!53:53,MATCH(K2,'AEO 2025 Table 7'!5:5,0))/INDEX('AEO 2023 Table 7'!64:64,MATCH($C$2,'AEO 2023 Table 7'!1:1,0))</f>
        <v>0.99950794073196314</v>
      </c>
      <c r="L7">
        <f>INDEX('AEO 2025 Table 7'!53:53,MATCH(L2,'AEO 2025 Table 7'!5:5,0))/INDEX('AEO 2023 Table 7'!64:64,MATCH($C$2,'AEO 2023 Table 7'!1:1,0))</f>
        <v>0.99274965731586695</v>
      </c>
      <c r="M7">
        <f>INDEX('AEO 2025 Table 7'!53:53,MATCH(M2,'AEO 2025 Table 7'!5:5,0))/INDEX('AEO 2023 Table 7'!64:64,MATCH($C$2,'AEO 2023 Table 7'!1:1,0))</f>
        <v>0.98664410558186011</v>
      </c>
      <c r="N7">
        <f>INDEX('AEO 2025 Table 7'!53:53,MATCH(N2,'AEO 2025 Table 7'!5:5,0))/INDEX('AEO 2023 Table 7'!64:64,MATCH($C$2,'AEO 2023 Table 7'!1:1,0))</f>
        <v>0.98036783940792216</v>
      </c>
      <c r="O7">
        <f>INDEX('AEO 2025 Table 7'!53:53,MATCH(O2,'AEO 2025 Table 7'!5:5,0))/INDEX('AEO 2023 Table 7'!64:64,MATCH($C$2,'AEO 2023 Table 7'!1:1,0))</f>
        <v>0.97525644823586699</v>
      </c>
      <c r="P7">
        <f>INDEX('AEO 2025 Table 7'!53:53,MATCH(P2,'AEO 2025 Table 7'!5:5,0))/INDEX('AEO 2023 Table 7'!64:64,MATCH($C$2,'AEO 2023 Table 7'!1:1,0))</f>
        <v>0.97040614973664785</v>
      </c>
      <c r="Q7">
        <f>INDEX('AEO 2025 Table 7'!53:53,MATCH(Q2,'AEO 2025 Table 7'!5:5,0))/INDEX('AEO 2023 Table 7'!64:64,MATCH($C$2,'AEO 2023 Table 7'!1:1,0))</f>
        <v>0.96631904520417944</v>
      </c>
      <c r="R7">
        <f>INDEX('AEO 2025 Table 7'!53:53,MATCH(R2,'AEO 2025 Table 7'!5:5,0))/INDEX('AEO 2023 Table 7'!64:64,MATCH($C$2,'AEO 2023 Table 7'!1:1,0))</f>
        <v>0.96253822246099929</v>
      </c>
      <c r="S7">
        <f>INDEX('AEO 2025 Table 7'!53:53,MATCH(S2,'AEO 2025 Table 7'!5:5,0))/INDEX('AEO 2023 Table 7'!64:64,MATCH($C$2,'AEO 2023 Table 7'!1:1,0))</f>
        <v>0.95854149616143558</v>
      </c>
      <c r="T7">
        <f>INDEX('AEO 2025 Table 7'!53:53,MATCH(T2,'AEO 2025 Table 7'!5:5,0))/INDEX('AEO 2023 Table 7'!64:64,MATCH($C$2,'AEO 2023 Table 7'!1:1,0))</f>
        <v>0.95462510606889828</v>
      </c>
      <c r="U7">
        <f>INDEX('AEO 2025 Table 7'!53:53,MATCH(U2,'AEO 2025 Table 7'!5:5,0))/INDEX('AEO 2023 Table 7'!64:64,MATCH($C$2,'AEO 2023 Table 7'!1:1,0))</f>
        <v>0.95057314862700393</v>
      </c>
      <c r="V7">
        <f>INDEX('AEO 2025 Table 7'!53:53,MATCH(V2,'AEO 2025 Table 7'!5:5,0))/INDEX('AEO 2023 Table 7'!64:64,MATCH($C$2,'AEO 2023 Table 7'!1:1,0))</f>
        <v>0.9470433765307813</v>
      </c>
      <c r="W7">
        <f>INDEX('AEO 2025 Table 7'!53:53,MATCH(W2,'AEO 2025 Table 7'!5:5,0))/INDEX('AEO 2023 Table 7'!64:64,MATCH($C$2,'AEO 2023 Table 7'!1:1,0))</f>
        <v>0.94322740669702698</v>
      </c>
      <c r="X7">
        <f>INDEX('AEO 2025 Table 7'!53:53,MATCH(X2,'AEO 2025 Table 7'!5:5,0))/INDEX('AEO 2023 Table 7'!64:64,MATCH($C$2,'AEO 2023 Table 7'!1:1,0))</f>
        <v>0.93874364214236572</v>
      </c>
      <c r="Y7">
        <f>INDEX('AEO 2025 Table 7'!53:53,MATCH(Y2,'AEO 2025 Table 7'!5:5,0))/INDEX('AEO 2023 Table 7'!64:64,MATCH($C$2,'AEO 2023 Table 7'!1:1,0))</f>
        <v>0.93398372187605128</v>
      </c>
      <c r="Z7">
        <f>INDEX('AEO 2025 Table 7'!53:53,MATCH(Z2,'AEO 2025 Table 7'!5:5,0))/INDEX('AEO 2023 Table 7'!64:64,MATCH($C$2,'AEO 2023 Table 7'!1:1,0))</f>
        <v>0.92896772994984012</v>
      </c>
      <c r="AA7">
        <f>INDEX('AEO 2025 Table 7'!53:53,MATCH(AA2,'AEO 2025 Table 7'!5:5,0))/INDEX('AEO 2023 Table 7'!64:64,MATCH($C$2,'AEO 2023 Table 7'!1:1,0))</f>
        <v>0.92530239050426033</v>
      </c>
      <c r="AB7">
        <f>INDEX('AEO 2025 Table 7'!53:53,MATCH(AB2,'AEO 2025 Table 7'!5:5,0))/INDEX('AEO 2023 Table 7'!64:64,MATCH($C$2,'AEO 2023 Table 7'!1:1,0))</f>
        <v>0.9219433328479687</v>
      </c>
      <c r="AC7">
        <f>INDEX('AEO 2025 Table 7'!53:53,MATCH(AC2,'AEO 2025 Table 7'!5:5,0))/INDEX('AEO 2023 Table 7'!64:64,MATCH($C$2,'AEO 2023 Table 7'!1:1,0))</f>
        <v>0.91809723693657963</v>
      </c>
      <c r="AD7">
        <f>INDEX('AEO 2025 Table 7'!53:53,MATCH(AD2,'AEO 2025 Table 7'!5:5,0))/INDEX('AEO 2023 Table 7'!64:64,MATCH($C$2,'AEO 2023 Table 7'!1:1,0))</f>
        <v>0.91410051063701581</v>
      </c>
    </row>
    <row r="8" spans="1:30">
      <c r="B8" t="s">
        <v>126</v>
      </c>
      <c r="C8">
        <v>1</v>
      </c>
      <c r="D8">
        <f>INDEX('AEO 2025 Table 35'!11:11,MATCH(D2,'AEO 2025 Table 35'!5:5,0))/INDEX('AEO 2023 Table 35'!20:20,MATCH($C$2,'AEO 2023 Table 35'!13:13,0))</f>
        <v>1.1331499423589024</v>
      </c>
      <c r="E8">
        <f>INDEX('AEO 2025 Table 35'!11:11,MATCH(E2,'AEO 2025 Table 35'!5:5,0))/INDEX('AEO 2023 Table 35'!20:20,MATCH($C$2,'AEO 2023 Table 35'!13:13,0))</f>
        <v>1.1062489276949894</v>
      </c>
      <c r="F8">
        <f>INDEX('AEO 2025 Table 35'!11:11,MATCH(F2,'AEO 2025 Table 35'!5:5,0))/INDEX('AEO 2023 Table 35'!20:20,MATCH($C$2,'AEO 2023 Table 35'!13:13,0))</f>
        <v>1.0703191929003946</v>
      </c>
      <c r="G8">
        <f>INDEX('AEO 2025 Table 35'!11:11,MATCH(G2,'AEO 2025 Table 35'!5:5,0))/INDEX('AEO 2023 Table 35'!20:20,MATCH($C$2,'AEO 2023 Table 35'!13:13,0))</f>
        <v>1.0283748796888987</v>
      </c>
      <c r="H8">
        <f>INDEX('AEO 2025 Table 35'!11:11,MATCH(H2,'AEO 2025 Table 35'!5:5,0))/INDEX('AEO 2023 Table 35'!20:20,MATCH($C$2,'AEO 2023 Table 35'!13:13,0))</f>
        <v>0.98536689114065201</v>
      </c>
      <c r="I8">
        <f>INDEX('AEO 2025 Table 35'!11:11,MATCH(I2,'AEO 2025 Table 35'!5:5,0))/INDEX('AEO 2023 Table 35'!20:20,MATCH($C$2,'AEO 2023 Table 35'!13:13,0))</f>
        <v>0.94270850844846665</v>
      </c>
      <c r="J8">
        <f>INDEX('AEO 2025 Table 35'!11:11,MATCH(J2,'AEO 2025 Table 35'!5:5,0))/INDEX('AEO 2023 Table 35'!20:20,MATCH($C$2,'AEO 2023 Table 35'!13:13,0))</f>
        <v>0.90263857959220162</v>
      </c>
      <c r="K8">
        <f>INDEX('AEO 2025 Table 35'!11:11,MATCH(K2,'AEO 2025 Table 35'!5:5,0))/INDEX('AEO 2023 Table 35'!20:20,MATCH($C$2,'AEO 2023 Table 35'!13:13,0))</f>
        <v>0.86399275504464468</v>
      </c>
      <c r="L8">
        <f>INDEX('AEO 2025 Table 35'!11:11,MATCH(L2,'AEO 2025 Table 35'!5:5,0))/INDEX('AEO 2023 Table 35'!20:20,MATCH($C$2,'AEO 2023 Table 35'!13:13,0))</f>
        <v>0.82707510672456841</v>
      </c>
      <c r="M8">
        <f>INDEX('AEO 2025 Table 35'!11:11,MATCH(M2,'AEO 2025 Table 35'!5:5,0))/INDEX('AEO 2023 Table 35'!20:20,MATCH($C$2,'AEO 2023 Table 35'!13:13,0))</f>
        <v>0.79148959824914</v>
      </c>
      <c r="N8">
        <f>INDEX('AEO 2025 Table 35'!11:11,MATCH(N2,'AEO 2025 Table 35'!5:5,0))/INDEX('AEO 2023 Table 35'!20:20,MATCH($C$2,'AEO 2023 Table 35'!13:13,0))</f>
        <v>0.76414278648611667</v>
      </c>
      <c r="O8">
        <f>INDEX('AEO 2025 Table 35'!11:11,MATCH(O2,'AEO 2025 Table 35'!5:5,0))/INDEX('AEO 2023 Table 35'!20:20,MATCH($C$2,'AEO 2023 Table 35'!13:13,0))</f>
        <v>0.73504198952693822</v>
      </c>
      <c r="P8">
        <f>INDEX('AEO 2025 Table 35'!11:11,MATCH(P2,'AEO 2025 Table 35'!5:5,0))/INDEX('AEO 2023 Table 35'!20:20,MATCH($C$2,'AEO 2023 Table 35'!13:13,0))</f>
        <v>0.70625397421293368</v>
      </c>
      <c r="Q8">
        <f>INDEX('AEO 2025 Table 35'!11:11,MATCH(Q2,'AEO 2025 Table 35'!5:5,0))/INDEX('AEO 2023 Table 35'!20:20,MATCH($C$2,'AEO 2023 Table 35'!13:13,0))</f>
        <v>0.68302916855350726</v>
      </c>
      <c r="R8">
        <f>INDEX('AEO 2025 Table 35'!11:11,MATCH(R2,'AEO 2025 Table 35'!5:5,0))/INDEX('AEO 2023 Table 35'!20:20,MATCH($C$2,'AEO 2023 Table 35'!13:13,0))</f>
        <v>0.66459093393051316</v>
      </c>
      <c r="S8">
        <f>INDEX('AEO 2025 Table 35'!11:11,MATCH(S2,'AEO 2025 Table 35'!5:5,0))/INDEX('AEO 2023 Table 35'!20:20,MATCH($C$2,'AEO 2023 Table 35'!13:13,0))</f>
        <v>0.64729898896087013</v>
      </c>
      <c r="T8">
        <f>INDEX('AEO 2025 Table 35'!11:11,MATCH(T2,'AEO 2025 Table 35'!5:5,0))/INDEX('AEO 2023 Table 35'!20:20,MATCH($C$2,'AEO 2023 Table 35'!13:13,0))</f>
        <v>0.63196410670516356</v>
      </c>
      <c r="U8">
        <f>INDEX('AEO 2025 Table 35'!11:11,MATCH(U2,'AEO 2025 Table 35'!5:5,0))/INDEX('AEO 2023 Table 35'!20:20,MATCH($C$2,'AEO 2023 Table 35'!13:13,0))</f>
        <v>0.6196360653631664</v>
      </c>
      <c r="V8">
        <f>INDEX('AEO 2025 Table 35'!11:11,MATCH(V2,'AEO 2025 Table 35'!5:5,0))/INDEX('AEO 2023 Table 35'!20:20,MATCH($C$2,'AEO 2023 Table 35'!13:13,0))</f>
        <v>0.60796247030127393</v>
      </c>
      <c r="W8">
        <f>INDEX('AEO 2025 Table 35'!11:11,MATCH(W2,'AEO 2025 Table 35'!5:5,0))/INDEX('AEO 2023 Table 35'!20:20,MATCH($C$2,'AEO 2023 Table 35'!13:13,0))</f>
        <v>0.59829525037485443</v>
      </c>
      <c r="X8">
        <f>INDEX('AEO 2025 Table 35'!11:11,MATCH(X2,'AEO 2025 Table 35'!5:5,0))/INDEX('AEO 2023 Table 35'!20:20,MATCH($C$2,'AEO 2023 Table 35'!13:13,0))</f>
        <v>0.58877423857618516</v>
      </c>
      <c r="Y8">
        <f>INDEX('AEO 2025 Table 35'!11:11,MATCH(Y2,'AEO 2025 Table 35'!5:5,0))/INDEX('AEO 2023 Table 35'!20:20,MATCH($C$2,'AEO 2023 Table 35'!13:13,0))</f>
        <v>0.58091114881483363</v>
      </c>
      <c r="Z8">
        <f>INDEX('AEO 2025 Table 35'!11:11,MATCH(Z2,'AEO 2025 Table 35'!5:5,0))/INDEX('AEO 2023 Table 35'!20:20,MATCH($C$2,'AEO 2023 Table 35'!13:13,0))</f>
        <v>0.5735682730796382</v>
      </c>
      <c r="AA8">
        <f>INDEX('AEO 2025 Table 35'!11:11,MATCH(AA2,'AEO 2025 Table 35'!5:5,0))/INDEX('AEO 2023 Table 35'!20:20,MATCH($C$2,'AEO 2023 Table 35'!13:13,0))</f>
        <v>0.56904158490891321</v>
      </c>
      <c r="AB8">
        <f>INDEX('AEO 2025 Table 35'!11:11,MATCH(AB2,'AEO 2025 Table 35'!5:5,0))/INDEX('AEO 2023 Table 35'!20:20,MATCH($C$2,'AEO 2023 Table 35'!13:13,0))</f>
        <v>0.5623589192433528</v>
      </c>
      <c r="AC8">
        <f>INDEX('AEO 2025 Table 35'!11:11,MATCH(AC2,'AEO 2025 Table 35'!5:5,0))/INDEX('AEO 2023 Table 35'!20:20,MATCH($C$2,'AEO 2023 Table 35'!13:13,0))</f>
        <v>0.55621235004620961</v>
      </c>
      <c r="AD8">
        <f>INDEX('AEO 2025 Table 35'!11:11,MATCH(AD2,'AEO 2025 Table 35'!5:5,0))/INDEX('AEO 2023 Table 35'!20:20,MATCH($C$2,'AEO 2023 Table 35'!13:13,0))</f>
        <v>0.55223943396512787</v>
      </c>
    </row>
    <row r="10" spans="1:30" s="81" customFormat="1">
      <c r="A10" s="81" t="s">
        <v>3774</v>
      </c>
    </row>
    <row r="11" spans="1:30">
      <c r="B11" s="1" t="s">
        <v>145</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123</v>
      </c>
      <c r="C12">
        <v>1</v>
      </c>
      <c r="D12">
        <f>SUM(INDEX('AEO 2025 Table 49'!21:21,MATCH(D11,'AEO 2025 Table 49'!5:5,0)),INDEX('AEO 2025 Table 49'!35:35,MATCH(D11,'AEO 2025 Table 49'!5:5,0)),INDEX('AEO 2025 Table 7'!10:10,MATCH(D11,'AEO 2025 Table 7'!5:5,0)))
/SUM(INDEX('AEO 2023 Table 7'!19:19,MATCH($C$11,'AEO 2023 Table 7'!1:1,0)),INDEX('AEO 2023 Table 49'!28:28,MATCH($C$11,'AEO 2023 Table 49'!13:13,0)),INDEX('AEO 2023 Table 49'!39:39,MATCH($C$11,'AEO 2023 Table 49'!13:13,0)))</f>
        <v>0.99199162805779795</v>
      </c>
      <c r="E12">
        <f>SUM(INDEX('AEO 2025 Table 49'!21:21,MATCH(E11,'AEO 2025 Table 49'!5:5,0)),INDEX('AEO 2025 Table 49'!35:35,MATCH(E11,'AEO 2025 Table 49'!5:5,0)),INDEX('AEO 2025 Table 7'!10:10,MATCH(E11,'AEO 2025 Table 7'!5:5,0)))
/SUM(INDEX('AEO 2023 Table 7'!19:19,MATCH($C$11,'AEO 2023 Table 7'!1:1,0)),INDEX('AEO 2023 Table 49'!28:28,MATCH($C$11,'AEO 2023 Table 49'!13:13,0)),INDEX('AEO 2023 Table 49'!39:39,MATCH($C$11,'AEO 2023 Table 49'!13:13,0)))</f>
        <v>0.99145345856887246</v>
      </c>
      <c r="F12">
        <f>SUM(INDEX('AEO 2025 Table 49'!21:21,MATCH(F11,'AEO 2025 Table 49'!5:5,0)),INDEX('AEO 2025 Table 49'!35:35,MATCH(F11,'AEO 2025 Table 49'!5:5,0)),INDEX('AEO 2025 Table 7'!10:10,MATCH(F11,'AEO 2025 Table 7'!5:5,0)))
/SUM(INDEX('AEO 2023 Table 7'!19:19,MATCH($C$11,'AEO 2023 Table 7'!1:1,0)),INDEX('AEO 2023 Table 49'!28:28,MATCH($C$11,'AEO 2023 Table 49'!13:13,0)),INDEX('AEO 2023 Table 49'!39:39,MATCH($C$11,'AEO 2023 Table 49'!13:13,0)))</f>
        <v>0.98773845758736967</v>
      </c>
      <c r="G12">
        <f>SUM(INDEX('AEO 2025 Table 49'!21:21,MATCH(G11,'AEO 2025 Table 49'!5:5,0)),INDEX('AEO 2025 Table 49'!35:35,MATCH(G11,'AEO 2025 Table 49'!5:5,0)),INDEX('AEO 2025 Table 7'!10:10,MATCH(G11,'AEO 2025 Table 7'!5:5,0)))
/SUM(INDEX('AEO 2023 Table 7'!19:19,MATCH($C$11,'AEO 2023 Table 7'!1:1,0)),INDEX('AEO 2023 Table 49'!28:28,MATCH($C$11,'AEO 2023 Table 49'!13:13,0)),INDEX('AEO 2023 Table 49'!39:39,MATCH($C$11,'AEO 2023 Table 49'!13:13,0)))</f>
        <v>0.98564184740246219</v>
      </c>
      <c r="H12">
        <f>SUM(INDEX('AEO 2025 Table 49'!21:21,MATCH(H11,'AEO 2025 Table 49'!5:5,0)),INDEX('AEO 2025 Table 49'!35:35,MATCH(H11,'AEO 2025 Table 49'!5:5,0)),INDEX('AEO 2025 Table 7'!10:10,MATCH(H11,'AEO 2025 Table 7'!5:5,0)))
/SUM(INDEX('AEO 2023 Table 7'!19:19,MATCH($C$11,'AEO 2023 Table 7'!1:1,0)),INDEX('AEO 2023 Table 49'!28:28,MATCH($C$11,'AEO 2023 Table 49'!13:13,0)),INDEX('AEO 2023 Table 49'!39:39,MATCH($C$11,'AEO 2023 Table 49'!13:13,0)))</f>
        <v>0.98303991333727347</v>
      </c>
      <c r="I12">
        <f>SUM(INDEX('AEO 2025 Table 49'!21:21,MATCH(I11,'AEO 2025 Table 49'!5:5,0)),INDEX('AEO 2025 Table 49'!35:35,MATCH(I11,'AEO 2025 Table 49'!5:5,0)),INDEX('AEO 2025 Table 7'!10:10,MATCH(I11,'AEO 2025 Table 7'!5:5,0)))
/SUM(INDEX('AEO 2023 Table 7'!19:19,MATCH($C$11,'AEO 2023 Table 7'!1:1,0)),INDEX('AEO 2023 Table 49'!28:28,MATCH($C$11,'AEO 2023 Table 49'!13:13,0)),INDEX('AEO 2023 Table 49'!39:39,MATCH($C$11,'AEO 2023 Table 49'!13:13,0)))</f>
        <v>0.98381018616126348</v>
      </c>
      <c r="J12">
        <f>SUM(INDEX('AEO 2025 Table 49'!21:21,MATCH(J11,'AEO 2025 Table 49'!5:5,0)),INDEX('AEO 2025 Table 49'!35:35,MATCH(J11,'AEO 2025 Table 49'!5:5,0)),INDEX('AEO 2025 Table 7'!10:10,MATCH(J11,'AEO 2025 Table 7'!5:5,0)))
/SUM(INDEX('AEO 2023 Table 7'!19:19,MATCH($C$11,'AEO 2023 Table 7'!1:1,0)),INDEX('AEO 2023 Table 49'!28:28,MATCH($C$11,'AEO 2023 Table 49'!13:13,0)),INDEX('AEO 2023 Table 49'!39:39,MATCH($C$11,'AEO 2023 Table 49'!13:13,0)))</f>
        <v>0.98691983518255244</v>
      </c>
      <c r="K12">
        <f>SUM(INDEX('AEO 2025 Table 49'!21:21,MATCH(K11,'AEO 2025 Table 49'!5:5,0)),INDEX('AEO 2025 Table 49'!35:35,MATCH(K11,'AEO 2025 Table 49'!5:5,0)),INDEX('AEO 2025 Table 7'!10:10,MATCH(K11,'AEO 2025 Table 7'!5:5,0)))
/SUM(INDEX('AEO 2023 Table 7'!19:19,MATCH($C$11,'AEO 2023 Table 7'!1:1,0)),INDEX('AEO 2023 Table 49'!28:28,MATCH($C$11,'AEO 2023 Table 49'!13:13,0)),INDEX('AEO 2023 Table 49'!39:39,MATCH($C$11,'AEO 2023 Table 49'!13:13,0)))</f>
        <v>0.99006617834617994</v>
      </c>
      <c r="L12">
        <f>SUM(INDEX('AEO 2025 Table 49'!21:21,MATCH(L11,'AEO 2025 Table 49'!5:5,0)),INDEX('AEO 2025 Table 49'!35:35,MATCH(L11,'AEO 2025 Table 49'!5:5,0)),INDEX('AEO 2025 Table 7'!10:10,MATCH(L11,'AEO 2025 Table 7'!5:5,0)))
/SUM(INDEX('AEO 2023 Table 7'!19:19,MATCH($C$11,'AEO 2023 Table 7'!1:1,0)),INDEX('AEO 2023 Table 49'!28:28,MATCH($C$11,'AEO 2023 Table 49'!13:13,0)),INDEX('AEO 2023 Table 49'!39:39,MATCH($C$11,'AEO 2023 Table 49'!13:13,0)))</f>
        <v>0.9941463126584007</v>
      </c>
      <c r="M12">
        <f>SUM(INDEX('AEO 2025 Table 49'!21:21,MATCH(M11,'AEO 2025 Table 49'!5:5,0)),INDEX('AEO 2025 Table 49'!35:35,MATCH(M11,'AEO 2025 Table 49'!5:5,0)),INDEX('AEO 2025 Table 7'!10:10,MATCH(M11,'AEO 2025 Table 7'!5:5,0)))
/SUM(INDEX('AEO 2023 Table 7'!19:19,MATCH($C$11,'AEO 2023 Table 7'!1:1,0)),INDEX('AEO 2023 Table 49'!28:28,MATCH($C$11,'AEO 2023 Table 49'!13:13,0)),INDEX('AEO 2023 Table 49'!39:39,MATCH($C$11,'AEO 2023 Table 49'!13:13,0)))</f>
        <v>0.99846130468984473</v>
      </c>
      <c r="N12">
        <f>SUM(INDEX('AEO 2025 Table 49'!21:21,MATCH(N11,'AEO 2025 Table 49'!5:5,0)),INDEX('AEO 2025 Table 49'!35:35,MATCH(N11,'AEO 2025 Table 49'!5:5,0)),INDEX('AEO 2025 Table 7'!10:10,MATCH(N11,'AEO 2025 Table 7'!5:5,0)))
/SUM(INDEX('AEO 2023 Table 7'!19:19,MATCH($C$11,'AEO 2023 Table 7'!1:1,0)),INDEX('AEO 2023 Table 49'!28:28,MATCH($C$11,'AEO 2023 Table 49'!13:13,0)),INDEX('AEO 2023 Table 49'!39:39,MATCH($C$11,'AEO 2023 Table 49'!13:13,0)))</f>
        <v>1.0037337578306835</v>
      </c>
      <c r="O12">
        <f>SUM(INDEX('AEO 2025 Table 49'!21:21,MATCH(O11,'AEO 2025 Table 49'!5:5,0)),INDEX('AEO 2025 Table 49'!35:35,MATCH(O11,'AEO 2025 Table 49'!5:5,0)),INDEX('AEO 2025 Table 7'!10:10,MATCH(O11,'AEO 2025 Table 7'!5:5,0)))
/SUM(INDEX('AEO 2023 Table 7'!19:19,MATCH($C$11,'AEO 2023 Table 7'!1:1,0)),INDEX('AEO 2023 Table 49'!28:28,MATCH($C$11,'AEO 2023 Table 49'!13:13,0)),INDEX('AEO 2023 Table 49'!39:39,MATCH($C$11,'AEO 2023 Table 49'!13:13,0)))</f>
        <v>1.0092701544805229</v>
      </c>
      <c r="P12">
        <f>SUM(INDEX('AEO 2025 Table 49'!21:21,MATCH(P11,'AEO 2025 Table 49'!5:5,0)),INDEX('AEO 2025 Table 49'!35:35,MATCH(P11,'AEO 2025 Table 49'!5:5,0)),INDEX('AEO 2025 Table 7'!10:10,MATCH(P11,'AEO 2025 Table 7'!5:5,0)))
/SUM(INDEX('AEO 2023 Table 7'!19:19,MATCH($C$11,'AEO 2023 Table 7'!1:1,0)),INDEX('AEO 2023 Table 49'!28:28,MATCH($C$11,'AEO 2023 Table 49'!13:13,0)),INDEX('AEO 2023 Table 49'!39:39,MATCH($C$11,'AEO 2023 Table 49'!13:13,0)))</f>
        <v>1.0155410972260812</v>
      </c>
      <c r="Q12">
        <f>SUM(INDEX('AEO 2025 Table 49'!21:21,MATCH(Q11,'AEO 2025 Table 49'!5:5,0)),INDEX('AEO 2025 Table 49'!35:35,MATCH(Q11,'AEO 2025 Table 49'!5:5,0)),INDEX('AEO 2025 Table 7'!10:10,MATCH(Q11,'AEO 2025 Table 7'!5:5,0)))
/SUM(INDEX('AEO 2023 Table 7'!19:19,MATCH($C$11,'AEO 2023 Table 7'!1:1,0)),INDEX('AEO 2023 Table 49'!28:28,MATCH($C$11,'AEO 2023 Table 49'!13:13,0)),INDEX('AEO 2023 Table 49'!39:39,MATCH($C$11,'AEO 2023 Table 49'!13:13,0)))</f>
        <v>1.0221550537387742</v>
      </c>
      <c r="R12">
        <f>SUM(INDEX('AEO 2025 Table 49'!21:21,MATCH(R11,'AEO 2025 Table 49'!5:5,0)),INDEX('AEO 2025 Table 49'!35:35,MATCH(R11,'AEO 2025 Table 49'!5:5,0)),INDEX('AEO 2025 Table 7'!10:10,MATCH(R11,'AEO 2025 Table 7'!5:5,0)))
/SUM(INDEX('AEO 2023 Table 7'!19:19,MATCH($C$11,'AEO 2023 Table 7'!1:1,0)),INDEX('AEO 2023 Table 49'!28:28,MATCH($C$11,'AEO 2023 Table 49'!13:13,0)),INDEX('AEO 2023 Table 49'!39:39,MATCH($C$11,'AEO 2023 Table 49'!13:13,0)))</f>
        <v>1.0288457190053915</v>
      </c>
      <c r="S12">
        <f>SUM(INDEX('AEO 2025 Table 49'!21:21,MATCH(S11,'AEO 2025 Table 49'!5:5,0)),INDEX('AEO 2025 Table 49'!35:35,MATCH(S11,'AEO 2025 Table 49'!5:5,0)),INDEX('AEO 2025 Table 7'!10:10,MATCH(S11,'AEO 2025 Table 7'!5:5,0)))
/SUM(INDEX('AEO 2023 Table 7'!19:19,MATCH($C$11,'AEO 2023 Table 7'!1:1,0)),INDEX('AEO 2023 Table 49'!28:28,MATCH($C$11,'AEO 2023 Table 49'!13:13,0)),INDEX('AEO 2023 Table 49'!39:39,MATCH($C$11,'AEO 2023 Table 49'!13:13,0)))</f>
        <v>1.0352948306955889</v>
      </c>
      <c r="T12">
        <f>SUM(INDEX('AEO 2025 Table 49'!21:21,MATCH(T11,'AEO 2025 Table 49'!5:5,0)),INDEX('AEO 2025 Table 49'!35:35,MATCH(T11,'AEO 2025 Table 49'!5:5,0)),INDEX('AEO 2025 Table 7'!10:10,MATCH(T11,'AEO 2025 Table 7'!5:5,0)))
/SUM(INDEX('AEO 2023 Table 7'!19:19,MATCH($C$11,'AEO 2023 Table 7'!1:1,0)),INDEX('AEO 2023 Table 49'!28:28,MATCH($C$11,'AEO 2023 Table 49'!13:13,0)),INDEX('AEO 2023 Table 49'!39:39,MATCH($C$11,'AEO 2023 Table 49'!13:13,0)))</f>
        <v>1.0425874302893146</v>
      </c>
      <c r="U12">
        <f>SUM(INDEX('AEO 2025 Table 49'!21:21,MATCH(U11,'AEO 2025 Table 49'!5:5,0)),INDEX('AEO 2025 Table 49'!35:35,MATCH(U11,'AEO 2025 Table 49'!5:5,0)),INDEX('AEO 2025 Table 7'!10:10,MATCH(U11,'AEO 2025 Table 7'!5:5,0)))
/SUM(INDEX('AEO 2023 Table 7'!19:19,MATCH($C$11,'AEO 2023 Table 7'!1:1,0)),INDEX('AEO 2023 Table 49'!28:28,MATCH($C$11,'AEO 2023 Table 49'!13:13,0)),INDEX('AEO 2023 Table 49'!39:39,MATCH($C$11,'AEO 2023 Table 49'!13:13,0)))</f>
        <v>1.0492768070786795</v>
      </c>
      <c r="V12">
        <f>SUM(INDEX('AEO 2025 Table 49'!21:21,MATCH(V11,'AEO 2025 Table 49'!5:5,0)),INDEX('AEO 2025 Table 49'!35:35,MATCH(V11,'AEO 2025 Table 49'!5:5,0)),INDEX('AEO 2025 Table 7'!10:10,MATCH(V11,'AEO 2025 Table 7'!5:5,0)))
/SUM(INDEX('AEO 2023 Table 7'!19:19,MATCH($C$11,'AEO 2023 Table 7'!1:1,0)),INDEX('AEO 2023 Table 49'!28:28,MATCH($C$11,'AEO 2023 Table 49'!13:13,0)),INDEX('AEO 2023 Table 49'!39:39,MATCH($C$11,'AEO 2023 Table 49'!13:13,0)))</f>
        <v>1.0559394131128061</v>
      </c>
      <c r="W12">
        <f>SUM(INDEX('AEO 2025 Table 49'!21:21,MATCH(W11,'AEO 2025 Table 49'!5:5,0)),INDEX('AEO 2025 Table 49'!35:35,MATCH(W11,'AEO 2025 Table 49'!5:5,0)),INDEX('AEO 2025 Table 7'!10:10,MATCH(W11,'AEO 2025 Table 7'!5:5,0)))
/SUM(INDEX('AEO 2023 Table 7'!19:19,MATCH($C$11,'AEO 2023 Table 7'!1:1,0)),INDEX('AEO 2023 Table 49'!28:28,MATCH($C$11,'AEO 2023 Table 49'!13:13,0)),INDEX('AEO 2023 Table 49'!39:39,MATCH($C$11,'AEO 2023 Table 49'!13:13,0)))</f>
        <v>1.0615504316058721</v>
      </c>
      <c r="X12">
        <f>SUM(INDEX('AEO 2025 Table 49'!21:21,MATCH(X11,'AEO 2025 Table 49'!5:5,0)),INDEX('AEO 2025 Table 49'!35:35,MATCH(X11,'AEO 2025 Table 49'!5:5,0)),INDEX('AEO 2025 Table 7'!10:10,MATCH(X11,'AEO 2025 Table 7'!5:5,0)))
/SUM(INDEX('AEO 2023 Table 7'!19:19,MATCH($C$11,'AEO 2023 Table 7'!1:1,0)),INDEX('AEO 2023 Table 49'!28:28,MATCH($C$11,'AEO 2023 Table 49'!13:13,0)),INDEX('AEO 2023 Table 49'!39:39,MATCH($C$11,'AEO 2023 Table 49'!13:13,0)))</f>
        <v>1.0670456688004033</v>
      </c>
      <c r="Y12">
        <f>SUM(INDEX('AEO 2025 Table 49'!21:21,MATCH(Y11,'AEO 2025 Table 49'!5:5,0)),INDEX('AEO 2025 Table 49'!35:35,MATCH(Y11,'AEO 2025 Table 49'!5:5,0)),INDEX('AEO 2025 Table 7'!10:10,MATCH(Y11,'AEO 2025 Table 7'!5:5,0)))
/SUM(INDEX('AEO 2023 Table 7'!19:19,MATCH($C$11,'AEO 2023 Table 7'!1:1,0)),INDEX('AEO 2023 Table 49'!28:28,MATCH($C$11,'AEO 2023 Table 49'!13:13,0)),INDEX('AEO 2023 Table 49'!39:39,MATCH($C$11,'AEO 2023 Table 49'!13:13,0)))</f>
        <v>1.0733174648981094</v>
      </c>
      <c r="Z12">
        <f>SUM(INDEX('AEO 2025 Table 49'!21:21,MATCH(Z11,'AEO 2025 Table 49'!5:5,0)),INDEX('AEO 2025 Table 49'!35:35,MATCH(Z11,'AEO 2025 Table 49'!5:5,0)),INDEX('AEO 2025 Table 7'!10:10,MATCH(Z11,'AEO 2025 Table 7'!5:5,0)))
/SUM(INDEX('AEO 2023 Table 7'!19:19,MATCH($C$11,'AEO 2023 Table 7'!1:1,0)),INDEX('AEO 2023 Table 49'!28:28,MATCH($C$11,'AEO 2023 Table 49'!13:13,0)),INDEX('AEO 2023 Table 49'!39:39,MATCH($C$11,'AEO 2023 Table 49'!13:13,0)))</f>
        <v>1.0797690268073437</v>
      </c>
      <c r="AA12">
        <f>SUM(INDEX('AEO 2025 Table 49'!21:21,MATCH(AA11,'AEO 2025 Table 49'!5:5,0)),INDEX('AEO 2025 Table 49'!35:35,MATCH(AA11,'AEO 2025 Table 49'!5:5,0)),INDEX('AEO 2025 Table 7'!10:10,MATCH(AA11,'AEO 2025 Table 7'!5:5,0)))
/SUM(INDEX('AEO 2023 Table 7'!19:19,MATCH($C$11,'AEO 2023 Table 7'!1:1,0)),INDEX('AEO 2023 Table 49'!28:28,MATCH($C$11,'AEO 2023 Table 49'!13:13,0)),INDEX('AEO 2023 Table 49'!39:39,MATCH($C$11,'AEO 2023 Table 49'!13:13,0)))</f>
        <v>1.0885601043228916</v>
      </c>
      <c r="AB12">
        <f>SUM(INDEX('AEO 2025 Table 49'!21:21,MATCH(AB11,'AEO 2025 Table 49'!5:5,0)),INDEX('AEO 2025 Table 49'!35:35,MATCH(AB11,'AEO 2025 Table 49'!5:5,0)),INDEX('AEO 2025 Table 7'!10:10,MATCH(AB11,'AEO 2025 Table 7'!5:5,0)))
/SUM(INDEX('AEO 2023 Table 7'!19:19,MATCH($C$11,'AEO 2023 Table 7'!1:1,0)),INDEX('AEO 2023 Table 49'!28:28,MATCH($C$11,'AEO 2023 Table 49'!13:13,0)),INDEX('AEO 2023 Table 49'!39:39,MATCH($C$11,'AEO 2023 Table 49'!13:13,0)))</f>
        <v>1.0966140756862777</v>
      </c>
      <c r="AC12">
        <f>SUM(INDEX('AEO 2025 Table 49'!21:21,MATCH(AC11,'AEO 2025 Table 49'!5:5,0)),INDEX('AEO 2025 Table 49'!35:35,MATCH(AC11,'AEO 2025 Table 49'!5:5,0)),INDEX('AEO 2025 Table 7'!10:10,MATCH(AC11,'AEO 2025 Table 7'!5:5,0)))
/SUM(INDEX('AEO 2023 Table 7'!19:19,MATCH($C$11,'AEO 2023 Table 7'!1:1,0)),INDEX('AEO 2023 Table 49'!28:28,MATCH($C$11,'AEO 2023 Table 49'!13:13,0)),INDEX('AEO 2023 Table 49'!39:39,MATCH($C$11,'AEO 2023 Table 49'!13:13,0)))</f>
        <v>1.1037383832527936</v>
      </c>
      <c r="AD12">
        <f>SUM(INDEX('AEO 2025 Table 49'!21:21,MATCH(AD11,'AEO 2025 Table 49'!5:5,0)),INDEX('AEO 2025 Table 49'!35:35,MATCH(AD11,'AEO 2025 Table 49'!5:5,0)),INDEX('AEO 2025 Table 7'!10:10,MATCH(AD11,'AEO 2025 Table 7'!5:5,0)))
/SUM(INDEX('AEO 2023 Table 7'!19:19,MATCH($C$11,'AEO 2023 Table 7'!1:1,0)),INDEX('AEO 2023 Table 49'!28:28,MATCH($C$11,'AEO 2023 Table 49'!13:13,0)),INDEX('AEO 2023 Table 49'!39:39,MATCH($C$11,'AEO 2023 Table 49'!13:13,0)))</f>
        <v>1.1099383330140091</v>
      </c>
    </row>
    <row r="13" spans="1:30">
      <c r="B13" t="s">
        <v>121</v>
      </c>
      <c r="C13">
        <v>1</v>
      </c>
      <c r="D13">
        <f>INDEX('AEO 2025 Table 49'!49:49,MATCH(D11,'AEO 2025 Table 49'!5:5,0))/INDEX('AEO 2023 Table 49'!50:50,MATCH($C$11,'AEO 2023 Table 49'!13:13,0))</f>
        <v>1.0622112715165715</v>
      </c>
      <c r="E13">
        <f>INDEX('AEO 2025 Table 49'!49:49,MATCH(E11,'AEO 2025 Table 49'!5:5,0))/INDEX('AEO 2023 Table 49'!50:50,MATCH($C$11,'AEO 2023 Table 49'!13:13,0))</f>
        <v>1.0882483223483477</v>
      </c>
      <c r="F13">
        <f>INDEX('AEO 2025 Table 49'!49:49,MATCH(F11,'AEO 2025 Table 49'!5:5,0))/INDEX('AEO 2023 Table 49'!50:50,MATCH($C$11,'AEO 2023 Table 49'!13:13,0))</f>
        <v>1.1073663909567006</v>
      </c>
      <c r="G13">
        <f>INDEX('AEO 2025 Table 49'!49:49,MATCH(G11,'AEO 2025 Table 49'!5:5,0))/INDEX('AEO 2023 Table 49'!50:50,MATCH($C$11,'AEO 2023 Table 49'!13:13,0))</f>
        <v>1.1253528048949284</v>
      </c>
      <c r="H13">
        <f>INDEX('AEO 2025 Table 49'!49:49,MATCH(H11,'AEO 2025 Table 49'!5:5,0))/INDEX('AEO 2023 Table 49'!50:50,MATCH($C$11,'AEO 2023 Table 49'!13:13,0))</f>
        <v>1.138224191456727</v>
      </c>
      <c r="I13">
        <f>INDEX('AEO 2025 Table 49'!49:49,MATCH(I11,'AEO 2025 Table 49'!5:5,0))/INDEX('AEO 2023 Table 49'!50:50,MATCH($C$11,'AEO 2023 Table 49'!13:13,0))</f>
        <v>1.1499887897440986</v>
      </c>
      <c r="J13">
        <f>INDEX('AEO 2025 Table 49'!49:49,MATCH(J11,'AEO 2025 Table 49'!5:5,0))/INDEX('AEO 2023 Table 49'!50:50,MATCH($C$11,'AEO 2023 Table 49'!13:13,0))</f>
        <v>1.1606501753882426</v>
      </c>
      <c r="K13">
        <f>INDEX('AEO 2025 Table 49'!49:49,MATCH(K11,'AEO 2025 Table 49'!5:5,0))/INDEX('AEO 2023 Table 49'!50:50,MATCH($C$11,'AEO 2023 Table 49'!13:13,0))</f>
        <v>1.1685450929996408</v>
      </c>
      <c r="L13">
        <f>INDEX('AEO 2025 Table 49'!49:49,MATCH(L11,'AEO 2025 Table 49'!5:5,0))/INDEX('AEO 2023 Table 49'!50:50,MATCH($C$11,'AEO 2023 Table 49'!13:13,0))</f>
        <v>1.1759364552299756</v>
      </c>
      <c r="M13">
        <f>INDEX('AEO 2025 Table 49'!49:49,MATCH(M11,'AEO 2025 Table 49'!5:5,0))/INDEX('AEO 2023 Table 49'!50:50,MATCH($C$11,'AEO 2023 Table 49'!13:13,0))</f>
        <v>1.1817697932230411</v>
      </c>
      <c r="N13">
        <f>INDEX('AEO 2025 Table 49'!49:49,MATCH(N11,'AEO 2025 Table 49'!5:5,0))/INDEX('AEO 2023 Table 49'!50:50,MATCH($C$11,'AEO 2023 Table 49'!13:13,0))</f>
        <v>1.1882821424940875</v>
      </c>
      <c r="O13">
        <f>INDEX('AEO 2025 Table 49'!49:49,MATCH(O11,'AEO 2025 Table 49'!5:5,0))/INDEX('AEO 2023 Table 49'!50:50,MATCH($C$11,'AEO 2023 Table 49'!13:13,0))</f>
        <v>1.1945415946520686</v>
      </c>
      <c r="P13">
        <f>INDEX('AEO 2025 Table 49'!49:49,MATCH(P11,'AEO 2025 Table 49'!5:5,0))/INDEX('AEO 2023 Table 49'!50:50,MATCH($C$11,'AEO 2023 Table 49'!13:13,0))</f>
        <v>1.2022732504644396</v>
      </c>
      <c r="Q13">
        <f>INDEX('AEO 2025 Table 49'!49:49,MATCH(Q11,'AEO 2025 Table 49'!5:5,0))/INDEX('AEO 2023 Table 49'!50:50,MATCH($C$11,'AEO 2023 Table 49'!13:13,0))</f>
        <v>1.2108769527327585</v>
      </c>
      <c r="R13">
        <f>INDEX('AEO 2025 Table 49'!49:49,MATCH(R11,'AEO 2025 Table 49'!5:5,0))/INDEX('AEO 2023 Table 49'!50:50,MATCH($C$11,'AEO 2023 Table 49'!13:13,0))</f>
        <v>1.2194852957139111</v>
      </c>
      <c r="S13">
        <f>INDEX('AEO 2025 Table 49'!49:49,MATCH(S11,'AEO 2025 Table 49'!5:5,0))/INDEX('AEO 2023 Table 49'!50:50,MATCH($C$11,'AEO 2023 Table 49'!13:13,0))</f>
        <v>1.2265601602421841</v>
      </c>
      <c r="T13">
        <f>INDEX('AEO 2025 Table 49'!49:49,MATCH(T11,'AEO 2025 Table 49'!5:5,0))/INDEX('AEO 2023 Table 49'!50:50,MATCH($C$11,'AEO 2023 Table 49'!13:13,0))</f>
        <v>1.2338113881603994</v>
      </c>
      <c r="U13">
        <f>INDEX('AEO 2025 Table 49'!49:49,MATCH(U11,'AEO 2025 Table 49'!5:5,0))/INDEX('AEO 2023 Table 49'!50:50,MATCH($C$11,'AEO 2023 Table 49'!13:13,0))</f>
        <v>1.240527635355261</v>
      </c>
      <c r="V13">
        <f>INDEX('AEO 2025 Table 49'!49:49,MATCH(V11,'AEO 2025 Table 49'!5:5,0))/INDEX('AEO 2023 Table 49'!50:50,MATCH($C$11,'AEO 2023 Table 49'!13:13,0))</f>
        <v>1.2472509251307224</v>
      </c>
      <c r="W13">
        <f>INDEX('AEO 2025 Table 49'!49:49,MATCH(W11,'AEO 2025 Table 49'!5:5,0))/INDEX('AEO 2023 Table 49'!50:50,MATCH($C$11,'AEO 2023 Table 49'!13:13,0))</f>
        <v>1.2527956260009969</v>
      </c>
      <c r="X13">
        <f>INDEX('AEO 2025 Table 49'!49:49,MATCH(X11,'AEO 2025 Table 49'!5:5,0))/INDEX('AEO 2023 Table 49'!50:50,MATCH($C$11,'AEO 2023 Table 49'!13:13,0))</f>
        <v>1.2572934929114714</v>
      </c>
      <c r="Y13">
        <f>INDEX('AEO 2025 Table 49'!49:49,MATCH(Y11,'AEO 2025 Table 49'!5:5,0))/INDEX('AEO 2023 Table 49'!50:50,MATCH($C$11,'AEO 2023 Table 49'!13:13,0))</f>
        <v>1.2620704655509318</v>
      </c>
      <c r="Z13">
        <f>INDEX('AEO 2025 Table 49'!49:49,MATCH(Z11,'AEO 2025 Table 49'!5:5,0))/INDEX('AEO 2023 Table 49'!50:50,MATCH($C$11,'AEO 2023 Table 49'!13:13,0))</f>
        <v>1.2657209133011977</v>
      </c>
      <c r="AA13">
        <f>INDEX('AEO 2025 Table 49'!49:49,MATCH(AA11,'AEO 2025 Table 49'!5:5,0))/INDEX('AEO 2023 Table 49'!50:50,MATCH($C$11,'AEO 2023 Table 49'!13:13,0))</f>
        <v>1.2738285157598908</v>
      </c>
      <c r="AB13">
        <f>INDEX('AEO 2025 Table 49'!49:49,MATCH(AB11,'AEO 2025 Table 49'!5:5,0))/INDEX('AEO 2023 Table 49'!50:50,MATCH($C$11,'AEO 2023 Table 49'!13:13,0))</f>
        <v>1.2822530289114835</v>
      </c>
      <c r="AC13">
        <f>INDEX('AEO 2025 Table 49'!49:49,MATCH(AC11,'AEO 2025 Table 49'!5:5,0))/INDEX('AEO 2023 Table 49'!50:50,MATCH($C$11,'AEO 2023 Table 49'!13:13,0))</f>
        <v>1.2898558315825104</v>
      </c>
      <c r="AD13">
        <f>INDEX('AEO 2025 Table 49'!49:49,MATCH(AD11,'AEO 2025 Table 49'!5:5,0))/INDEX('AEO 2023 Table 49'!50:50,MATCH($C$11,'AEO 2023 Table 49'!13:13,0))</f>
        <v>1.295658157224123</v>
      </c>
    </row>
    <row r="14" spans="1:30">
      <c r="B14" t="s">
        <v>119</v>
      </c>
      <c r="C14">
        <v>1</v>
      </c>
      <c r="D14" s="100">
        <f>D5</f>
        <v>1.0716178093338335</v>
      </c>
      <c r="E14" s="100">
        <f t="shared" ref="E14:AD14" si="0">E5</f>
        <v>1.0817527323119809</v>
      </c>
      <c r="F14" s="100">
        <f t="shared" si="0"/>
        <v>1.1085945185275576</v>
      </c>
      <c r="G14" s="100">
        <f t="shared" si="0"/>
        <v>1.1335366025391564</v>
      </c>
      <c r="H14" s="100">
        <f t="shared" si="0"/>
        <v>1.1542477258077453</v>
      </c>
      <c r="I14" s="100">
        <f t="shared" si="0"/>
        <v>1.1766334225776525</v>
      </c>
      <c r="J14" s="100">
        <f t="shared" si="0"/>
        <v>1.1971558895767964</v>
      </c>
      <c r="K14" s="100">
        <f t="shared" si="0"/>
        <v>1.2142171078006554</v>
      </c>
      <c r="L14" s="100">
        <f t="shared" si="0"/>
        <v>1.2339069157317686</v>
      </c>
      <c r="M14" s="100">
        <f t="shared" si="0"/>
        <v>1.2549473070557398</v>
      </c>
      <c r="N14" s="100">
        <f t="shared" si="0"/>
        <v>1.2752167829490888</v>
      </c>
      <c r="O14" s="100">
        <f t="shared" si="0"/>
        <v>1.2975086149212807</v>
      </c>
      <c r="P14" s="100">
        <f t="shared" si="0"/>
        <v>1.3202152487803505</v>
      </c>
      <c r="Q14" s="100">
        <f t="shared" si="0"/>
        <v>1.344338467668533</v>
      </c>
      <c r="R14" s="100">
        <f t="shared" si="0"/>
        <v>1.3702463242095071</v>
      </c>
      <c r="S14" s="100">
        <f t="shared" si="0"/>
        <v>1.3962054648014097</v>
      </c>
      <c r="T14" s="100">
        <f t="shared" si="0"/>
        <v>1.4221940420806158</v>
      </c>
      <c r="U14" s="100">
        <f t="shared" si="0"/>
        <v>1.4477388433643217</v>
      </c>
      <c r="V14" s="100">
        <f t="shared" si="0"/>
        <v>1.4754125477637132</v>
      </c>
      <c r="W14" s="100">
        <f t="shared" si="0"/>
        <v>1.5025063999277224</v>
      </c>
      <c r="X14" s="100">
        <f t="shared" si="0"/>
        <v>1.5278095030920653</v>
      </c>
      <c r="Y14" s="100">
        <f t="shared" si="0"/>
        <v>1.5526372649533449</v>
      </c>
      <c r="Z14" s="100">
        <f t="shared" si="0"/>
        <v>1.5770499466222119</v>
      </c>
      <c r="AA14" s="100">
        <f t="shared" si="0"/>
        <v>1.6056317536392695</v>
      </c>
      <c r="AB14" s="100">
        <f t="shared" si="0"/>
        <v>1.6361132621019796</v>
      </c>
      <c r="AC14" s="100">
        <f t="shared" si="0"/>
        <v>1.6653360173816742</v>
      </c>
      <c r="AD14" s="100">
        <f t="shared" si="0"/>
        <v>1.6941697970731022</v>
      </c>
    </row>
    <row r="15" spans="1:30">
      <c r="B15" t="s">
        <v>124</v>
      </c>
      <c r="C15">
        <v>1</v>
      </c>
      <c r="D15">
        <f>INDEX('AEO 2025 Table 7'!18:18,MATCH(D11,'AEO 2025 Table 7'!5:5,0))/INDEX('AEO 2023 Table 7'!27:27,MATCH($C$11,'AEO 2023 Table 7'!1:1,0))</f>
        <v>0.91547682341993408</v>
      </c>
      <c r="E15">
        <f>INDEX('AEO 2025 Table 7'!18:18,MATCH(E11,'AEO 2025 Table 7'!5:5,0))/INDEX('AEO 2023 Table 7'!27:27,MATCH($C$11,'AEO 2023 Table 7'!1:1,0))</f>
        <v>0.93655200278847428</v>
      </c>
      <c r="F15">
        <f>INDEX('AEO 2025 Table 7'!18:18,MATCH(F11,'AEO 2025 Table 7'!5:5,0))/INDEX('AEO 2023 Table 7'!27:27,MATCH($C$11,'AEO 2023 Table 7'!1:1,0))</f>
        <v>0.91392563617381528</v>
      </c>
      <c r="G15">
        <f>INDEX('AEO 2025 Table 7'!18:18,MATCH(G11,'AEO 2025 Table 7'!5:5,0))/INDEX('AEO 2023 Table 7'!27:27,MATCH($C$11,'AEO 2023 Table 7'!1:1,0))</f>
        <v>0.88352754244868426</v>
      </c>
      <c r="H15">
        <f>INDEX('AEO 2025 Table 7'!18:18,MATCH(H11,'AEO 2025 Table 7'!5:5,0))/INDEX('AEO 2023 Table 7'!27:27,MATCH($C$11,'AEO 2023 Table 7'!1:1,0))</f>
        <v>0.88376625115555996</v>
      </c>
      <c r="I15">
        <f>INDEX('AEO 2025 Table 7'!18:18,MATCH(I11,'AEO 2025 Table 7'!5:5,0))/INDEX('AEO 2023 Table 7'!27:27,MATCH($C$11,'AEO 2023 Table 7'!1:1,0))</f>
        <v>0.88154768721668619</v>
      </c>
      <c r="J15">
        <f>INDEX('AEO 2025 Table 7'!18:18,MATCH(J11,'AEO 2025 Table 7'!5:5,0))/INDEX('AEO 2023 Table 7'!27:27,MATCH($C$11,'AEO 2023 Table 7'!1:1,0))</f>
        <v>0.85603446315317522</v>
      </c>
      <c r="K15">
        <f>INDEX('AEO 2025 Table 7'!18:18,MATCH(K11,'AEO 2025 Table 7'!5:5,0))/INDEX('AEO 2023 Table 7'!27:27,MATCH($C$11,'AEO 2023 Table 7'!1:1,0))</f>
        <v>0.85630887523506882</v>
      </c>
      <c r="L15">
        <f>INDEX('AEO 2025 Table 7'!18:18,MATCH(L11,'AEO 2025 Table 7'!5:5,0))/INDEX('AEO 2023 Table 7'!27:27,MATCH($C$11,'AEO 2023 Table 7'!1:1,0))</f>
        <v>0.81608054474917058</v>
      </c>
      <c r="M15">
        <f>INDEX('AEO 2025 Table 7'!18:18,MATCH(M11,'AEO 2025 Table 7'!5:5,0))/INDEX('AEO 2023 Table 7'!27:27,MATCH($C$11,'AEO 2023 Table 7'!1:1,0))</f>
        <v>0.82008038455926546</v>
      </c>
      <c r="N15">
        <f>INDEX('AEO 2025 Table 7'!18:18,MATCH(N11,'AEO 2025 Table 7'!5:5,0))/INDEX('AEO 2023 Table 7'!27:27,MATCH($C$11,'AEO 2023 Table 7'!1:1,0))</f>
        <v>0.81235656692959779</v>
      </c>
      <c r="O15">
        <f>INDEX('AEO 2025 Table 7'!18:18,MATCH(O11,'AEO 2025 Table 7'!5:5,0))/INDEX('AEO 2023 Table 7'!27:27,MATCH($C$11,'AEO 2023 Table 7'!1:1,0))</f>
        <v>0.81271192203556319</v>
      </c>
      <c r="P15">
        <f>INDEX('AEO 2025 Table 7'!18:18,MATCH(P11,'AEO 2025 Table 7'!5:5,0))/INDEX('AEO 2023 Table 7'!27:27,MATCH($C$11,'AEO 2023 Table 7'!1:1,0))</f>
        <v>0.81604301086450903</v>
      </c>
      <c r="Q15">
        <f>INDEX('AEO 2025 Table 7'!18:18,MATCH(Q11,'AEO 2025 Table 7'!5:5,0))/INDEX('AEO 2023 Table 7'!27:27,MATCH($C$11,'AEO 2023 Table 7'!1:1,0))</f>
        <v>0.82019352117953703</v>
      </c>
      <c r="R15">
        <f>INDEX('AEO 2025 Table 7'!18:18,MATCH(R11,'AEO 2025 Table 7'!5:5,0))/INDEX('AEO 2023 Table 7'!27:27,MATCH($C$11,'AEO 2023 Table 7'!1:1,0))</f>
        <v>0.8313767458017004</v>
      </c>
      <c r="S15">
        <f>INDEX('AEO 2025 Table 7'!18:18,MATCH(S11,'AEO 2025 Table 7'!5:5,0))/INDEX('AEO 2023 Table 7'!27:27,MATCH($C$11,'AEO 2023 Table 7'!1:1,0))</f>
        <v>0.82618229502449536</v>
      </c>
      <c r="T15">
        <f>INDEX('AEO 2025 Table 7'!18:18,MATCH(T11,'AEO 2025 Table 7'!5:5,0))/INDEX('AEO 2023 Table 7'!27:27,MATCH($C$11,'AEO 2023 Table 7'!1:1,0))</f>
        <v>0.83015360225767765</v>
      </c>
      <c r="U15">
        <f>INDEX('AEO 2025 Table 7'!18:18,MATCH(U11,'AEO 2025 Table 7'!5:5,0))/INDEX('AEO 2023 Table 7'!27:27,MATCH($C$11,'AEO 2023 Table 7'!1:1,0))</f>
        <v>0.83138178110938166</v>
      </c>
      <c r="V15">
        <f>INDEX('AEO 2025 Table 7'!18:18,MATCH(V11,'AEO 2025 Table 7'!5:5,0))/INDEX('AEO 2023 Table 7'!27:27,MATCH($C$11,'AEO 2023 Table 7'!1:1,0))</f>
        <v>0.83578953833803082</v>
      </c>
      <c r="W15">
        <f>INDEX('AEO 2025 Table 7'!18:18,MATCH(W11,'AEO 2025 Table 7'!5:5,0))/INDEX('AEO 2023 Table 7'!27:27,MATCH($C$11,'AEO 2023 Table 7'!1:1,0))</f>
        <v>0.84069996513907186</v>
      </c>
      <c r="X15">
        <f>INDEX('AEO 2025 Table 7'!18:18,MATCH(X11,'AEO 2025 Table 7'!5:5,0))/INDEX('AEO 2023 Table 7'!27:27,MATCH($C$11,'AEO 2023 Table 7'!1:1,0))</f>
        <v>0.84355218727059844</v>
      </c>
      <c r="Y15">
        <f>INDEX('AEO 2025 Table 7'!18:18,MATCH(Y11,'AEO 2025 Table 7'!5:5,0))/INDEX('AEO 2023 Table 7'!27:27,MATCH($C$11,'AEO 2023 Table 7'!1:1,0))</f>
        <v>0.84654584923876319</v>
      </c>
      <c r="Z15">
        <f>INDEX('AEO 2025 Table 7'!18:18,MATCH(Z11,'AEO 2025 Table 7'!5:5,0))/INDEX('AEO 2023 Table 7'!27:27,MATCH($C$11,'AEO 2023 Table 7'!1:1,0))</f>
        <v>0.84725037921516477</v>
      </c>
      <c r="AA15">
        <f>INDEX('AEO 2025 Table 7'!18:18,MATCH(AA11,'AEO 2025 Table 7'!5:5,0))/INDEX('AEO 2023 Table 7'!27:27,MATCH($C$11,'AEO 2023 Table 7'!1:1,0))</f>
        <v>0.85641827396589743</v>
      </c>
      <c r="AB15">
        <f>INDEX('AEO 2025 Table 7'!18:18,MATCH(AB11,'AEO 2025 Table 7'!5:5,0))/INDEX('AEO 2023 Table 7'!27:27,MATCH($C$11,'AEO 2023 Table 7'!1:1,0))</f>
        <v>0.86402521646089014</v>
      </c>
      <c r="AC15">
        <f>INDEX('AEO 2025 Table 7'!18:18,MATCH(AC11,'AEO 2025 Table 7'!5:5,0))/INDEX('AEO 2023 Table 7'!27:27,MATCH($C$11,'AEO 2023 Table 7'!1:1,0))</f>
        <v>0.87038383949841458</v>
      </c>
      <c r="AD15">
        <f>INDEX('AEO 2025 Table 7'!18:18,MATCH(AD11,'AEO 2025 Table 7'!5:5,0))/INDEX('AEO 2023 Table 7'!27:27,MATCH($C$11,'AEO 2023 Table 7'!1:1,0))</f>
        <v>0.87320264686069804</v>
      </c>
    </row>
    <row r="16" spans="1:30">
      <c r="B16" t="s">
        <v>125</v>
      </c>
      <c r="C16">
        <v>1</v>
      </c>
      <c r="D16" s="100">
        <f>INDEX('AEO 2025 Table 7'!19:19,MATCH(D2,'AEO 2025 Table 7'!5:5,0))/INDEX('AEO 2023 Table 7'!28:28,MATCH($C$2,'AEO 2023 Table 7'!1:1,0))</f>
        <v>1.0185284688985718</v>
      </c>
      <c r="E16" s="100">
        <f>INDEX('AEO 2025 Table 7'!19:19,MATCH(E2,'AEO 2025 Table 7'!5:5,0))/INDEX('AEO 2023 Table 7'!28:28,MATCH($C$2,'AEO 2023 Table 7'!1:1,0))</f>
        <v>1.0321144632669632</v>
      </c>
      <c r="F16" s="100">
        <f>INDEX('AEO 2025 Table 7'!19:19,MATCH(F2,'AEO 2025 Table 7'!5:5,0))/INDEX('AEO 2023 Table 7'!28:28,MATCH($C$2,'AEO 2023 Table 7'!1:1,0))</f>
        <v>1.0278270196277399</v>
      </c>
      <c r="G16" s="100">
        <f>INDEX('AEO 2025 Table 7'!19:19,MATCH(G2,'AEO 2025 Table 7'!5:5,0))/INDEX('AEO 2023 Table 7'!28:28,MATCH($C$2,'AEO 2023 Table 7'!1:1,0))</f>
        <v>1.0234401837691958</v>
      </c>
      <c r="H16" s="100">
        <f>INDEX('AEO 2025 Table 7'!19:19,MATCH(H2,'AEO 2025 Table 7'!5:5,0))/INDEX('AEO 2023 Table 7'!28:28,MATCH($C$2,'AEO 2023 Table 7'!1:1,0))</f>
        <v>1.0198540448270743</v>
      </c>
      <c r="I16" s="100">
        <f>INDEX('AEO 2025 Table 7'!19:19,MATCH(I2,'AEO 2025 Table 7'!5:5,0))/INDEX('AEO 2023 Table 7'!28:28,MATCH($C$2,'AEO 2023 Table 7'!1:1,0))</f>
        <v>1.0153697815488274</v>
      </c>
      <c r="J16" s="100">
        <f>INDEX('AEO 2025 Table 7'!19:19,MATCH(J2,'AEO 2025 Table 7'!5:5,0))/INDEX('AEO 2023 Table 7'!28:28,MATCH($C$2,'AEO 2023 Table 7'!1:1,0))</f>
        <v>1.0098398252725234</v>
      </c>
      <c r="K16" s="100">
        <f>INDEX('AEO 2025 Table 7'!19:19,MATCH(K2,'AEO 2025 Table 7'!5:5,0))/INDEX('AEO 2023 Table 7'!28:28,MATCH($C$2,'AEO 2023 Table 7'!1:1,0))</f>
        <v>1.0033794930848956</v>
      </c>
      <c r="L16" s="100">
        <f>INDEX('AEO 2025 Table 7'!19:19,MATCH(L2,'AEO 2025 Table 7'!5:5,0))/INDEX('AEO 2023 Table 7'!28:28,MATCH($C$2,'AEO 2023 Table 7'!1:1,0))</f>
        <v>0.99525536414050919</v>
      </c>
      <c r="M16" s="100">
        <f>INDEX('AEO 2025 Table 7'!19:19,MATCH(M2,'AEO 2025 Table 7'!5:5,0))/INDEX('AEO 2023 Table 7'!28:28,MATCH($C$2,'AEO 2023 Table 7'!1:1,0))</f>
        <v>0.9906954882686011</v>
      </c>
      <c r="N16" s="100">
        <f>INDEX('AEO 2025 Table 7'!19:19,MATCH(N2,'AEO 2025 Table 7'!5:5,0))/INDEX('AEO 2023 Table 7'!28:28,MATCH($C$2,'AEO 2023 Table 7'!1:1,0))</f>
        <v>0.98699606808296647</v>
      </c>
      <c r="O16" s="100">
        <f>INDEX('AEO 2025 Table 7'!19:19,MATCH(O2,'AEO 2025 Table 7'!5:5,0))/INDEX('AEO 2023 Table 7'!28:28,MATCH($C$2,'AEO 2023 Table 7'!1:1,0))</f>
        <v>0.9827921628392533</v>
      </c>
      <c r="P16" s="100">
        <f>INDEX('AEO 2025 Table 7'!19:19,MATCH(P2,'AEO 2025 Table 7'!5:5,0))/INDEX('AEO 2023 Table 7'!28:28,MATCH($C$2,'AEO 2023 Table 7'!1:1,0))</f>
        <v>0.97825105579895044</v>
      </c>
      <c r="Q16" s="100">
        <f>INDEX('AEO 2025 Table 7'!19:19,MATCH(Q2,'AEO 2025 Table 7'!5:5,0))/INDEX('AEO 2023 Table 7'!28:28,MATCH($C$2,'AEO 2023 Table 7'!1:1,0))</f>
        <v>0.9748506270525884</v>
      </c>
      <c r="R16" s="100">
        <f>INDEX('AEO 2025 Table 7'!19:19,MATCH(R2,'AEO 2025 Table 7'!5:5,0))/INDEX('AEO 2023 Table 7'!28:28,MATCH($C$2,'AEO 2023 Table 7'!1:1,0))</f>
        <v>0.97177466553715619</v>
      </c>
      <c r="S16" s="100">
        <f>INDEX('AEO 2025 Table 7'!19:19,MATCH(S2,'AEO 2025 Table 7'!5:5,0))/INDEX('AEO 2023 Table 7'!28:28,MATCH($C$2,'AEO 2023 Table 7'!1:1,0))</f>
        <v>0.96793520065106486</v>
      </c>
      <c r="T16" s="100">
        <f>INDEX('AEO 2025 Table 7'!19:19,MATCH(T2,'AEO 2025 Table 7'!5:5,0))/INDEX('AEO 2023 Table 7'!28:28,MATCH($C$2,'AEO 2023 Table 7'!1:1,0))</f>
        <v>0.96523607882191731</v>
      </c>
      <c r="U16" s="100">
        <f>INDEX('AEO 2025 Table 7'!19:19,MATCH(U2,'AEO 2025 Table 7'!5:5,0))/INDEX('AEO 2023 Table 7'!28:28,MATCH($C$2,'AEO 2023 Table 7'!1:1,0))</f>
        <v>0.96239874166506467</v>
      </c>
      <c r="V16" s="100">
        <f>INDEX('AEO 2025 Table 7'!19:19,MATCH(V2,'AEO 2025 Table 7'!5:5,0))/INDEX('AEO 2023 Table 7'!28:28,MATCH($C$2,'AEO 2023 Table 7'!1:1,0))</f>
        <v>0.95959304333234341</v>
      </c>
      <c r="W16" s="100">
        <f>INDEX('AEO 2025 Table 7'!19:19,MATCH(W2,'AEO 2025 Table 7'!5:5,0))/INDEX('AEO 2023 Table 7'!28:28,MATCH($C$2,'AEO 2023 Table 7'!1:1,0))</f>
        <v>0.95614342799215424</v>
      </c>
      <c r="X16" s="100">
        <f>INDEX('AEO 2025 Table 7'!19:19,MATCH(X2,'AEO 2025 Table 7'!5:5,0))/INDEX('AEO 2023 Table 7'!28:28,MATCH($C$2,'AEO 2023 Table 7'!1:1,0))</f>
        <v>0.95198722186685125</v>
      </c>
      <c r="Y16" s="100">
        <f>INDEX('AEO 2025 Table 7'!19:19,MATCH(Y2,'AEO 2025 Table 7'!5:5,0))/INDEX('AEO 2023 Table 7'!28:28,MATCH($C$2,'AEO 2023 Table 7'!1:1,0))</f>
        <v>0.94813718702484862</v>
      </c>
      <c r="Z16" s="100">
        <f>INDEX('AEO 2025 Table 7'!19:19,MATCH(Z2,'AEO 2025 Table 7'!5:5,0))/INDEX('AEO 2023 Table 7'!28:28,MATCH($C$2,'AEO 2023 Table 7'!1:1,0))</f>
        <v>0.9441605924460954</v>
      </c>
      <c r="AA16" s="100">
        <f>INDEX('AEO 2025 Table 7'!19:19,MATCH(AA2,'AEO 2025 Table 7'!5:5,0))/INDEX('AEO 2023 Table 7'!28:28,MATCH($C$2,'AEO 2023 Table 7'!1:1,0))</f>
        <v>0.94278061043913086</v>
      </c>
      <c r="AB16" s="100">
        <f>INDEX('AEO 2025 Table 7'!19:19,MATCH(AB2,'AEO 2025 Table 7'!5:5,0))/INDEX('AEO 2023 Table 7'!28:28,MATCH($C$2,'AEO 2023 Table 7'!1:1,0))</f>
        <v>0.94024842997413749</v>
      </c>
      <c r="AC16" s="100">
        <f>INDEX('AEO 2025 Table 7'!19:19,MATCH(AC2,'AEO 2025 Table 7'!5:5,0))/INDEX('AEO 2023 Table 7'!28:28,MATCH($C$2,'AEO 2023 Table 7'!1:1,0))</f>
        <v>0.93720329472163888</v>
      </c>
      <c r="AD16" s="100">
        <f>INDEX('AEO 2025 Table 7'!19:19,MATCH(AD2,'AEO 2025 Table 7'!5:5,0))/INDEX('AEO 2023 Table 7'!28:28,MATCH($C$2,'AEO 2023 Table 7'!1:1,0))</f>
        <v>0.93382617493707298</v>
      </c>
    </row>
    <row r="17" spans="2:30">
      <c r="B17" t="s">
        <v>126</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C7"/>
  <sheetViews>
    <sheetView workbookViewId="0">
      <selection activeCell="F7" sqref="F7"/>
    </sheetView>
  </sheetViews>
  <sheetFormatPr defaultColWidth="9.1796875" defaultRowHeight="14.5"/>
  <cols>
    <col min="1" max="1" width="16.54296875" customWidth="1"/>
    <col min="4" max="4" width="12" bestFit="1"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calcs!C3</f>
        <v>1</v>
      </c>
      <c r="C2">
        <f>calcs!D3</f>
        <v>1.0387304202535905</v>
      </c>
      <c r="D2">
        <f>calcs!E3</f>
        <v>1.0541169504067631</v>
      </c>
      <c r="E2">
        <f>calcs!F3</f>
        <v>1.0627610344297265</v>
      </c>
      <c r="F2">
        <f>calcs!G3</f>
        <v>1.0684707444811876</v>
      </c>
      <c r="G2">
        <f>calcs!H3</f>
        <v>1.0726800293286158</v>
      </c>
      <c r="H2">
        <f>calcs!I3</f>
        <v>1.0772800931331319</v>
      </c>
      <c r="I2">
        <f>calcs!J3</f>
        <v>1.0823090538954068</v>
      </c>
      <c r="J2">
        <f>calcs!K3</f>
        <v>1.0870793468991484</v>
      </c>
      <c r="K2">
        <f>calcs!L3</f>
        <v>1.0896394352195837</v>
      </c>
      <c r="L2">
        <f>calcs!M3</f>
        <v>1.0916079696968561</v>
      </c>
      <c r="M2">
        <f>calcs!N3</f>
        <v>1.09325220199827</v>
      </c>
      <c r="N2">
        <f>calcs!O3</f>
        <v>1.0940930828044784</v>
      </c>
      <c r="O2">
        <f>calcs!P3</f>
        <v>1.0958369453175478</v>
      </c>
      <c r="P2">
        <f>calcs!Q3</f>
        <v>1.0993151610064846</v>
      </c>
      <c r="Q2">
        <f>calcs!R3</f>
        <v>1.1039519127920971</v>
      </c>
      <c r="R2">
        <f>calcs!S3</f>
        <v>1.1084870149674801</v>
      </c>
      <c r="S2">
        <f>calcs!T3</f>
        <v>1.1134482374706649</v>
      </c>
      <c r="T2">
        <f>calcs!U3</f>
        <v>1.1181766252828274</v>
      </c>
      <c r="U2">
        <f>calcs!V3</f>
        <v>1.1226719261083953</v>
      </c>
      <c r="V2">
        <f>calcs!W3</f>
        <v>1.1266571276812887</v>
      </c>
      <c r="W2">
        <f>calcs!X3</f>
        <v>1.1302778886450804</v>
      </c>
      <c r="X2">
        <f>calcs!Y3</f>
        <v>1.1334141311281358</v>
      </c>
      <c r="Y2">
        <f>calcs!Z3</f>
        <v>1.1365423797707519</v>
      </c>
      <c r="Z2">
        <f>calcs!AA3</f>
        <v>1.1403519663922224</v>
      </c>
      <c r="AA2">
        <f>calcs!AB3</f>
        <v>1.1447554629941925</v>
      </c>
      <c r="AB2">
        <f>calcs!AC3</f>
        <v>1.1494775396257277</v>
      </c>
      <c r="AC2">
        <f>calcs!AD3</f>
        <v>1.1545845048710102</v>
      </c>
    </row>
    <row r="3" spans="1:29">
      <c r="A3" t="s">
        <v>121</v>
      </c>
      <c r="B3">
        <f>calcs!C4</f>
        <v>1</v>
      </c>
      <c r="C3">
        <f>calcs!D4</f>
        <v>1.0208521911370929</v>
      </c>
      <c r="D3">
        <f>calcs!E4</f>
        <v>1.0521947853592428</v>
      </c>
      <c r="E3">
        <f>calcs!F4</f>
        <v>1.0722309003064083</v>
      </c>
      <c r="F3">
        <f>calcs!G4</f>
        <v>1.0849818265716924</v>
      </c>
      <c r="G3">
        <f>calcs!H4</f>
        <v>1.0942894593580723</v>
      </c>
      <c r="H3">
        <f>calcs!I4</f>
        <v>1.1010413205170204</v>
      </c>
      <c r="I3">
        <f>calcs!J4</f>
        <v>1.1057953197590928</v>
      </c>
      <c r="J3">
        <f>calcs!K4</f>
        <v>1.1084655639028094</v>
      </c>
      <c r="K3">
        <f>calcs!L4</f>
        <v>1.1097957845197564</v>
      </c>
      <c r="L3">
        <f>calcs!M4</f>
        <v>1.1105589560320552</v>
      </c>
      <c r="M3">
        <f>calcs!N4</f>
        <v>1.1113564163249998</v>
      </c>
      <c r="N3">
        <f>calcs!O4</f>
        <v>1.1114749716033996</v>
      </c>
      <c r="O3">
        <f>calcs!P4</f>
        <v>1.1112326385356901</v>
      </c>
      <c r="P3">
        <f>calcs!Q4</f>
        <v>1.1109101270832749</v>
      </c>
      <c r="Q3">
        <f>calcs!R4</f>
        <v>1.1099389968988451</v>
      </c>
      <c r="R3">
        <f>calcs!S4</f>
        <v>1.1086612742885953</v>
      </c>
      <c r="S3">
        <f>calcs!T4</f>
        <v>1.1070372820820371</v>
      </c>
      <c r="T3">
        <f>calcs!U4</f>
        <v>1.1051065315707258</v>
      </c>
      <c r="U3">
        <f>calcs!V4</f>
        <v>1.1028397959569269</v>
      </c>
      <c r="V3">
        <f>calcs!W4</f>
        <v>1.100461043905232</v>
      </c>
      <c r="W3">
        <f>calcs!X4</f>
        <v>1.0977960276233585</v>
      </c>
      <c r="X3">
        <f>calcs!Y4</f>
        <v>1.0951023517426808</v>
      </c>
      <c r="Y3">
        <f>calcs!Z4</f>
        <v>1.0920772658074944</v>
      </c>
      <c r="Z3">
        <f>calcs!AA4</f>
        <v>1.0888764712752323</v>
      </c>
      <c r="AA3">
        <f>calcs!AB4</f>
        <v>1.0856981292591354</v>
      </c>
      <c r="AB3">
        <f>calcs!AC4</f>
        <v>1.0825256679187458</v>
      </c>
      <c r="AC3">
        <f>calcs!AD4</f>
        <v>1.079654897549265</v>
      </c>
    </row>
    <row r="4" spans="1:29">
      <c r="A4" t="s">
        <v>119</v>
      </c>
      <c r="B4">
        <f>calcs!C5</f>
        <v>1</v>
      </c>
      <c r="C4">
        <f>calcs!D5</f>
        <v>1.0716178093338335</v>
      </c>
      <c r="D4">
        <f>calcs!E5</f>
        <v>1.0817527323119809</v>
      </c>
      <c r="E4">
        <f>calcs!F5</f>
        <v>1.1085945185275576</v>
      </c>
      <c r="F4">
        <f>calcs!G5</f>
        <v>1.1335366025391564</v>
      </c>
      <c r="G4">
        <f>calcs!H5</f>
        <v>1.1542477258077453</v>
      </c>
      <c r="H4">
        <f>calcs!I5</f>
        <v>1.1766334225776525</v>
      </c>
      <c r="I4">
        <f>calcs!J5</f>
        <v>1.1971558895767964</v>
      </c>
      <c r="J4">
        <f>calcs!K5</f>
        <v>1.2142171078006554</v>
      </c>
      <c r="K4">
        <f>calcs!L5</f>
        <v>1.2339069157317686</v>
      </c>
      <c r="L4">
        <f>calcs!M5</f>
        <v>1.2549473070557398</v>
      </c>
      <c r="M4">
        <f>calcs!N5</f>
        <v>1.2752167829490888</v>
      </c>
      <c r="N4">
        <f>calcs!O5</f>
        <v>1.2975086149212807</v>
      </c>
      <c r="O4">
        <f>calcs!P5</f>
        <v>1.3202152487803505</v>
      </c>
      <c r="P4">
        <f>calcs!Q5</f>
        <v>1.344338467668533</v>
      </c>
      <c r="Q4">
        <f>calcs!R5</f>
        <v>1.3702463242095071</v>
      </c>
      <c r="R4">
        <f>calcs!S5</f>
        <v>1.3962054648014097</v>
      </c>
      <c r="S4">
        <f>calcs!T5</f>
        <v>1.4221940420806158</v>
      </c>
      <c r="T4">
        <f>calcs!U5</f>
        <v>1.4477388433643217</v>
      </c>
      <c r="U4">
        <f>calcs!V5</f>
        <v>1.4754125477637132</v>
      </c>
      <c r="V4">
        <f>calcs!W5</f>
        <v>1.5025063999277224</v>
      </c>
      <c r="W4">
        <f>calcs!X5</f>
        <v>1.5278095030920653</v>
      </c>
      <c r="X4">
        <f>calcs!Y5</f>
        <v>1.5526372649533449</v>
      </c>
      <c r="Y4">
        <f>calcs!Z5</f>
        <v>1.5770499466222119</v>
      </c>
      <c r="Z4">
        <f>calcs!AA5</f>
        <v>1.6056317536392695</v>
      </c>
      <c r="AA4">
        <f>calcs!AB5</f>
        <v>1.6361132621019796</v>
      </c>
      <c r="AB4">
        <f>calcs!AC5</f>
        <v>1.6653360173816742</v>
      </c>
      <c r="AC4">
        <f>calcs!AD5</f>
        <v>1.6941697970731022</v>
      </c>
    </row>
    <row r="5" spans="1:29">
      <c r="A5" t="s">
        <v>124</v>
      </c>
      <c r="B5">
        <f>calcs!C6</f>
        <v>1</v>
      </c>
      <c r="C5">
        <f>calcs!D6</f>
        <v>0.80792495689462862</v>
      </c>
      <c r="D5">
        <f>calcs!E6</f>
        <v>0.89831674957323904</v>
      </c>
      <c r="E5">
        <f>calcs!F6</f>
        <v>0.96752433661811554</v>
      </c>
      <c r="F5">
        <f>calcs!G6</f>
        <v>1.0206335383594329</v>
      </c>
      <c r="G5">
        <f>calcs!H6</f>
        <v>1.0620807573944753</v>
      </c>
      <c r="H5">
        <f>calcs!I6</f>
        <v>1.0977480930437247</v>
      </c>
      <c r="I5">
        <f>calcs!J6</f>
        <v>1.1273412608232516</v>
      </c>
      <c r="J5">
        <f>calcs!K6</f>
        <v>1.1505648835314364</v>
      </c>
      <c r="K5">
        <f>calcs!L6</f>
        <v>1.1696240654649042</v>
      </c>
      <c r="L5">
        <f>calcs!M6</f>
        <v>1.1852708773783118</v>
      </c>
      <c r="M5">
        <f>calcs!N6</f>
        <v>1.200691527950579</v>
      </c>
      <c r="N5">
        <f>calcs!O6</f>
        <v>1.2130533182854659</v>
      </c>
      <c r="O5">
        <f>calcs!P6</f>
        <v>1.2248989087840172</v>
      </c>
      <c r="P5">
        <f>calcs!Q6</f>
        <v>1.2376897937451652</v>
      </c>
      <c r="Q5">
        <f>calcs!R6</f>
        <v>1.2510775835491166</v>
      </c>
      <c r="R5">
        <f>calcs!S6</f>
        <v>1.2630079689403426</v>
      </c>
      <c r="S5">
        <f>calcs!T6</f>
        <v>1.2741617442596651</v>
      </c>
      <c r="T5">
        <f>calcs!U6</f>
        <v>1.2840505895820731</v>
      </c>
      <c r="U5">
        <f>calcs!V6</f>
        <v>1.2934001631146526</v>
      </c>
      <c r="V5">
        <f>calcs!W6</f>
        <v>1.3024455552630889</v>
      </c>
      <c r="W5">
        <f>calcs!X6</f>
        <v>1.3097385716637509</v>
      </c>
      <c r="X5">
        <f>calcs!Y6</f>
        <v>1.3175027367114522</v>
      </c>
      <c r="Y5">
        <f>calcs!Z6</f>
        <v>1.3234150574811652</v>
      </c>
      <c r="Z5">
        <f>calcs!AA6</f>
        <v>1.3304293684300934</v>
      </c>
      <c r="AA5">
        <f>calcs!AB6</f>
        <v>1.3391519093321556</v>
      </c>
      <c r="AB5">
        <f>calcs!AC6</f>
        <v>1.3478963358085054</v>
      </c>
      <c r="AC5">
        <f>calcs!AD6</f>
        <v>1.359593191819316</v>
      </c>
    </row>
    <row r="6" spans="1:29">
      <c r="A6" t="s">
        <v>125</v>
      </c>
      <c r="B6">
        <f>calcs!C7</f>
        <v>1</v>
      </c>
      <c r="C6">
        <f>calcs!D7</f>
        <v>1.0423873912323072</v>
      </c>
      <c r="D6">
        <f>calcs!E7</f>
        <v>1.0345546110472326</v>
      </c>
      <c r="E6">
        <f>calcs!F7</f>
        <v>1.0305729477864864</v>
      </c>
      <c r="F6">
        <f>calcs!G7</f>
        <v>1.0264657592022615</v>
      </c>
      <c r="G6">
        <f>calcs!H7</f>
        <v>1.0199936735236965</v>
      </c>
      <c r="H6">
        <f>calcs!I7</f>
        <v>1.0146713998081973</v>
      </c>
      <c r="I6">
        <f>calcs!J7</f>
        <v>1.007983410573249</v>
      </c>
      <c r="J6">
        <f>calcs!K7</f>
        <v>0.99950794073196314</v>
      </c>
      <c r="K6">
        <f>calcs!L7</f>
        <v>0.99274965731586695</v>
      </c>
      <c r="L6">
        <f>calcs!M7</f>
        <v>0.98664410558186011</v>
      </c>
      <c r="M6">
        <f>calcs!N7</f>
        <v>0.98036783940792216</v>
      </c>
      <c r="N6">
        <f>calcs!O7</f>
        <v>0.97525644823586699</v>
      </c>
      <c r="O6">
        <f>calcs!P7</f>
        <v>0.97040614973664785</v>
      </c>
      <c r="P6">
        <f>calcs!Q7</f>
        <v>0.96631904520417944</v>
      </c>
      <c r="Q6">
        <f>calcs!R7</f>
        <v>0.96253822246099929</v>
      </c>
      <c r="R6">
        <f>calcs!S7</f>
        <v>0.95854149616143558</v>
      </c>
      <c r="S6">
        <f>calcs!T7</f>
        <v>0.95462510606889828</v>
      </c>
      <c r="T6">
        <f>calcs!U7</f>
        <v>0.95057314862700393</v>
      </c>
      <c r="U6">
        <f>calcs!V7</f>
        <v>0.9470433765307813</v>
      </c>
      <c r="V6">
        <f>calcs!W7</f>
        <v>0.94322740669702698</v>
      </c>
      <c r="W6">
        <f>calcs!X7</f>
        <v>0.93874364214236572</v>
      </c>
      <c r="X6">
        <f>calcs!Y7</f>
        <v>0.93398372187605128</v>
      </c>
      <c r="Y6">
        <f>calcs!Z7</f>
        <v>0.92896772994984012</v>
      </c>
      <c r="Z6">
        <f>calcs!AA7</f>
        <v>0.92530239050426033</v>
      </c>
      <c r="AA6">
        <f>calcs!AB7</f>
        <v>0.9219433328479687</v>
      </c>
      <c r="AB6">
        <f>calcs!AC7</f>
        <v>0.91809723693657963</v>
      </c>
      <c r="AC6">
        <f>calcs!AD7</f>
        <v>0.91410051063701581</v>
      </c>
    </row>
    <row r="7" spans="1:29">
      <c r="A7" t="s">
        <v>126</v>
      </c>
      <c r="B7">
        <f>calcs!C8</f>
        <v>1</v>
      </c>
      <c r="C7">
        <f>calcs!D8</f>
        <v>1.1331499423589024</v>
      </c>
      <c r="D7">
        <f>calcs!E8</f>
        <v>1.1062489276949894</v>
      </c>
      <c r="E7">
        <f>calcs!F8</f>
        <v>1.0703191929003946</v>
      </c>
      <c r="F7">
        <f>calcs!G8</f>
        <v>1.0283748796888987</v>
      </c>
      <c r="G7">
        <f>calcs!H8</f>
        <v>0.98536689114065201</v>
      </c>
      <c r="H7">
        <f>calcs!I8</f>
        <v>0.94270850844846665</v>
      </c>
      <c r="I7">
        <f>calcs!J8</f>
        <v>0.90263857959220162</v>
      </c>
      <c r="J7">
        <f>calcs!K8</f>
        <v>0.86399275504464468</v>
      </c>
      <c r="K7">
        <f>calcs!L8</f>
        <v>0.82707510672456841</v>
      </c>
      <c r="L7">
        <f>calcs!M8</f>
        <v>0.79148959824914</v>
      </c>
      <c r="M7">
        <f>calcs!N8</f>
        <v>0.76414278648611667</v>
      </c>
      <c r="N7">
        <f>calcs!O8</f>
        <v>0.73504198952693822</v>
      </c>
      <c r="O7">
        <f>calcs!P8</f>
        <v>0.70625397421293368</v>
      </c>
      <c r="P7">
        <f>calcs!Q8</f>
        <v>0.68302916855350726</v>
      </c>
      <c r="Q7">
        <f>calcs!R8</f>
        <v>0.66459093393051316</v>
      </c>
      <c r="R7">
        <f>calcs!S8</f>
        <v>0.64729898896087013</v>
      </c>
      <c r="S7">
        <f>calcs!T8</f>
        <v>0.63196410670516356</v>
      </c>
      <c r="T7">
        <f>calcs!U8</f>
        <v>0.6196360653631664</v>
      </c>
      <c r="U7">
        <f>calcs!V8</f>
        <v>0.60796247030127393</v>
      </c>
      <c r="V7">
        <f>calcs!W8</f>
        <v>0.59829525037485443</v>
      </c>
      <c r="W7">
        <f>calcs!X8</f>
        <v>0.58877423857618516</v>
      </c>
      <c r="X7">
        <f>calcs!Y8</f>
        <v>0.58091114881483363</v>
      </c>
      <c r="Y7">
        <f>calcs!Z8</f>
        <v>0.5735682730796382</v>
      </c>
      <c r="Z7">
        <f>calcs!AA8</f>
        <v>0.56904158490891321</v>
      </c>
      <c r="AA7">
        <f>calcs!AB8</f>
        <v>0.5623589192433528</v>
      </c>
      <c r="AB7">
        <f>calcs!AC8</f>
        <v>0.55621235004620961</v>
      </c>
      <c r="AC7">
        <f>calcs!AD8</f>
        <v>0.55223943396512787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C7"/>
  <sheetViews>
    <sheetView workbookViewId="0">
      <selection activeCell="D2" sqref="D2"/>
    </sheetView>
  </sheetViews>
  <sheetFormatPr defaultColWidth="9.1796875" defaultRowHeight="14.5"/>
  <cols>
    <col min="1" max="1" width="16.54296875"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calcs!C12</f>
        <v>1</v>
      </c>
      <c r="C2">
        <f>calcs!D12</f>
        <v>0.99199162805779795</v>
      </c>
      <c r="D2">
        <f>calcs!E12</f>
        <v>0.99145345856887246</v>
      </c>
      <c r="E2">
        <f>calcs!F12</f>
        <v>0.98773845758736967</v>
      </c>
      <c r="F2">
        <f>calcs!G12</f>
        <v>0.98564184740246219</v>
      </c>
      <c r="G2">
        <f>calcs!H12</f>
        <v>0.98303991333727347</v>
      </c>
      <c r="H2">
        <f>calcs!I12</f>
        <v>0.98381018616126348</v>
      </c>
      <c r="I2">
        <f>calcs!J12</f>
        <v>0.98691983518255244</v>
      </c>
      <c r="J2">
        <f>calcs!K12</f>
        <v>0.99006617834617994</v>
      </c>
      <c r="K2">
        <f>calcs!L12</f>
        <v>0.9941463126584007</v>
      </c>
      <c r="L2">
        <f>calcs!M12</f>
        <v>0.99846130468984473</v>
      </c>
      <c r="M2">
        <f>calcs!N12</f>
        <v>1.0037337578306835</v>
      </c>
      <c r="N2">
        <f>calcs!O12</f>
        <v>1.0092701544805229</v>
      </c>
      <c r="O2">
        <f>calcs!P12</f>
        <v>1.0155410972260812</v>
      </c>
      <c r="P2">
        <f>calcs!Q12</f>
        <v>1.0221550537387742</v>
      </c>
      <c r="Q2">
        <f>calcs!R12</f>
        <v>1.0288457190053915</v>
      </c>
      <c r="R2">
        <f>calcs!S12</f>
        <v>1.0352948306955889</v>
      </c>
      <c r="S2">
        <f>calcs!T12</f>
        <v>1.0425874302893146</v>
      </c>
      <c r="T2">
        <f>calcs!U12</f>
        <v>1.0492768070786795</v>
      </c>
      <c r="U2">
        <f>calcs!V12</f>
        <v>1.0559394131128061</v>
      </c>
      <c r="V2">
        <f>calcs!W12</f>
        <v>1.0615504316058721</v>
      </c>
      <c r="W2">
        <f>calcs!X12</f>
        <v>1.0670456688004033</v>
      </c>
      <c r="X2">
        <f>calcs!Y12</f>
        <v>1.0733174648981094</v>
      </c>
      <c r="Y2">
        <f>calcs!Z12</f>
        <v>1.0797690268073437</v>
      </c>
      <c r="Z2">
        <f>calcs!AA12</f>
        <v>1.0885601043228916</v>
      </c>
      <c r="AA2">
        <f>calcs!AB12</f>
        <v>1.0966140756862777</v>
      </c>
      <c r="AB2">
        <f>calcs!AC12</f>
        <v>1.1037383832527936</v>
      </c>
      <c r="AC2">
        <f>calcs!AD12</f>
        <v>1.1099383330140091</v>
      </c>
    </row>
    <row r="3" spans="1:29">
      <c r="A3" t="s">
        <v>121</v>
      </c>
      <c r="B3">
        <f>calcs!C13</f>
        <v>1</v>
      </c>
      <c r="C3">
        <f>calcs!D13</f>
        <v>1.0622112715165715</v>
      </c>
      <c r="D3">
        <f>calcs!E13</f>
        <v>1.0882483223483477</v>
      </c>
      <c r="E3">
        <f>calcs!F13</f>
        <v>1.1073663909567006</v>
      </c>
      <c r="F3">
        <f>calcs!G13</f>
        <v>1.1253528048949284</v>
      </c>
      <c r="G3">
        <f>calcs!H13</f>
        <v>1.138224191456727</v>
      </c>
      <c r="H3">
        <f>calcs!I13</f>
        <v>1.1499887897440986</v>
      </c>
      <c r="I3">
        <f>calcs!J13</f>
        <v>1.1606501753882426</v>
      </c>
      <c r="J3">
        <f>calcs!K13</f>
        <v>1.1685450929996408</v>
      </c>
      <c r="K3">
        <f>calcs!L13</f>
        <v>1.1759364552299756</v>
      </c>
      <c r="L3">
        <f>calcs!M13</f>
        <v>1.1817697932230411</v>
      </c>
      <c r="M3">
        <f>calcs!N13</f>
        <v>1.1882821424940875</v>
      </c>
      <c r="N3">
        <f>calcs!O13</f>
        <v>1.1945415946520686</v>
      </c>
      <c r="O3">
        <f>calcs!P13</f>
        <v>1.2022732504644396</v>
      </c>
      <c r="P3">
        <f>calcs!Q13</f>
        <v>1.2108769527327585</v>
      </c>
      <c r="Q3">
        <f>calcs!R13</f>
        <v>1.2194852957139111</v>
      </c>
      <c r="R3">
        <f>calcs!S13</f>
        <v>1.2265601602421841</v>
      </c>
      <c r="S3">
        <f>calcs!T13</f>
        <v>1.2338113881603994</v>
      </c>
      <c r="T3">
        <f>calcs!U13</f>
        <v>1.240527635355261</v>
      </c>
      <c r="U3">
        <f>calcs!V13</f>
        <v>1.2472509251307224</v>
      </c>
      <c r="V3">
        <f>calcs!W13</f>
        <v>1.2527956260009969</v>
      </c>
      <c r="W3">
        <f>calcs!X13</f>
        <v>1.2572934929114714</v>
      </c>
      <c r="X3">
        <f>calcs!Y13</f>
        <v>1.2620704655509318</v>
      </c>
      <c r="Y3">
        <f>calcs!Z13</f>
        <v>1.2657209133011977</v>
      </c>
      <c r="Z3">
        <f>calcs!AA13</f>
        <v>1.2738285157598908</v>
      </c>
      <c r="AA3">
        <f>calcs!AB13</f>
        <v>1.2822530289114835</v>
      </c>
      <c r="AB3">
        <f>calcs!AC13</f>
        <v>1.2898558315825104</v>
      </c>
      <c r="AC3">
        <f>calcs!AD13</f>
        <v>1.295658157224123</v>
      </c>
    </row>
    <row r="4" spans="1:29">
      <c r="A4" t="s">
        <v>119</v>
      </c>
      <c r="B4">
        <f>calcs!C14</f>
        <v>1</v>
      </c>
      <c r="C4">
        <f>calcs!D14</f>
        <v>1.0716178093338335</v>
      </c>
      <c r="D4">
        <f>calcs!E14</f>
        <v>1.0817527323119809</v>
      </c>
      <c r="E4">
        <f>calcs!F14</f>
        <v>1.1085945185275576</v>
      </c>
      <c r="F4">
        <f>calcs!G14</f>
        <v>1.1335366025391564</v>
      </c>
      <c r="G4">
        <f>calcs!H14</f>
        <v>1.1542477258077453</v>
      </c>
      <c r="H4">
        <f>calcs!I14</f>
        <v>1.1766334225776525</v>
      </c>
      <c r="I4">
        <f>calcs!J14</f>
        <v>1.1971558895767964</v>
      </c>
      <c r="J4">
        <f>calcs!K14</f>
        <v>1.2142171078006554</v>
      </c>
      <c r="K4">
        <f>calcs!L14</f>
        <v>1.2339069157317686</v>
      </c>
      <c r="L4">
        <f>calcs!M14</f>
        <v>1.2549473070557398</v>
      </c>
      <c r="M4">
        <f>calcs!N14</f>
        <v>1.2752167829490888</v>
      </c>
      <c r="N4">
        <f>calcs!O14</f>
        <v>1.2975086149212807</v>
      </c>
      <c r="O4">
        <f>calcs!P14</f>
        <v>1.3202152487803505</v>
      </c>
      <c r="P4">
        <f>calcs!Q14</f>
        <v>1.344338467668533</v>
      </c>
      <c r="Q4">
        <f>calcs!R14</f>
        <v>1.3702463242095071</v>
      </c>
      <c r="R4">
        <f>calcs!S14</f>
        <v>1.3962054648014097</v>
      </c>
      <c r="S4">
        <f>calcs!T14</f>
        <v>1.4221940420806158</v>
      </c>
      <c r="T4">
        <f>calcs!U14</f>
        <v>1.4477388433643217</v>
      </c>
      <c r="U4">
        <f>calcs!V14</f>
        <v>1.4754125477637132</v>
      </c>
      <c r="V4">
        <f>calcs!W14</f>
        <v>1.5025063999277224</v>
      </c>
      <c r="W4">
        <f>calcs!X14</f>
        <v>1.5278095030920653</v>
      </c>
      <c r="X4">
        <f>calcs!Y14</f>
        <v>1.5526372649533449</v>
      </c>
      <c r="Y4">
        <f>calcs!Z14</f>
        <v>1.5770499466222119</v>
      </c>
      <c r="Z4">
        <f>calcs!AA14</f>
        <v>1.6056317536392695</v>
      </c>
      <c r="AA4">
        <f>calcs!AB14</f>
        <v>1.6361132621019796</v>
      </c>
      <c r="AB4">
        <f>calcs!AC14</f>
        <v>1.6653360173816742</v>
      </c>
      <c r="AC4">
        <f>calcs!AD14</f>
        <v>1.6941697970731022</v>
      </c>
    </row>
    <row r="5" spans="1:29">
      <c r="A5" t="s">
        <v>124</v>
      </c>
      <c r="B5">
        <f>calcs!C15</f>
        <v>1</v>
      </c>
      <c r="C5">
        <f>calcs!D15</f>
        <v>0.91547682341993408</v>
      </c>
      <c r="D5">
        <f>calcs!E15</f>
        <v>0.93655200278847428</v>
      </c>
      <c r="E5">
        <f>calcs!F15</f>
        <v>0.91392563617381528</v>
      </c>
      <c r="F5">
        <f>calcs!G15</f>
        <v>0.88352754244868426</v>
      </c>
      <c r="G5">
        <f>calcs!H15</f>
        <v>0.88376625115555996</v>
      </c>
      <c r="H5">
        <f>calcs!I15</f>
        <v>0.88154768721668619</v>
      </c>
      <c r="I5">
        <f>calcs!J15</f>
        <v>0.85603446315317522</v>
      </c>
      <c r="J5">
        <f>calcs!K15</f>
        <v>0.85630887523506882</v>
      </c>
      <c r="K5">
        <f>calcs!L15</f>
        <v>0.81608054474917058</v>
      </c>
      <c r="L5">
        <f>calcs!M15</f>
        <v>0.82008038455926546</v>
      </c>
      <c r="M5">
        <f>calcs!N15</f>
        <v>0.81235656692959779</v>
      </c>
      <c r="N5">
        <f>calcs!O15</f>
        <v>0.81271192203556319</v>
      </c>
      <c r="O5">
        <f>calcs!P15</f>
        <v>0.81604301086450903</v>
      </c>
      <c r="P5">
        <f>calcs!Q15</f>
        <v>0.82019352117953703</v>
      </c>
      <c r="Q5">
        <f>calcs!R15</f>
        <v>0.8313767458017004</v>
      </c>
      <c r="R5">
        <f>calcs!S15</f>
        <v>0.82618229502449536</v>
      </c>
      <c r="S5">
        <f>calcs!T15</f>
        <v>0.83015360225767765</v>
      </c>
      <c r="T5">
        <f>calcs!U15</f>
        <v>0.83138178110938166</v>
      </c>
      <c r="U5">
        <f>calcs!V15</f>
        <v>0.83578953833803082</v>
      </c>
      <c r="V5">
        <f>calcs!W15</f>
        <v>0.84069996513907186</v>
      </c>
      <c r="W5">
        <f>calcs!X15</f>
        <v>0.84355218727059844</v>
      </c>
      <c r="X5">
        <f>calcs!Y15</f>
        <v>0.84654584923876319</v>
      </c>
      <c r="Y5">
        <f>calcs!Z15</f>
        <v>0.84725037921516477</v>
      </c>
      <c r="Z5">
        <f>calcs!AA15</f>
        <v>0.85641827396589743</v>
      </c>
      <c r="AA5">
        <f>calcs!AB15</f>
        <v>0.86402521646089014</v>
      </c>
      <c r="AB5">
        <f>calcs!AC15</f>
        <v>0.87038383949841458</v>
      </c>
      <c r="AC5">
        <f>calcs!AD15</f>
        <v>0.87320264686069804</v>
      </c>
    </row>
    <row r="6" spans="1:29">
      <c r="A6" t="s">
        <v>125</v>
      </c>
      <c r="B6">
        <f>calcs!C16</f>
        <v>1</v>
      </c>
      <c r="C6">
        <f>calcs!D16</f>
        <v>1.0185284688985718</v>
      </c>
      <c r="D6">
        <f>calcs!E16</f>
        <v>1.0321144632669632</v>
      </c>
      <c r="E6">
        <f>calcs!F16</f>
        <v>1.0278270196277399</v>
      </c>
      <c r="F6">
        <f>calcs!G16</f>
        <v>1.0234401837691958</v>
      </c>
      <c r="G6">
        <f>calcs!H16</f>
        <v>1.0198540448270743</v>
      </c>
      <c r="H6">
        <f>calcs!I16</f>
        <v>1.0153697815488274</v>
      </c>
      <c r="I6">
        <f>calcs!J16</f>
        <v>1.0098398252725234</v>
      </c>
      <c r="J6">
        <f>calcs!K16</f>
        <v>1.0033794930848956</v>
      </c>
      <c r="K6">
        <f>calcs!L16</f>
        <v>0.99525536414050919</v>
      </c>
      <c r="L6">
        <f>calcs!M16</f>
        <v>0.9906954882686011</v>
      </c>
      <c r="M6">
        <f>calcs!N16</f>
        <v>0.98699606808296647</v>
      </c>
      <c r="N6">
        <f>calcs!O16</f>
        <v>0.9827921628392533</v>
      </c>
      <c r="O6">
        <f>calcs!P16</f>
        <v>0.97825105579895044</v>
      </c>
      <c r="P6">
        <f>calcs!Q16</f>
        <v>0.9748506270525884</v>
      </c>
      <c r="Q6">
        <f>calcs!R16</f>
        <v>0.97177466553715619</v>
      </c>
      <c r="R6">
        <f>calcs!S16</f>
        <v>0.96793520065106486</v>
      </c>
      <c r="S6">
        <f>calcs!T16</f>
        <v>0.96523607882191731</v>
      </c>
      <c r="T6">
        <f>calcs!U16</f>
        <v>0.96239874166506467</v>
      </c>
      <c r="U6">
        <f>calcs!V16</f>
        <v>0.95959304333234341</v>
      </c>
      <c r="V6">
        <f>calcs!W16</f>
        <v>0.95614342799215424</v>
      </c>
      <c r="W6">
        <f>calcs!X16</f>
        <v>0.95198722186685125</v>
      </c>
      <c r="X6">
        <f>calcs!Y16</f>
        <v>0.94813718702484862</v>
      </c>
      <c r="Y6">
        <f>calcs!Z16</f>
        <v>0.9441605924460954</v>
      </c>
      <c r="Z6">
        <f>calcs!AA16</f>
        <v>0.94278061043913086</v>
      </c>
      <c r="AA6">
        <f>calcs!AB16</f>
        <v>0.94024842997413749</v>
      </c>
      <c r="AB6">
        <f>calcs!AC16</f>
        <v>0.93720329472163888</v>
      </c>
      <c r="AC6">
        <f>calcs!AD16</f>
        <v>0.93382617493707298</v>
      </c>
    </row>
    <row r="7" spans="1:29">
      <c r="A7" t="s">
        <v>126</v>
      </c>
      <c r="B7">
        <v>0</v>
      </c>
      <c r="C7">
        <f>calcs!D17</f>
        <v>0</v>
      </c>
      <c r="D7">
        <f>calcs!E17</f>
        <v>0</v>
      </c>
      <c r="E7">
        <f>calcs!F17</f>
        <v>0</v>
      </c>
      <c r="F7">
        <f>calcs!G17</f>
        <v>0</v>
      </c>
      <c r="G7">
        <f>calcs!H17</f>
        <v>0</v>
      </c>
      <c r="H7">
        <f>calcs!I17</f>
        <v>0</v>
      </c>
      <c r="I7">
        <f>calcs!J17</f>
        <v>0</v>
      </c>
      <c r="J7">
        <f>calcs!K17</f>
        <v>0</v>
      </c>
      <c r="K7">
        <f>calcs!L17</f>
        <v>0</v>
      </c>
      <c r="L7">
        <f>calcs!M17</f>
        <v>0</v>
      </c>
      <c r="M7">
        <f>calcs!N17</f>
        <v>0</v>
      </c>
      <c r="N7">
        <f>calcs!O17</f>
        <v>0</v>
      </c>
      <c r="O7">
        <f>calcs!P17</f>
        <v>0</v>
      </c>
      <c r="P7">
        <f>calcs!Q17</f>
        <v>0</v>
      </c>
      <c r="Q7">
        <f>calcs!R17</f>
        <v>0</v>
      </c>
      <c r="R7">
        <f>calcs!S17</f>
        <v>0</v>
      </c>
      <c r="S7">
        <f>calcs!T17</f>
        <v>0</v>
      </c>
      <c r="T7">
        <f>calcs!U17</f>
        <v>0</v>
      </c>
      <c r="U7">
        <f>calcs!V17</f>
        <v>0</v>
      </c>
      <c r="V7">
        <f>calcs!W17</f>
        <v>0</v>
      </c>
      <c r="W7">
        <f>calcs!X17</f>
        <v>0</v>
      </c>
      <c r="X7">
        <f>calcs!Y17</f>
        <v>0</v>
      </c>
      <c r="Y7">
        <f>calcs!Z17</f>
        <v>0</v>
      </c>
      <c r="Z7">
        <f>calcs!AA17</f>
        <v>0</v>
      </c>
      <c r="AA7">
        <f>calcs!AB17</f>
        <v>0</v>
      </c>
      <c r="AB7">
        <f>calcs!AC17</f>
        <v>0</v>
      </c>
      <c r="AC7">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About</vt:lpstr>
      <vt:lpstr>source data&gt;</vt:lpstr>
      <vt:lpstr>EPA_Table 3-13</vt:lpstr>
      <vt:lpstr>AEO 2023 Table 7</vt:lpstr>
      <vt:lpstr>AEO 2023 Table 35 Raw</vt:lpstr>
      <vt:lpstr>AEO 2023 Table 35</vt:lpstr>
      <vt:lpstr>AEO 2023 Table 46 Raw</vt:lpstr>
      <vt:lpstr>AEO 2023 Table 46</vt:lpstr>
      <vt:lpstr>AEO 2023 Table 47 Raw</vt:lpstr>
      <vt:lpstr>AEO 2023 Table 47</vt:lpstr>
      <vt:lpstr>AEO 2023 Table 49 Raw</vt:lpstr>
      <vt:lpstr>AEO 2023 Table 49</vt:lpstr>
      <vt:lpstr>AEO 2025 Table 7</vt:lpstr>
      <vt:lpstr>AEO 2025 Table 35</vt:lpstr>
      <vt:lpstr>AEO 2025 Table 46</vt:lpstr>
      <vt:lpstr>AEO 2025 Table 47</vt:lpstr>
      <vt:lpstr>AEO 2025 Table 49</vt:lpstr>
      <vt:lpstr>calcs&gt;</vt:lpstr>
      <vt:lpstr>calibration multiplier</vt:lpstr>
      <vt:lpstr>GHG Inventory</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2017-06-26T22:04:22Z</dcterms:created>
  <dcterms:modified xsi:type="dcterms:W3CDTF">2025-12-12T23:34:27Z</dcterms:modified>
</cp:coreProperties>
</file>